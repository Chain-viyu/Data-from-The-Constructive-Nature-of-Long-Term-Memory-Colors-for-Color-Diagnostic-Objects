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whueducn-my.sharepoint.com/personal/zhiyu_chen_whu_edu_cn/Documents/科研/24-Research Papers/2401-王辰宇陈治宇-Memory color on Displays/2407-Work 2-Working Memory and Unique Hues/"/>
    </mc:Choice>
  </mc:AlternateContent>
  <xr:revisionPtr revIDLastSave="2" documentId="13_ncr:1_{5C5D0C6F-CDF7-45AC-8B31-D047DFB08B75}" xr6:coauthVersionLast="47" xr6:coauthVersionMax="47" xr10:uidLastSave="{DE359FAC-1AB6-4281-B16F-B148BAAC7B3E}"/>
  <bookViews>
    <workbookView xWindow="19090" yWindow="-14970" windowWidth="21820" windowHeight="37900" xr2:uid="{00000000-000D-0000-FFFF-FFFF00000000}"/>
  </bookViews>
  <sheets>
    <sheet name="SUM" sheetId="2" r:id="rId1"/>
    <sheet name="Tables" sheetId="37" r:id="rId2"/>
    <sheet name="Means" sheetId="26" r:id="rId3"/>
    <sheet name="Inter" sheetId="34" r:id="rId4"/>
    <sheet name="Intra" sheetId="24" r:id="rId5"/>
    <sheet name="Score" sheetId="35" r:id="rId6"/>
    <sheet name="Time" sheetId="36" r:id="rId7"/>
    <sheet name="Image-R-5-Inter" sheetId="15" r:id="rId8"/>
    <sheet name="Name-R-6-Inter" sheetId="19" r:id="rId9"/>
    <sheet name="Image-R-5-Intra" sheetId="16" r:id="rId10"/>
    <sheet name="Name-R-6-Intra" sheetId="20" r:id="rId11"/>
    <sheet name="Image-R-5-Score" sheetId="17" r:id="rId12"/>
    <sheet name="Name-R-6-Score" sheetId="21" r:id="rId13"/>
    <sheet name="Image-R-5-Time" sheetId="18" r:id="rId14"/>
    <sheet name="Name-R-6-Time" sheetId="22" r:id="rId15"/>
    <sheet name="Image-L-7-1-Inter" sheetId="3" r:id="rId16"/>
    <sheet name="Name-L-7-2-Inter" sheetId="8" r:id="rId17"/>
    <sheet name="Image-L-7-1-Intra" sheetId="4" r:id="rId18"/>
    <sheet name="Name-L-7-2-Intra" sheetId="12" r:id="rId19"/>
    <sheet name="Image-L-7-1-Score" sheetId="5" r:id="rId20"/>
    <sheet name="Name-L-7-2-Score" sheetId="13" r:id="rId21"/>
    <sheet name="Image-L-7-1-Time" sheetId="6" r:id="rId22"/>
    <sheet name="Name-L-7-2-Time" sheetId="14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62" i="37" l="1"/>
  <c r="BR62" i="37"/>
  <c r="BQ62" i="37"/>
  <c r="BP62" i="37"/>
  <c r="BO62" i="37"/>
  <c r="BN62" i="37"/>
  <c r="BM62" i="37"/>
  <c r="BL62" i="37"/>
  <c r="BK62" i="37"/>
  <c r="BS60" i="37"/>
  <c r="BR60" i="37"/>
  <c r="BQ60" i="37"/>
  <c r="BP60" i="37"/>
  <c r="CD60" i="37"/>
  <c r="CC60" i="37"/>
  <c r="CB60" i="37"/>
  <c r="CA60" i="37"/>
  <c r="BZ60" i="37"/>
  <c r="BY60" i="37"/>
  <c r="BQ32" i="37"/>
  <c r="BL32" i="37"/>
  <c r="BM32" i="37"/>
  <c r="BN32" i="37"/>
  <c r="BO32" i="37"/>
  <c r="BP32" i="37"/>
  <c r="BR32" i="37"/>
  <c r="BS32" i="37"/>
  <c r="BK32" i="37"/>
  <c r="N72" i="2"/>
  <c r="N35" i="2"/>
  <c r="L73" i="2"/>
  <c r="AD53" i="37"/>
  <c r="AB54" i="37"/>
  <c r="AC54" i="37"/>
  <c r="AD54" i="37"/>
  <c r="AB55" i="37"/>
  <c r="AC55" i="37"/>
  <c r="AD55" i="37"/>
  <c r="AB56" i="37"/>
  <c r="AC56" i="37"/>
  <c r="AD56" i="37"/>
  <c r="AB57" i="37"/>
  <c r="AC57" i="37"/>
  <c r="AD57" i="37"/>
  <c r="AB58" i="37"/>
  <c r="AC58" i="37"/>
  <c r="AD58" i="37"/>
  <c r="AB59" i="37"/>
  <c r="AC59" i="37"/>
  <c r="AD59" i="37"/>
  <c r="AB60" i="37"/>
  <c r="AC60" i="37"/>
  <c r="AD60" i="37"/>
  <c r="AB61" i="37"/>
  <c r="AC61" i="37"/>
  <c r="AD61" i="37"/>
  <c r="AB62" i="37"/>
  <c r="AC62" i="37"/>
  <c r="AD62" i="37"/>
  <c r="AB63" i="37"/>
  <c r="AC63" i="37"/>
  <c r="AD63" i="37"/>
  <c r="AB64" i="37"/>
  <c r="AC64" i="37"/>
  <c r="AD64" i="37"/>
  <c r="AB65" i="37"/>
  <c r="AC65" i="37"/>
  <c r="AD65" i="37"/>
  <c r="AB66" i="37"/>
  <c r="AC66" i="37"/>
  <c r="AD66" i="37"/>
  <c r="AB67" i="37"/>
  <c r="AC67" i="37"/>
  <c r="AD67" i="37"/>
  <c r="AB68" i="37"/>
  <c r="AC68" i="37"/>
  <c r="AD68" i="37"/>
  <c r="AB69" i="37"/>
  <c r="AC69" i="37"/>
  <c r="AD69" i="37"/>
  <c r="AB70" i="37"/>
  <c r="AC70" i="37"/>
  <c r="AD70" i="37"/>
  <c r="AC53" i="37"/>
  <c r="AB53" i="37"/>
  <c r="S73" i="2"/>
  <c r="S48" i="37"/>
  <c r="O48" i="37"/>
  <c r="AB100" i="2"/>
  <c r="CC30" i="37" l="1"/>
  <c r="BP30" i="37"/>
  <c r="BQ30" i="37"/>
  <c r="BR30" i="37"/>
  <c r="BS30" i="37"/>
  <c r="BY30" i="37"/>
  <c r="BZ30" i="37"/>
  <c r="CA30" i="37"/>
  <c r="CB30" i="37"/>
  <c r="P48" i="37" l="1"/>
  <c r="Q48" i="37"/>
  <c r="R48" i="37"/>
  <c r="T48" i="37"/>
  <c r="U48" i="37"/>
  <c r="V48" i="37"/>
  <c r="H48" i="37"/>
  <c r="I48" i="37"/>
  <c r="J48" i="37"/>
  <c r="K48" i="37"/>
  <c r="L48" i="37"/>
  <c r="G48" i="37"/>
  <c r="D48" i="37"/>
  <c r="E48" i="37"/>
  <c r="F48" i="37"/>
  <c r="C48" i="37"/>
  <c r="K12" i="26"/>
  <c r="I18" i="26"/>
  <c r="J18" i="26"/>
  <c r="K18" i="26"/>
  <c r="M18" i="26" s="1"/>
  <c r="L18" i="26"/>
  <c r="Y18" i="26"/>
  <c r="Z18" i="26"/>
  <c r="AA18" i="26"/>
  <c r="AB18" i="26"/>
  <c r="AE18" i="26"/>
  <c r="AO18" i="26"/>
  <c r="AP18" i="26"/>
  <c r="AQ18" i="26"/>
  <c r="AR18" i="26"/>
  <c r="AU18" i="26" s="1"/>
  <c r="BE18" i="26"/>
  <c r="BJ18" i="26" s="1"/>
  <c r="BF18" i="26"/>
  <c r="BG18" i="26"/>
  <c r="BH18" i="26"/>
  <c r="BT18" i="26"/>
  <c r="BJ23" i="26"/>
  <c r="AM100" i="2"/>
  <c r="B179" i="2"/>
  <c r="B180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5" i="2"/>
  <c r="B196" i="2"/>
  <c r="B197" i="2"/>
  <c r="B198" i="2"/>
  <c r="B200" i="2"/>
  <c r="B201" i="2"/>
  <c r="B202" i="2"/>
  <c r="B203" i="2"/>
  <c r="B204" i="2"/>
  <c r="B205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178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130" i="2"/>
  <c r="B131" i="2"/>
  <c r="B133" i="2"/>
  <c r="B134" i="2"/>
  <c r="B135" i="2"/>
  <c r="B136" i="2"/>
  <c r="B137" i="2"/>
  <c r="B138" i="2"/>
  <c r="B139" i="2"/>
  <c r="B140" i="2"/>
  <c r="B142" i="2"/>
  <c r="B143" i="2"/>
  <c r="B144" i="2"/>
  <c r="B147" i="2"/>
  <c r="B148" i="2"/>
  <c r="B151" i="2"/>
  <c r="B152" i="2"/>
  <c r="B153" i="2"/>
  <c r="B155" i="2"/>
  <c r="B156" i="2"/>
  <c r="B158" i="2"/>
  <c r="B159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29" i="2"/>
  <c r="AG100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C174" i="2"/>
  <c r="AC100" i="2"/>
  <c r="AD100" i="2"/>
  <c r="AE100" i="2"/>
  <c r="AF100" i="2"/>
  <c r="AH100" i="2"/>
  <c r="AI100" i="2"/>
  <c r="AK100" i="2"/>
  <c r="AL100" i="2"/>
  <c r="O103" i="2"/>
  <c r="P103" i="2"/>
  <c r="Q103" i="2"/>
  <c r="R103" i="2"/>
  <c r="S103" i="2"/>
  <c r="P104" i="2"/>
  <c r="Q104" i="2"/>
  <c r="R104" i="2"/>
  <c r="S104" i="2"/>
  <c r="P105" i="2"/>
  <c r="Q105" i="2"/>
  <c r="R105" i="2"/>
  <c r="S105" i="2"/>
  <c r="P106" i="2"/>
  <c r="Q106" i="2"/>
  <c r="R106" i="2"/>
  <c r="S106" i="2"/>
  <c r="P107" i="2"/>
  <c r="Q107" i="2"/>
  <c r="R107" i="2"/>
  <c r="S107" i="2"/>
  <c r="P108" i="2"/>
  <c r="Q108" i="2"/>
  <c r="R108" i="2"/>
  <c r="S108" i="2"/>
  <c r="P109" i="2"/>
  <c r="Q109" i="2"/>
  <c r="R109" i="2"/>
  <c r="S109" i="2"/>
  <c r="P110" i="2"/>
  <c r="Q110" i="2"/>
  <c r="R110" i="2"/>
  <c r="S110" i="2"/>
  <c r="P111" i="2"/>
  <c r="Q111" i="2"/>
  <c r="R111" i="2"/>
  <c r="S111" i="2"/>
  <c r="P112" i="2"/>
  <c r="Q112" i="2"/>
  <c r="R112" i="2"/>
  <c r="S112" i="2"/>
  <c r="P113" i="2"/>
  <c r="Q113" i="2"/>
  <c r="R113" i="2"/>
  <c r="S113" i="2"/>
  <c r="P114" i="2"/>
  <c r="Q114" i="2"/>
  <c r="R114" i="2"/>
  <c r="S114" i="2"/>
  <c r="P115" i="2"/>
  <c r="Q115" i="2"/>
  <c r="R115" i="2"/>
  <c r="S115" i="2"/>
  <c r="P116" i="2"/>
  <c r="Q116" i="2"/>
  <c r="R116" i="2"/>
  <c r="S116" i="2"/>
  <c r="P117" i="2"/>
  <c r="Q117" i="2"/>
  <c r="R117" i="2"/>
  <c r="S117" i="2"/>
  <c r="P118" i="2"/>
  <c r="Q118" i="2"/>
  <c r="R118" i="2"/>
  <c r="S118" i="2"/>
  <c r="P119" i="2"/>
  <c r="Q119" i="2"/>
  <c r="R119" i="2"/>
  <c r="S119" i="2"/>
  <c r="P120" i="2"/>
  <c r="Q120" i="2"/>
  <c r="R120" i="2"/>
  <c r="S120" i="2"/>
  <c r="P121" i="2"/>
  <c r="Q121" i="2"/>
  <c r="R121" i="2"/>
  <c r="S121" i="2"/>
  <c r="P122" i="2"/>
  <c r="Q122" i="2"/>
  <c r="R122" i="2"/>
  <c r="S122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81" i="2"/>
  <c r="P81" i="2"/>
  <c r="Q81" i="2"/>
  <c r="W81" i="2" s="1"/>
  <c r="W104" i="2" s="1"/>
  <c r="AC104" i="2" s="1"/>
  <c r="AJ104" i="2" s="1"/>
  <c r="R81" i="2"/>
  <c r="X81" i="2" s="1"/>
  <c r="X104" i="2" s="1"/>
  <c r="AD104" i="2" s="1"/>
  <c r="AK104" i="2" s="1"/>
  <c r="S81" i="2"/>
  <c r="Y81" i="2" s="1"/>
  <c r="Y104" i="2" s="1"/>
  <c r="AE104" i="2" s="1"/>
  <c r="AL104" i="2" s="1"/>
  <c r="O82" i="2"/>
  <c r="P82" i="2"/>
  <c r="Q82" i="2"/>
  <c r="R82" i="2"/>
  <c r="S82" i="2"/>
  <c r="O83" i="2"/>
  <c r="P83" i="2"/>
  <c r="Q83" i="2"/>
  <c r="R83" i="2"/>
  <c r="S83" i="2"/>
  <c r="O84" i="2"/>
  <c r="P84" i="2"/>
  <c r="Q84" i="2"/>
  <c r="R84" i="2"/>
  <c r="S84" i="2"/>
  <c r="O85" i="2"/>
  <c r="P85" i="2"/>
  <c r="Q85" i="2"/>
  <c r="R85" i="2"/>
  <c r="S85" i="2"/>
  <c r="O86" i="2"/>
  <c r="P86" i="2"/>
  <c r="Q86" i="2"/>
  <c r="R86" i="2"/>
  <c r="S86" i="2"/>
  <c r="O87" i="2"/>
  <c r="P87" i="2"/>
  <c r="Q87" i="2"/>
  <c r="R87" i="2"/>
  <c r="S87" i="2"/>
  <c r="O88" i="2"/>
  <c r="P88" i="2"/>
  <c r="Q88" i="2"/>
  <c r="R88" i="2"/>
  <c r="S88" i="2"/>
  <c r="O89" i="2"/>
  <c r="P89" i="2"/>
  <c r="Q89" i="2"/>
  <c r="R89" i="2"/>
  <c r="S89" i="2"/>
  <c r="Y89" i="2" s="1"/>
  <c r="Y112" i="2" s="1"/>
  <c r="AE112" i="2" s="1"/>
  <c r="AL112" i="2" s="1"/>
  <c r="O90" i="2"/>
  <c r="P90" i="2"/>
  <c r="Q90" i="2"/>
  <c r="R90" i="2"/>
  <c r="S90" i="2"/>
  <c r="O91" i="2"/>
  <c r="P91" i="2"/>
  <c r="Q91" i="2"/>
  <c r="R91" i="2"/>
  <c r="S91" i="2"/>
  <c r="O92" i="2"/>
  <c r="P92" i="2"/>
  <c r="Q92" i="2"/>
  <c r="R92" i="2"/>
  <c r="S92" i="2"/>
  <c r="O93" i="2"/>
  <c r="P93" i="2"/>
  <c r="Q93" i="2"/>
  <c r="R93" i="2"/>
  <c r="S93" i="2"/>
  <c r="O94" i="2"/>
  <c r="P94" i="2"/>
  <c r="Q94" i="2"/>
  <c r="R94" i="2"/>
  <c r="S94" i="2"/>
  <c r="O95" i="2"/>
  <c r="P95" i="2"/>
  <c r="Q95" i="2"/>
  <c r="R95" i="2"/>
  <c r="S95" i="2"/>
  <c r="O96" i="2"/>
  <c r="P96" i="2"/>
  <c r="Q96" i="2"/>
  <c r="R96" i="2"/>
  <c r="S96" i="2"/>
  <c r="O97" i="2"/>
  <c r="P97" i="2"/>
  <c r="Q97" i="2"/>
  <c r="R97" i="2"/>
  <c r="X97" i="2" s="1"/>
  <c r="X120" i="2" s="1"/>
  <c r="AD120" i="2" s="1"/>
  <c r="AK120" i="2" s="1"/>
  <c r="S97" i="2"/>
  <c r="Y97" i="2" s="1"/>
  <c r="Y120" i="2" s="1"/>
  <c r="AE120" i="2" s="1"/>
  <c r="AL120" i="2" s="1"/>
  <c r="O98" i="2"/>
  <c r="P98" i="2"/>
  <c r="Q98" i="2"/>
  <c r="R98" i="2"/>
  <c r="S98" i="2"/>
  <c r="O99" i="2"/>
  <c r="P99" i="2"/>
  <c r="Q99" i="2"/>
  <c r="R99" i="2"/>
  <c r="S99" i="2"/>
  <c r="P80" i="2"/>
  <c r="Q80" i="2"/>
  <c r="R80" i="2"/>
  <c r="S80" i="2"/>
  <c r="O80" i="2"/>
  <c r="BT8" i="26"/>
  <c r="BT22" i="26"/>
  <c r="BT16" i="26"/>
  <c r="BT9" i="26"/>
  <c r="BT21" i="26"/>
  <c r="BT14" i="26"/>
  <c r="BT19" i="26"/>
  <c r="BT24" i="26"/>
  <c r="BT23" i="26"/>
  <c r="BT10" i="26"/>
  <c r="BT11" i="26"/>
  <c r="BT17" i="26"/>
  <c r="BT13" i="26"/>
  <c r="BT6" i="26"/>
  <c r="BT7" i="26"/>
  <c r="BT12" i="26"/>
  <c r="BT15" i="26"/>
  <c r="BT20" i="26"/>
  <c r="BT5" i="26"/>
  <c r="J24" i="26"/>
  <c r="J23" i="26"/>
  <c r="J22" i="26"/>
  <c r="J21" i="26"/>
  <c r="J20" i="26"/>
  <c r="J19" i="26"/>
  <c r="J17" i="26"/>
  <c r="J16" i="26"/>
  <c r="J15" i="26"/>
  <c r="J14" i="26"/>
  <c r="J13" i="26"/>
  <c r="J12" i="26"/>
  <c r="J11" i="26"/>
  <c r="J10" i="26"/>
  <c r="J9" i="26"/>
  <c r="J8" i="26"/>
  <c r="J7" i="26"/>
  <c r="J6" i="26"/>
  <c r="J5" i="26"/>
  <c r="Z24" i="26"/>
  <c r="Z23" i="26"/>
  <c r="Z22" i="26"/>
  <c r="Z21" i="26"/>
  <c r="Z20" i="26"/>
  <c r="Z19" i="26"/>
  <c r="Z17" i="26"/>
  <c r="Z16" i="26"/>
  <c r="Z15" i="26"/>
  <c r="Z14" i="26"/>
  <c r="Z13" i="26"/>
  <c r="Z12" i="26"/>
  <c r="Z11" i="26"/>
  <c r="Z10" i="26"/>
  <c r="Z9" i="26"/>
  <c r="Z8" i="26"/>
  <c r="Z7" i="26"/>
  <c r="Z6" i="26"/>
  <c r="Z5" i="26"/>
  <c r="AP24" i="26"/>
  <c r="AP23" i="26"/>
  <c r="AP22" i="26"/>
  <c r="AP21" i="26"/>
  <c r="AP20" i="26"/>
  <c r="AP19" i="26"/>
  <c r="AP17" i="26"/>
  <c r="AP16" i="26"/>
  <c r="AP15" i="26"/>
  <c r="AP14" i="26"/>
  <c r="AP13" i="26"/>
  <c r="AP12" i="26"/>
  <c r="AP11" i="26"/>
  <c r="AP10" i="26"/>
  <c r="AP9" i="26"/>
  <c r="AP8" i="26"/>
  <c r="AP7" i="26"/>
  <c r="AP6" i="26"/>
  <c r="AP5" i="26"/>
  <c r="BF5" i="26"/>
  <c r="BF6" i="26"/>
  <c r="BF7" i="26"/>
  <c r="BF8" i="26"/>
  <c r="BF9" i="26"/>
  <c r="BF10" i="26"/>
  <c r="BF11" i="26"/>
  <c r="BF12" i="26"/>
  <c r="BF13" i="26"/>
  <c r="BF14" i="26"/>
  <c r="BF15" i="26"/>
  <c r="BF16" i="26"/>
  <c r="BF17" i="26"/>
  <c r="BF19" i="26"/>
  <c r="BF20" i="26"/>
  <c r="BF21" i="26"/>
  <c r="BF22" i="26"/>
  <c r="BF23" i="26"/>
  <c r="BF24" i="26"/>
  <c r="BH24" i="26"/>
  <c r="BG24" i="26"/>
  <c r="BE24" i="26"/>
  <c r="BH23" i="26"/>
  <c r="BG23" i="26"/>
  <c r="BE23" i="26"/>
  <c r="BH22" i="26"/>
  <c r="BG22" i="26"/>
  <c r="BE22" i="26"/>
  <c r="BH21" i="26"/>
  <c r="BK21" i="26" s="1"/>
  <c r="BG21" i="26"/>
  <c r="BE21" i="26"/>
  <c r="BH20" i="26"/>
  <c r="BG20" i="26"/>
  <c r="BE20" i="26"/>
  <c r="BH19" i="26"/>
  <c r="BK19" i="26" s="1"/>
  <c r="BK59" i="26" s="1"/>
  <c r="BG19" i="26"/>
  <c r="BE19" i="26"/>
  <c r="BH17" i="26"/>
  <c r="BG17" i="26"/>
  <c r="BE17" i="26"/>
  <c r="BH16" i="26"/>
  <c r="BG16" i="26"/>
  <c r="BE16" i="26"/>
  <c r="BH15" i="26"/>
  <c r="BG15" i="26"/>
  <c r="BE15" i="26"/>
  <c r="BH14" i="26"/>
  <c r="BG14" i="26"/>
  <c r="BE14" i="26"/>
  <c r="BJ14" i="26" s="1"/>
  <c r="BH13" i="26"/>
  <c r="BG13" i="26"/>
  <c r="BE13" i="26"/>
  <c r="BH12" i="26"/>
  <c r="BG12" i="26"/>
  <c r="BE12" i="26"/>
  <c r="BH11" i="26"/>
  <c r="BG11" i="26"/>
  <c r="BE11" i="26"/>
  <c r="BH10" i="26"/>
  <c r="BG10" i="26"/>
  <c r="BE10" i="26"/>
  <c r="BH9" i="26"/>
  <c r="BG9" i="26"/>
  <c r="BE9" i="26"/>
  <c r="BH8" i="26"/>
  <c r="BG8" i="26"/>
  <c r="BE8" i="26"/>
  <c r="BH7" i="26"/>
  <c r="BG7" i="26"/>
  <c r="BE7" i="26"/>
  <c r="BH6" i="26"/>
  <c r="BG6" i="26"/>
  <c r="BE6" i="26"/>
  <c r="BH5" i="26"/>
  <c r="BG5" i="26"/>
  <c r="BE5" i="26"/>
  <c r="AR24" i="26"/>
  <c r="AQ24" i="26"/>
  <c r="AO24" i="26"/>
  <c r="AR23" i="26"/>
  <c r="AQ23" i="26"/>
  <c r="AO23" i="26"/>
  <c r="AR22" i="26"/>
  <c r="AQ22" i="26"/>
  <c r="AO22" i="26"/>
  <c r="AR21" i="26"/>
  <c r="AQ21" i="26"/>
  <c r="AO21" i="26"/>
  <c r="AR20" i="26"/>
  <c r="AQ20" i="26"/>
  <c r="AO20" i="26"/>
  <c r="AR19" i="26"/>
  <c r="AQ19" i="26"/>
  <c r="AO19" i="26"/>
  <c r="AR17" i="26"/>
  <c r="AT17" i="26" s="1"/>
  <c r="AT57" i="26" s="1"/>
  <c r="AQ17" i="26"/>
  <c r="AO17" i="26"/>
  <c r="AR16" i="26"/>
  <c r="AQ16" i="26"/>
  <c r="AO16" i="26"/>
  <c r="AR15" i="26"/>
  <c r="AQ15" i="26"/>
  <c r="AO15" i="26"/>
  <c r="AR14" i="26"/>
  <c r="AU14" i="26" s="1"/>
  <c r="AU54" i="26" s="1"/>
  <c r="AQ14" i="26"/>
  <c r="AO14" i="26"/>
  <c r="AR13" i="26"/>
  <c r="AQ13" i="26"/>
  <c r="AO13" i="26"/>
  <c r="AR12" i="26"/>
  <c r="AQ12" i="26"/>
  <c r="AO12" i="26"/>
  <c r="AR11" i="26"/>
  <c r="AQ11" i="26"/>
  <c r="AO11" i="26"/>
  <c r="AR10" i="26"/>
  <c r="AQ10" i="26"/>
  <c r="AO10" i="26"/>
  <c r="AR9" i="26"/>
  <c r="AQ9" i="26"/>
  <c r="AU9" i="26" s="1"/>
  <c r="AU49" i="26" s="1"/>
  <c r="AO9" i="26"/>
  <c r="AR8" i="26"/>
  <c r="AQ8" i="26"/>
  <c r="AO8" i="26"/>
  <c r="AR7" i="26"/>
  <c r="AQ7" i="26"/>
  <c r="AO7" i="26"/>
  <c r="AR6" i="26"/>
  <c r="AQ6" i="26"/>
  <c r="AO6" i="26"/>
  <c r="AR5" i="26"/>
  <c r="AQ5" i="26"/>
  <c r="AO5" i="26"/>
  <c r="AB24" i="26"/>
  <c r="AA24" i="26"/>
  <c r="Y24" i="26"/>
  <c r="AB23" i="26"/>
  <c r="AA23" i="26"/>
  <c r="Y23" i="26"/>
  <c r="AB22" i="26"/>
  <c r="AA22" i="26"/>
  <c r="Y22" i="26"/>
  <c r="AB21" i="26"/>
  <c r="AA21" i="26"/>
  <c r="Y21" i="26"/>
  <c r="AB20" i="26"/>
  <c r="AA20" i="26"/>
  <c r="Y20" i="26"/>
  <c r="AB19" i="26"/>
  <c r="AE19" i="26" s="1"/>
  <c r="AA19" i="26"/>
  <c r="Y19" i="26"/>
  <c r="AB17" i="26"/>
  <c r="AA17" i="26"/>
  <c r="Y17" i="26"/>
  <c r="AB16" i="26"/>
  <c r="AE16" i="26" s="1"/>
  <c r="AA16" i="26"/>
  <c r="Y16" i="26"/>
  <c r="AB15" i="26"/>
  <c r="AA15" i="26"/>
  <c r="Y15" i="26"/>
  <c r="AB14" i="26"/>
  <c r="AA14" i="26"/>
  <c r="Y14" i="26"/>
  <c r="AB13" i="26"/>
  <c r="AA13" i="26"/>
  <c r="Y13" i="26"/>
  <c r="AB12" i="26"/>
  <c r="AA12" i="26"/>
  <c r="Y12" i="26"/>
  <c r="AB11" i="26"/>
  <c r="AA11" i="26"/>
  <c r="Y11" i="26"/>
  <c r="AB10" i="26"/>
  <c r="AA10" i="26"/>
  <c r="Y10" i="26"/>
  <c r="AB9" i="26"/>
  <c r="AA9" i="26"/>
  <c r="Y9" i="26"/>
  <c r="AB8" i="26"/>
  <c r="AA8" i="26"/>
  <c r="Y8" i="26"/>
  <c r="AB7" i="26"/>
  <c r="AA7" i="26"/>
  <c r="Y7" i="26"/>
  <c r="AB6" i="26"/>
  <c r="AA6" i="26"/>
  <c r="Y6" i="26"/>
  <c r="AD6" i="26" s="1"/>
  <c r="AB5" i="26"/>
  <c r="AA5" i="26"/>
  <c r="Y5" i="26"/>
  <c r="L24" i="26"/>
  <c r="K24" i="26"/>
  <c r="I24" i="26"/>
  <c r="L23" i="26"/>
  <c r="K23" i="26"/>
  <c r="I23" i="26"/>
  <c r="L22" i="26"/>
  <c r="K22" i="26"/>
  <c r="I22" i="26"/>
  <c r="L21" i="26"/>
  <c r="K21" i="26"/>
  <c r="I21" i="26"/>
  <c r="L20" i="26"/>
  <c r="K20" i="26"/>
  <c r="I20" i="26"/>
  <c r="L19" i="26"/>
  <c r="K19" i="26"/>
  <c r="I19" i="26"/>
  <c r="L17" i="26"/>
  <c r="K17" i="26"/>
  <c r="I17" i="26"/>
  <c r="L16" i="26"/>
  <c r="K16" i="26"/>
  <c r="I16" i="26"/>
  <c r="L15" i="26"/>
  <c r="N15" i="26" s="1"/>
  <c r="N55" i="26" s="1"/>
  <c r="K15" i="26"/>
  <c r="I15" i="26"/>
  <c r="L14" i="26"/>
  <c r="K14" i="26"/>
  <c r="I14" i="26"/>
  <c r="L13" i="26"/>
  <c r="O13" i="26" s="1"/>
  <c r="K13" i="26"/>
  <c r="I13" i="26"/>
  <c r="L12" i="26"/>
  <c r="N12" i="26" s="1"/>
  <c r="I12" i="26"/>
  <c r="L11" i="26"/>
  <c r="K11" i="26"/>
  <c r="I11" i="26"/>
  <c r="L10" i="26"/>
  <c r="K10" i="26"/>
  <c r="I10" i="26"/>
  <c r="L9" i="26"/>
  <c r="K9" i="26"/>
  <c r="I9" i="26"/>
  <c r="N9" i="26" s="1"/>
  <c r="L8" i="26"/>
  <c r="O8" i="26" s="1"/>
  <c r="K8" i="26"/>
  <c r="I8" i="26"/>
  <c r="L7" i="26"/>
  <c r="K7" i="26"/>
  <c r="I7" i="26"/>
  <c r="L6" i="26"/>
  <c r="K6" i="26"/>
  <c r="I6" i="26"/>
  <c r="L5" i="26"/>
  <c r="O5" i="26" s="1"/>
  <c r="K5" i="26"/>
  <c r="I5" i="26"/>
  <c r="N5" i="26" s="1"/>
  <c r="A95" i="36"/>
  <c r="A94" i="36"/>
  <c r="A93" i="36"/>
  <c r="A92" i="36"/>
  <c r="A91" i="36"/>
  <c r="A90" i="36"/>
  <c r="A89" i="36"/>
  <c r="A88" i="36"/>
  <c r="A87" i="36"/>
  <c r="A86" i="36"/>
  <c r="A85" i="36"/>
  <c r="A84" i="36"/>
  <c r="A83" i="36"/>
  <c r="A82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A12" i="36"/>
  <c r="A11" i="36"/>
  <c r="A10" i="36"/>
  <c r="A9" i="36"/>
  <c r="A8" i="36"/>
  <c r="A7" i="36"/>
  <c r="A6" i="36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6" i="35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A8" i="34"/>
  <c r="A7" i="34"/>
  <c r="A6" i="3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G76" i="2"/>
  <c r="AD18" i="26" l="1"/>
  <c r="O22" i="26"/>
  <c r="AE23" i="26"/>
  <c r="AU24" i="26"/>
  <c r="AU64" i="26" s="1"/>
  <c r="O18" i="26"/>
  <c r="AD9" i="26"/>
  <c r="AD49" i="26" s="1"/>
  <c r="BK11" i="26"/>
  <c r="BK51" i="26" s="1"/>
  <c r="AD19" i="26"/>
  <c r="N18" i="26"/>
  <c r="N21" i="26"/>
  <c r="AU23" i="26"/>
  <c r="AU63" i="26" s="1"/>
  <c r="BK24" i="26"/>
  <c r="BK64" i="26" s="1"/>
  <c r="AT9" i="26"/>
  <c r="AT49" i="26" s="1"/>
  <c r="BI17" i="26"/>
  <c r="BI57" i="26" s="1"/>
  <c r="BI5" i="26"/>
  <c r="BI45" i="26" s="1"/>
  <c r="BI12" i="26"/>
  <c r="O16" i="26"/>
  <c r="O56" i="26" s="1"/>
  <c r="AE17" i="26"/>
  <c r="BI6" i="26"/>
  <c r="BI46" i="26" s="1"/>
  <c r="BK20" i="26"/>
  <c r="BK60" i="26" s="1"/>
  <c r="AT5" i="26"/>
  <c r="AT45" i="26" s="1"/>
  <c r="BK6" i="26"/>
  <c r="BK46" i="26" s="1"/>
  <c r="BI13" i="26"/>
  <c r="BI20" i="26"/>
  <c r="AU19" i="26"/>
  <c r="AU59" i="26" s="1"/>
  <c r="BI18" i="26"/>
  <c r="BI58" i="26" s="1"/>
  <c r="AU6" i="26"/>
  <c r="AU46" i="26" s="1"/>
  <c r="AT13" i="26"/>
  <c r="BK14" i="26"/>
  <c r="BK54" i="26" s="1"/>
  <c r="BI22" i="26"/>
  <c r="BI62" i="26" s="1"/>
  <c r="W97" i="2"/>
  <c r="W120" i="2" s="1"/>
  <c r="AC120" i="2" s="1"/>
  <c r="AJ120" i="2" s="1"/>
  <c r="AE22" i="26"/>
  <c r="AE62" i="26" s="1"/>
  <c r="AE8" i="26"/>
  <c r="BK7" i="26"/>
  <c r="BK47" i="26" s="1"/>
  <c r="V89" i="2"/>
  <c r="V112" i="2" s="1"/>
  <c r="AB112" i="2" s="1"/>
  <c r="AI112" i="2" s="1"/>
  <c r="K3" i="26"/>
  <c r="AU7" i="26"/>
  <c r="AU47" i="26" s="1"/>
  <c r="AC18" i="26"/>
  <c r="AC58" i="26" s="1"/>
  <c r="BJ58" i="26"/>
  <c r="N11" i="26"/>
  <c r="N51" i="26" s="1"/>
  <c r="V97" i="2"/>
  <c r="V120" i="2" s="1"/>
  <c r="AB120" i="2" s="1"/>
  <c r="AI120" i="2" s="1"/>
  <c r="AD13" i="26"/>
  <c r="BI9" i="26"/>
  <c r="BI49" i="26" s="1"/>
  <c r="BI23" i="26"/>
  <c r="BJ63" i="26" s="1"/>
  <c r="AS18" i="26"/>
  <c r="AS58" i="26" s="1"/>
  <c r="AE5" i="26"/>
  <c r="AD5" i="26"/>
  <c r="BI14" i="26"/>
  <c r="BI54" i="26" s="1"/>
  <c r="N20" i="26"/>
  <c r="AD14" i="26"/>
  <c r="AU22" i="26"/>
  <c r="AU62" i="26" s="1"/>
  <c r="BK23" i="26"/>
  <c r="BK63" i="26" s="1"/>
  <c r="AT18" i="26"/>
  <c r="AT58" i="26" s="1"/>
  <c r="O12" i="26"/>
  <c r="AU10" i="26"/>
  <c r="AU50" i="26" s="1"/>
  <c r="BK12" i="26"/>
  <c r="BK15" i="26"/>
  <c r="BK55" i="26" s="1"/>
  <c r="AU15" i="26"/>
  <c r="AU55" i="26" s="1"/>
  <c r="BK10" i="26"/>
  <c r="BK50" i="26" s="1"/>
  <c r="BK18" i="26"/>
  <c r="BK58" i="26" s="1"/>
  <c r="O6" i="26"/>
  <c r="AC14" i="26"/>
  <c r="AU8" i="26"/>
  <c r="AU48" i="26" s="1"/>
  <c r="BK5" i="26"/>
  <c r="BK45" i="26" s="1"/>
  <c r="O9" i="26"/>
  <c r="O17" i="26"/>
  <c r="AE6" i="26"/>
  <c r="AE46" i="26" s="1"/>
  <c r="AU11" i="26"/>
  <c r="AU51" i="26" s="1"/>
  <c r="AU20" i="26"/>
  <c r="AU60" i="26" s="1"/>
  <c r="BK8" i="26"/>
  <c r="BK48" i="26" s="1"/>
  <c r="BI11" i="26"/>
  <c r="BI51" i="26" s="1"/>
  <c r="BK16" i="26"/>
  <c r="BK56" i="26" s="1"/>
  <c r="N17" i="26"/>
  <c r="AE9" i="26"/>
  <c r="AU17" i="26"/>
  <c r="AU57" i="26" s="1"/>
  <c r="BJ19" i="26"/>
  <c r="BJ59" i="26" s="1"/>
  <c r="O15" i="26"/>
  <c r="O55" i="26" s="1"/>
  <c r="AE12" i="26"/>
  <c r="N10" i="26"/>
  <c r="N50" i="26" s="1"/>
  <c r="N19" i="26"/>
  <c r="AE7" i="26"/>
  <c r="AE10" i="26"/>
  <c r="AE50" i="26" s="1"/>
  <c r="AE15" i="26"/>
  <c r="AE55" i="26" s="1"/>
  <c r="AE24" i="26"/>
  <c r="AE64" i="26" s="1"/>
  <c r="AU12" i="26"/>
  <c r="AS15" i="26"/>
  <c r="AS55" i="26" s="1"/>
  <c r="AU21" i="26"/>
  <c r="AU61" i="26" s="1"/>
  <c r="BK9" i="26"/>
  <c r="BK49" i="26" s="1"/>
  <c r="BK17" i="26"/>
  <c r="BK57" i="26" s="1"/>
  <c r="BI21" i="26"/>
  <c r="BI61" i="26" s="1"/>
  <c r="AD23" i="26"/>
  <c r="BJ6" i="26"/>
  <c r="BJ46" i="26" s="1"/>
  <c r="AU58" i="26"/>
  <c r="O7" i="26"/>
  <c r="O47" i="26" s="1"/>
  <c r="AT22" i="26"/>
  <c r="AT62" i="26" s="1"/>
  <c r="N13" i="26"/>
  <c r="N22" i="26"/>
  <c r="AD10" i="26"/>
  <c r="AD50" i="26" s="1"/>
  <c r="BI7" i="26"/>
  <c r="BI47" i="26" s="1"/>
  <c r="BI15" i="26"/>
  <c r="BI55" i="26" s="1"/>
  <c r="BK61" i="26"/>
  <c r="BI24" i="26"/>
  <c r="BI64" i="26" s="1"/>
  <c r="O21" i="26"/>
  <c r="O24" i="26"/>
  <c r="O64" i="26" s="1"/>
  <c r="AE21" i="26"/>
  <c r="AE61" i="26" s="1"/>
  <c r="AU5" i="26"/>
  <c r="AU45" i="26" s="1"/>
  <c r="AU13" i="26"/>
  <c r="BI10" i="26"/>
  <c r="BI50" i="26" s="1"/>
  <c r="BI19" i="26"/>
  <c r="BI59" i="26" s="1"/>
  <c r="AT6" i="26"/>
  <c r="AT46" i="26" s="1"/>
  <c r="BJ10" i="26"/>
  <c r="BJ50" i="26" s="1"/>
  <c r="O14" i="26"/>
  <c r="O54" i="26" s="1"/>
  <c r="O23" i="26"/>
  <c r="O63" i="26" s="1"/>
  <c r="AE11" i="26"/>
  <c r="AE51" i="26" s="1"/>
  <c r="AE20" i="26"/>
  <c r="AE60" i="26" s="1"/>
  <c r="AU16" i="26"/>
  <c r="AU56" i="26" s="1"/>
  <c r="BI8" i="26"/>
  <c r="BI48" i="26" s="1"/>
  <c r="BK13" i="26"/>
  <c r="BI16" i="26"/>
  <c r="BI56" i="26" s="1"/>
  <c r="BK22" i="26"/>
  <c r="BK62" i="26" s="1"/>
  <c r="AT14" i="26"/>
  <c r="AT54" i="26" s="1"/>
  <c r="AE13" i="26"/>
  <c r="N8" i="26"/>
  <c r="AT10" i="26"/>
  <c r="AT50" i="26" s="1"/>
  <c r="N7" i="26"/>
  <c r="O20" i="26"/>
  <c r="O11" i="26"/>
  <c r="AE14" i="26"/>
  <c r="AD20" i="26"/>
  <c r="AD24" i="26"/>
  <c r="AT19" i="26"/>
  <c r="AT59" i="26" s="1"/>
  <c r="AT23" i="26"/>
  <c r="AT63" i="26" s="1"/>
  <c r="BJ7" i="26"/>
  <c r="BJ47" i="26" s="1"/>
  <c r="BJ11" i="26"/>
  <c r="BJ51" i="26" s="1"/>
  <c r="BJ15" i="26"/>
  <c r="BJ55" i="26" s="1"/>
  <c r="BJ20" i="26"/>
  <c r="BJ60" i="26" s="1"/>
  <c r="BJ24" i="26"/>
  <c r="BJ64" i="26" s="1"/>
  <c r="AS23" i="26"/>
  <c r="AS63" i="26" s="1"/>
  <c r="N24" i="26"/>
  <c r="N14" i="26"/>
  <c r="N54" i="26" s="1"/>
  <c r="N6" i="26"/>
  <c r="O19" i="26"/>
  <c r="O10" i="26"/>
  <c r="O50" i="26" s="1"/>
  <c r="AD11" i="26"/>
  <c r="AD15" i="26"/>
  <c r="AD55" i="26" s="1"/>
  <c r="AT7" i="26"/>
  <c r="AT47" i="26" s="1"/>
  <c r="AT11" i="26"/>
  <c r="AT51" i="26" s="1"/>
  <c r="AT15" i="26"/>
  <c r="AT55" i="26" s="1"/>
  <c r="N23" i="26"/>
  <c r="AD7" i="26"/>
  <c r="AD21" i="26"/>
  <c r="AT20" i="26"/>
  <c r="AT60" i="26" s="1"/>
  <c r="AT24" i="26"/>
  <c r="AT64" i="26" s="1"/>
  <c r="BJ8" i="26"/>
  <c r="BJ48" i="26" s="1"/>
  <c r="BJ12" i="26"/>
  <c r="BJ16" i="26"/>
  <c r="BJ56" i="26" s="1"/>
  <c r="BJ21" i="26"/>
  <c r="BJ61" i="26" s="1"/>
  <c r="N16" i="26"/>
  <c r="AS9" i="26"/>
  <c r="AS49" i="26" s="1"/>
  <c r="AS12" i="26"/>
  <c r="AD12" i="26"/>
  <c r="AD16" i="26"/>
  <c r="AT8" i="26"/>
  <c r="AT48" i="26" s="1"/>
  <c r="AT12" i="26"/>
  <c r="AT16" i="26"/>
  <c r="AT56" i="26" s="1"/>
  <c r="BI60" i="26"/>
  <c r="AD8" i="26"/>
  <c r="AD17" i="26"/>
  <c r="AD57" i="26" s="1"/>
  <c r="AD22" i="26"/>
  <c r="AT21" i="26"/>
  <c r="AT61" i="26" s="1"/>
  <c r="BJ5" i="26"/>
  <c r="BJ45" i="26" s="1"/>
  <c r="BJ9" i="26"/>
  <c r="BJ49" i="26" s="1"/>
  <c r="BJ13" i="26"/>
  <c r="BJ17" i="26"/>
  <c r="BJ57" i="26" s="1"/>
  <c r="BJ22" i="26"/>
  <c r="BJ62" i="26" s="1"/>
  <c r="AS10" i="26"/>
  <c r="AS50" i="26" s="1"/>
  <c r="AE49" i="26"/>
  <c r="AE57" i="26"/>
  <c r="BJ54" i="26"/>
  <c r="AC6" i="26"/>
  <c r="AC46" i="26" s="1"/>
  <c r="AC54" i="26"/>
  <c r="AE59" i="26"/>
  <c r="AC22" i="26"/>
  <c r="AC62" i="26" s="1"/>
  <c r="AS5" i="26"/>
  <c r="AS45" i="26" s="1"/>
  <c r="AC12" i="26"/>
  <c r="AC20" i="26"/>
  <c r="AC60" i="26" s="1"/>
  <c r="AS8" i="26"/>
  <c r="AS48" i="26" s="1"/>
  <c r="AS16" i="26"/>
  <c r="AS56" i="26" s="1"/>
  <c r="AS24" i="26"/>
  <c r="AS64" i="26" s="1"/>
  <c r="AS11" i="26"/>
  <c r="AS51" i="26" s="1"/>
  <c r="AS19" i="26"/>
  <c r="AS59" i="26" s="1"/>
  <c r="AS20" i="26"/>
  <c r="AS60" i="26" s="1"/>
  <c r="AS6" i="26"/>
  <c r="AS46" i="26" s="1"/>
  <c r="AS14" i="26"/>
  <c r="AS54" i="26" s="1"/>
  <c r="AS17" i="26"/>
  <c r="AS57" i="26" s="1"/>
  <c r="AS22" i="26"/>
  <c r="AS62" i="26" s="1"/>
  <c r="AS13" i="26"/>
  <c r="AS21" i="26"/>
  <c r="AS61" i="26" s="1"/>
  <c r="AS7" i="26"/>
  <c r="AS47" i="26" s="1"/>
  <c r="AC15" i="26"/>
  <c r="AC55" i="26" s="1"/>
  <c r="AC7" i="26"/>
  <c r="AC47" i="26" s="1"/>
  <c r="AE47" i="26"/>
  <c r="AE58" i="26"/>
  <c r="AC24" i="26"/>
  <c r="AC64" i="26" s="1"/>
  <c r="AE48" i="26"/>
  <c r="AC11" i="26"/>
  <c r="AE56" i="26"/>
  <c r="AC19" i="26"/>
  <c r="AC59" i="26" s="1"/>
  <c r="AC5" i="26"/>
  <c r="AC45" i="26" s="1"/>
  <c r="AE45" i="26"/>
  <c r="AC23" i="26"/>
  <c r="AC63" i="26" s="1"/>
  <c r="AC10" i="26"/>
  <c r="AC50" i="26" s="1"/>
  <c r="AE63" i="26"/>
  <c r="AC13" i="26"/>
  <c r="AC21" i="26"/>
  <c r="AC61" i="26" s="1"/>
  <c r="AC8" i="26"/>
  <c r="AC48" i="26" s="1"/>
  <c r="AC16" i="26"/>
  <c r="AC56" i="26" s="1"/>
  <c r="AC9" i="26"/>
  <c r="AC49" i="26" s="1"/>
  <c r="AE54" i="26"/>
  <c r="AC17" i="26"/>
  <c r="AD59" i="26"/>
  <c r="AC57" i="26"/>
  <c r="AD60" i="26"/>
  <c r="AD47" i="26"/>
  <c r="AD63" i="26"/>
  <c r="AD45" i="26"/>
  <c r="O48" i="26"/>
  <c r="O46" i="26"/>
  <c r="O62" i="26"/>
  <c r="AD48" i="26"/>
  <c r="AD56" i="26"/>
  <c r="AD64" i="26"/>
  <c r="AD46" i="26"/>
  <c r="AD54" i="26"/>
  <c r="AD62" i="26"/>
  <c r="O61" i="26"/>
  <c r="O51" i="26"/>
  <c r="O59" i="26"/>
  <c r="O49" i="26"/>
  <c r="O60" i="26"/>
  <c r="M5" i="26"/>
  <c r="M45" i="26" s="1"/>
  <c r="O58" i="26"/>
  <c r="O57" i="26"/>
  <c r="N45" i="26"/>
  <c r="AQ3" i="26"/>
  <c r="M21" i="26"/>
  <c r="M61" i="26" s="1"/>
  <c r="O45" i="26"/>
  <c r="V98" i="2"/>
  <c r="V121" i="2" s="1"/>
  <c r="AB121" i="2" s="1"/>
  <c r="AI121" i="2" s="1"/>
  <c r="V90" i="2"/>
  <c r="V113" i="2" s="1"/>
  <c r="AB113" i="2" s="1"/>
  <c r="AI113" i="2" s="1"/>
  <c r="V82" i="2"/>
  <c r="V105" i="2" s="1"/>
  <c r="AB105" i="2" s="1"/>
  <c r="AI105" i="2" s="1"/>
  <c r="V94" i="2"/>
  <c r="Y92" i="2"/>
  <c r="Y115" i="2" s="1"/>
  <c r="AE115" i="2" s="1"/>
  <c r="AL115" i="2" s="1"/>
  <c r="Y84" i="2"/>
  <c r="Y107" i="2" s="1"/>
  <c r="AE107" i="2" s="1"/>
  <c r="AL107" i="2" s="1"/>
  <c r="X94" i="2"/>
  <c r="X117" i="2" s="1"/>
  <c r="AD117" i="2" s="1"/>
  <c r="AK117" i="2" s="1"/>
  <c r="X86" i="2"/>
  <c r="X109" i="2" s="1"/>
  <c r="AD109" i="2" s="1"/>
  <c r="AK109" i="2" s="1"/>
  <c r="X80" i="2"/>
  <c r="X103" i="2" s="1"/>
  <c r="AD103" i="2" s="1"/>
  <c r="AK103" i="2" s="1"/>
  <c r="W89" i="2"/>
  <c r="W112" i="2" s="1"/>
  <c r="AC112" i="2" s="1"/>
  <c r="AJ112" i="2" s="1"/>
  <c r="U99" i="2"/>
  <c r="U122" i="2" s="1"/>
  <c r="AA122" i="2" s="1"/>
  <c r="AH122" i="2" s="1"/>
  <c r="X92" i="2"/>
  <c r="X115" i="2" s="1"/>
  <c r="AD115" i="2" s="1"/>
  <c r="AK115" i="2" s="1"/>
  <c r="U91" i="2"/>
  <c r="U114" i="2" s="1"/>
  <c r="AA114" i="2" s="1"/>
  <c r="AH114" i="2" s="1"/>
  <c r="X84" i="2"/>
  <c r="X107" i="2" s="1"/>
  <c r="AD107" i="2" s="1"/>
  <c r="AK107" i="2" s="1"/>
  <c r="V81" i="2"/>
  <c r="V104" i="2" s="1"/>
  <c r="AB104" i="2" s="1"/>
  <c r="AI104" i="2" s="1"/>
  <c r="X98" i="2"/>
  <c r="X121" i="2" s="1"/>
  <c r="AD121" i="2" s="1"/>
  <c r="AK121" i="2" s="1"/>
  <c r="X90" i="2"/>
  <c r="X113" i="2" s="1"/>
  <c r="AD113" i="2" s="1"/>
  <c r="AK113" i="2" s="1"/>
  <c r="X82" i="2"/>
  <c r="X105" i="2" s="1"/>
  <c r="AD105" i="2" s="1"/>
  <c r="AK105" i="2" s="1"/>
  <c r="Y99" i="2"/>
  <c r="Y122" i="2" s="1"/>
  <c r="AE122" i="2" s="1"/>
  <c r="AL122" i="2" s="1"/>
  <c r="X96" i="2"/>
  <c r="X119" i="2" s="1"/>
  <c r="AD119" i="2" s="1"/>
  <c r="AK119" i="2" s="1"/>
  <c r="Y91" i="2"/>
  <c r="Y114" i="2" s="1"/>
  <c r="AE114" i="2" s="1"/>
  <c r="AL114" i="2" s="1"/>
  <c r="X88" i="2"/>
  <c r="X111" i="2" s="1"/>
  <c r="AD111" i="2" s="1"/>
  <c r="AK111" i="2" s="1"/>
  <c r="Y83" i="2"/>
  <c r="Y106" i="2" s="1"/>
  <c r="AE106" i="2" s="1"/>
  <c r="AL106" i="2" s="1"/>
  <c r="U94" i="2"/>
  <c r="U117" i="2" s="1"/>
  <c r="AA117" i="2" s="1"/>
  <c r="AH117" i="2" s="1"/>
  <c r="U86" i="2"/>
  <c r="U109" i="2" s="1"/>
  <c r="AA109" i="2" s="1"/>
  <c r="AH109" i="2" s="1"/>
  <c r="W95" i="2"/>
  <c r="W118" i="2" s="1"/>
  <c r="AC118" i="2" s="1"/>
  <c r="AJ118" i="2" s="1"/>
  <c r="W87" i="2"/>
  <c r="W110" i="2" s="1"/>
  <c r="AC110" i="2" s="1"/>
  <c r="AJ110" i="2" s="1"/>
  <c r="W93" i="2"/>
  <c r="W116" i="2" s="1"/>
  <c r="AC116" i="2" s="1"/>
  <c r="AJ116" i="2" s="1"/>
  <c r="W85" i="2"/>
  <c r="W108" i="2" s="1"/>
  <c r="AC108" i="2" s="1"/>
  <c r="AJ108" i="2" s="1"/>
  <c r="W99" i="2"/>
  <c r="W122" i="2" s="1"/>
  <c r="AC122" i="2" s="1"/>
  <c r="AJ122" i="2" s="1"/>
  <c r="W91" i="2"/>
  <c r="W114" i="2" s="1"/>
  <c r="AC114" i="2" s="1"/>
  <c r="AJ114" i="2" s="1"/>
  <c r="W83" i="2"/>
  <c r="W106" i="2" s="1"/>
  <c r="AC106" i="2" s="1"/>
  <c r="AJ106" i="2" s="1"/>
  <c r="X89" i="2"/>
  <c r="X112" i="2" s="1"/>
  <c r="AD112" i="2" s="1"/>
  <c r="AK112" i="2" s="1"/>
  <c r="V117" i="2"/>
  <c r="AB117" i="2" s="1"/>
  <c r="AI117" i="2" s="1"/>
  <c r="U98" i="2"/>
  <c r="U121" i="2" s="1"/>
  <c r="AA121" i="2" s="1"/>
  <c r="AH121" i="2" s="1"/>
  <c r="U90" i="2"/>
  <c r="U82" i="2"/>
  <c r="U80" i="2"/>
  <c r="U96" i="2"/>
  <c r="W94" i="2"/>
  <c r="U88" i="2"/>
  <c r="W86" i="2"/>
  <c r="V88" i="2"/>
  <c r="Y95" i="2"/>
  <c r="Y118" i="2" s="1"/>
  <c r="AE118" i="2" s="1"/>
  <c r="AL118" i="2" s="1"/>
  <c r="Y87" i="2"/>
  <c r="Y110" i="2" s="1"/>
  <c r="AE110" i="2" s="1"/>
  <c r="AL110" i="2" s="1"/>
  <c r="V86" i="2"/>
  <c r="W96" i="2"/>
  <c r="W88" i="2"/>
  <c r="W84" i="2"/>
  <c r="W80" i="2"/>
  <c r="U97" i="2"/>
  <c r="Y93" i="2"/>
  <c r="Y116" i="2" s="1"/>
  <c r="AE116" i="2" s="1"/>
  <c r="AL116" i="2" s="1"/>
  <c r="V92" i="2"/>
  <c r="U89" i="2"/>
  <c r="Y85" i="2"/>
  <c r="Y108" i="2" s="1"/>
  <c r="AE108" i="2" s="1"/>
  <c r="AL108" i="2" s="1"/>
  <c r="V84" i="2"/>
  <c r="U81" i="2"/>
  <c r="V96" i="2"/>
  <c r="W92" i="2"/>
  <c r="V80" i="2"/>
  <c r="W98" i="2"/>
  <c r="W121" i="2" s="1"/>
  <c r="AC121" i="2" s="1"/>
  <c r="AJ121" i="2" s="1"/>
  <c r="W90" i="2"/>
  <c r="W82" i="2"/>
  <c r="X93" i="2"/>
  <c r="X116" i="2" s="1"/>
  <c r="AD116" i="2" s="1"/>
  <c r="AK116" i="2" s="1"/>
  <c r="X85" i="2"/>
  <c r="X108" i="2" s="1"/>
  <c r="AD108" i="2" s="1"/>
  <c r="AK108" i="2" s="1"/>
  <c r="U95" i="2"/>
  <c r="U87" i="2"/>
  <c r="X99" i="2"/>
  <c r="X122" i="2" s="1"/>
  <c r="AD122" i="2" s="1"/>
  <c r="AK122" i="2" s="1"/>
  <c r="X91" i="2"/>
  <c r="X114" i="2" s="1"/>
  <c r="AD114" i="2" s="1"/>
  <c r="AK114" i="2" s="1"/>
  <c r="X83" i="2"/>
  <c r="X106" i="2" s="1"/>
  <c r="AD106" i="2" s="1"/>
  <c r="AK106" i="2" s="1"/>
  <c r="Y80" i="2"/>
  <c r="Y103" i="2" s="1"/>
  <c r="AE103" i="2" s="1"/>
  <c r="AL103" i="2" s="1"/>
  <c r="X95" i="2"/>
  <c r="X118" i="2" s="1"/>
  <c r="AD118" i="2" s="1"/>
  <c r="AK118" i="2" s="1"/>
  <c r="X87" i="2"/>
  <c r="X110" i="2" s="1"/>
  <c r="AD110" i="2" s="1"/>
  <c r="AK110" i="2" s="1"/>
  <c r="U92" i="2"/>
  <c r="U84" i="2"/>
  <c r="Y98" i="2"/>
  <c r="Y121" i="2" s="1"/>
  <c r="AE121" i="2" s="1"/>
  <c r="AL121" i="2" s="1"/>
  <c r="Y96" i="2"/>
  <c r="Y119" i="2" s="1"/>
  <c r="AE119" i="2" s="1"/>
  <c r="AL119" i="2" s="1"/>
  <c r="Y94" i="2"/>
  <c r="Y117" i="2" s="1"/>
  <c r="AE117" i="2" s="1"/>
  <c r="AL117" i="2" s="1"/>
  <c r="Y90" i="2"/>
  <c r="Y113" i="2" s="1"/>
  <c r="AE113" i="2" s="1"/>
  <c r="AL113" i="2" s="1"/>
  <c r="Y88" i="2"/>
  <c r="Y111" i="2" s="1"/>
  <c r="AE111" i="2" s="1"/>
  <c r="AL111" i="2" s="1"/>
  <c r="Y86" i="2"/>
  <c r="Y109" i="2" s="1"/>
  <c r="AE109" i="2" s="1"/>
  <c r="AL109" i="2" s="1"/>
  <c r="Y82" i="2"/>
  <c r="Y105" i="2" s="1"/>
  <c r="AE105" i="2" s="1"/>
  <c r="AL105" i="2" s="1"/>
  <c r="V95" i="2"/>
  <c r="V87" i="2"/>
  <c r="V93" i="2"/>
  <c r="V85" i="2"/>
  <c r="U93" i="2"/>
  <c r="U85" i="2"/>
  <c r="V99" i="2"/>
  <c r="V122" i="2" s="1"/>
  <c r="AB122" i="2" s="1"/>
  <c r="AI122" i="2" s="1"/>
  <c r="V91" i="2"/>
  <c r="V83" i="2"/>
  <c r="U83" i="2"/>
  <c r="M11" i="26"/>
  <c r="M51" i="26" s="1"/>
  <c r="M19" i="26"/>
  <c r="M59" i="26" s="1"/>
  <c r="BH3" i="26"/>
  <c r="AP3" i="26"/>
  <c r="L3" i="26"/>
  <c r="AR3" i="26"/>
  <c r="BE3" i="26"/>
  <c r="AO3" i="26"/>
  <c r="J3" i="26"/>
  <c r="M12" i="26"/>
  <c r="M20" i="26"/>
  <c r="M60" i="26" s="1"/>
  <c r="M6" i="26"/>
  <c r="M46" i="26" s="1"/>
  <c r="M22" i="26"/>
  <c r="M62" i="26" s="1"/>
  <c r="M14" i="26"/>
  <c r="M54" i="26" s="1"/>
  <c r="M10" i="26"/>
  <c r="M50" i="26" s="1"/>
  <c r="M58" i="26"/>
  <c r="M13" i="26"/>
  <c r="M8" i="26"/>
  <c r="M48" i="26" s="1"/>
  <c r="M16" i="26"/>
  <c r="M56" i="26" s="1"/>
  <c r="M24" i="26"/>
  <c r="M64" i="26" s="1"/>
  <c r="BF3" i="26"/>
  <c r="BG3" i="26"/>
  <c r="AB3" i="26"/>
  <c r="M7" i="26"/>
  <c r="M47" i="26" s="1"/>
  <c r="M9" i="26"/>
  <c r="M49" i="26" s="1"/>
  <c r="M15" i="26"/>
  <c r="M55" i="26" s="1"/>
  <c r="M17" i="26"/>
  <c r="M57" i="26" s="1"/>
  <c r="M23" i="26"/>
  <c r="M63" i="26" s="1"/>
  <c r="I3" i="26"/>
  <c r="Y3" i="26"/>
  <c r="Z3" i="26"/>
  <c r="AA3" i="26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D51" i="20"/>
  <c r="E51" i="20"/>
  <c r="F51" i="20"/>
  <c r="G51" i="20"/>
  <c r="H51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U51" i="20"/>
  <c r="V51" i="20"/>
  <c r="C51" i="20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C45" i="12"/>
  <c r="AF76" i="2"/>
  <c r="AE76" i="2"/>
  <c r="AD76" i="2"/>
  <c r="AC76" i="2"/>
  <c r="AB76" i="2"/>
  <c r="AA76" i="2"/>
  <c r="Z76" i="2"/>
  <c r="Y76" i="2"/>
  <c r="H76" i="2"/>
  <c r="I76" i="2"/>
  <c r="J76" i="2"/>
  <c r="K76" i="2"/>
  <c r="L76" i="2"/>
  <c r="M76" i="2"/>
  <c r="N76" i="2"/>
  <c r="G72" i="2"/>
  <c r="I35" i="2"/>
  <c r="AE34" i="2"/>
  <c r="BI63" i="26" l="1"/>
  <c r="BI65" i="26"/>
  <c r="AU65" i="26"/>
  <c r="BK65" i="26"/>
  <c r="AT65" i="26"/>
  <c r="M65" i="26"/>
  <c r="O65" i="26"/>
  <c r="AD51" i="26"/>
  <c r="BJ65" i="26"/>
  <c r="AE65" i="26"/>
  <c r="AC65" i="26"/>
  <c r="AS65" i="26"/>
  <c r="AD58" i="26"/>
  <c r="AC51" i="26"/>
  <c r="AD61" i="26"/>
  <c r="N64" i="26"/>
  <c r="N63" i="26"/>
  <c r="N56" i="26"/>
  <c r="N57" i="26"/>
  <c r="N48" i="26"/>
  <c r="AP2" i="26"/>
  <c r="AO2" i="26"/>
  <c r="AQ2" i="26"/>
  <c r="AR2" i="26"/>
  <c r="N49" i="26"/>
  <c r="N58" i="26"/>
  <c r="N60" i="26"/>
  <c r="N59" i="26"/>
  <c r="N61" i="26"/>
  <c r="N47" i="26"/>
  <c r="AB2" i="26"/>
  <c r="AA2" i="26"/>
  <c r="N62" i="26"/>
  <c r="N46" i="26"/>
  <c r="BH2" i="26"/>
  <c r="BG2" i="26"/>
  <c r="W107" i="2"/>
  <c r="AC107" i="2" s="1"/>
  <c r="AJ107" i="2" s="1"/>
  <c r="W119" i="2"/>
  <c r="AC119" i="2" s="1"/>
  <c r="AJ119" i="2" s="1"/>
  <c r="U113" i="2"/>
  <c r="U106" i="2"/>
  <c r="AA106" i="2" s="1"/>
  <c r="AH106" i="2" s="1"/>
  <c r="V108" i="2"/>
  <c r="AB108" i="2" s="1"/>
  <c r="AI108" i="2" s="1"/>
  <c r="V103" i="2"/>
  <c r="AB103" i="2" s="1"/>
  <c r="AI103" i="2" s="1"/>
  <c r="U112" i="2"/>
  <c r="V111" i="2"/>
  <c r="AB111" i="2" s="1"/>
  <c r="AI111" i="2" s="1"/>
  <c r="V106" i="2"/>
  <c r="AB106" i="2" s="1"/>
  <c r="AI106" i="2" s="1"/>
  <c r="V116" i="2"/>
  <c r="AB116" i="2" s="1"/>
  <c r="AI116" i="2" s="1"/>
  <c r="W115" i="2"/>
  <c r="AC115" i="2" s="1"/>
  <c r="AJ115" i="2" s="1"/>
  <c r="V115" i="2"/>
  <c r="AB115" i="2" s="1"/>
  <c r="AI115" i="2" s="1"/>
  <c r="W109" i="2"/>
  <c r="AC109" i="2" s="1"/>
  <c r="AJ109" i="2" s="1"/>
  <c r="V119" i="2"/>
  <c r="AB119" i="2" s="1"/>
  <c r="AI119" i="2" s="1"/>
  <c r="U111" i="2"/>
  <c r="V118" i="2"/>
  <c r="AB118" i="2" s="1"/>
  <c r="AI118" i="2" s="1"/>
  <c r="U120" i="2"/>
  <c r="V110" i="2"/>
  <c r="AB110" i="2" s="1"/>
  <c r="AI110" i="2" s="1"/>
  <c r="U115" i="2"/>
  <c r="AA115" i="2" s="1"/>
  <c r="AH115" i="2" s="1"/>
  <c r="W103" i="2"/>
  <c r="AC103" i="2" s="1"/>
  <c r="AJ103" i="2" s="1"/>
  <c r="U119" i="2"/>
  <c r="W105" i="2"/>
  <c r="AC105" i="2" s="1"/>
  <c r="AJ105" i="2" s="1"/>
  <c r="U104" i="2"/>
  <c r="V109" i="2"/>
  <c r="V114" i="2"/>
  <c r="AB114" i="2" s="1"/>
  <c r="AI114" i="2" s="1"/>
  <c r="U107" i="2"/>
  <c r="U110" i="2"/>
  <c r="AA110" i="2" s="1"/>
  <c r="AH110" i="2" s="1"/>
  <c r="W117" i="2"/>
  <c r="U108" i="2"/>
  <c r="AA108" i="2" s="1"/>
  <c r="AH108" i="2" s="1"/>
  <c r="U118" i="2"/>
  <c r="AA118" i="2" s="1"/>
  <c r="AH118" i="2" s="1"/>
  <c r="U116" i="2"/>
  <c r="U103" i="2"/>
  <c r="W113" i="2"/>
  <c r="AC113" i="2" s="1"/>
  <c r="AJ113" i="2" s="1"/>
  <c r="V107" i="2"/>
  <c r="AB107" i="2" s="1"/>
  <c r="AI107" i="2" s="1"/>
  <c r="W111" i="2"/>
  <c r="AC111" i="2" s="1"/>
  <c r="AJ111" i="2" s="1"/>
  <c r="U105" i="2"/>
  <c r="M3" i="26"/>
  <c r="AC3" i="26"/>
  <c r="BI3" i="26"/>
  <c r="AS3" i="26"/>
  <c r="G34" i="2"/>
  <c r="N65" i="26" l="1"/>
  <c r="AD65" i="26"/>
  <c r="BF2" i="26"/>
  <c r="BE2" i="26"/>
  <c r="Z2" i="26"/>
  <c r="Y2" i="26"/>
  <c r="K2" i="26"/>
  <c r="L2" i="26"/>
  <c r="I2" i="26"/>
  <c r="J2" i="26"/>
  <c r="AA116" i="2"/>
  <c r="AH116" i="2" s="1"/>
  <c r="AA107" i="2"/>
  <c r="AH107" i="2" s="1"/>
  <c r="AA105" i="2"/>
  <c r="AH105" i="2" s="1"/>
  <c r="AA103" i="2"/>
  <c r="AH103" i="2" s="1"/>
  <c r="AC117" i="2"/>
  <c r="AJ117" i="2" s="1"/>
  <c r="AB109" i="2"/>
  <c r="AI109" i="2" s="1"/>
  <c r="AA104" i="2"/>
  <c r="AH104" i="2" s="1"/>
  <c r="AA111" i="2"/>
  <c r="AH111" i="2" s="1"/>
  <c r="AA112" i="2"/>
  <c r="AH112" i="2" s="1"/>
  <c r="AA113" i="2"/>
  <c r="AH113" i="2" s="1"/>
  <c r="AA119" i="2"/>
  <c r="AH119" i="2" s="1"/>
  <c r="AA120" i="2"/>
  <c r="AH120" i="2" s="1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3" i="15"/>
  <c r="A44" i="15"/>
  <c r="A45" i="15"/>
  <c r="A46" i="15"/>
  <c r="A47" i="15"/>
  <c r="A48" i="15"/>
  <c r="A49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5" i="3"/>
  <c r="H71" i="2"/>
  <c r="I71" i="2"/>
  <c r="J71" i="2"/>
  <c r="K71" i="2"/>
  <c r="L71" i="2"/>
  <c r="H72" i="2"/>
  <c r="I72" i="2"/>
  <c r="J72" i="2"/>
  <c r="K72" i="2"/>
  <c r="L72" i="2"/>
  <c r="H73" i="2"/>
  <c r="I73" i="2"/>
  <c r="J73" i="2"/>
  <c r="K73" i="2"/>
  <c r="Z71" i="2"/>
  <c r="AA71" i="2"/>
  <c r="AB71" i="2"/>
  <c r="AC71" i="2"/>
  <c r="AD71" i="2"/>
  <c r="Z73" i="2"/>
  <c r="AA73" i="2"/>
  <c r="AB73" i="2"/>
  <c r="AC73" i="2"/>
  <c r="AD73" i="2"/>
  <c r="Z34" i="2"/>
  <c r="AA34" i="2"/>
  <c r="AB34" i="2"/>
  <c r="AC34" i="2"/>
  <c r="AD34" i="2"/>
  <c r="Z36" i="2"/>
  <c r="AA36" i="2"/>
  <c r="AB36" i="2"/>
  <c r="AC36" i="2"/>
  <c r="AD36" i="2"/>
  <c r="H34" i="2"/>
  <c r="I34" i="2"/>
  <c r="J34" i="2"/>
  <c r="K34" i="2"/>
  <c r="L34" i="2"/>
  <c r="H35" i="2"/>
  <c r="J35" i="2"/>
  <c r="K35" i="2"/>
  <c r="L35" i="2"/>
  <c r="H36" i="2"/>
  <c r="I36" i="2"/>
  <c r="J36" i="2"/>
  <c r="K36" i="2"/>
  <c r="L36" i="2"/>
  <c r="AF36" i="2"/>
  <c r="AF73" i="2"/>
  <c r="AE73" i="2"/>
  <c r="Y73" i="2"/>
  <c r="AF71" i="2"/>
  <c r="AE71" i="2"/>
  <c r="Y71" i="2"/>
  <c r="N73" i="2"/>
  <c r="M73" i="2"/>
  <c r="G73" i="2"/>
  <c r="M72" i="2"/>
  <c r="N71" i="2"/>
  <c r="M71" i="2"/>
  <c r="G71" i="2"/>
  <c r="AE36" i="2"/>
  <c r="Y36" i="2"/>
  <c r="M36" i="2"/>
  <c r="N36" i="2"/>
  <c r="G36" i="2"/>
  <c r="AJ100" i="2" l="1"/>
  <c r="M35" i="2"/>
  <c r="G35" i="2"/>
  <c r="AF34" i="2"/>
  <c r="Y34" i="2"/>
  <c r="M34" i="2"/>
  <c r="N34" i="2"/>
</calcChain>
</file>

<file path=xl/sharedStrings.xml><?xml version="1.0" encoding="utf-8"?>
<sst xmlns="http://schemas.openxmlformats.org/spreadsheetml/2006/main" count="4440" uniqueCount="237">
  <si>
    <t>青铜器</t>
    <phoneticPr fontId="1" type="noConversion"/>
  </si>
  <si>
    <t>Bronzeware</t>
    <phoneticPr fontId="1" type="noConversion"/>
  </si>
  <si>
    <t>青提</t>
    <phoneticPr fontId="1" type="noConversion"/>
  </si>
  <si>
    <t>Green Grape</t>
    <phoneticPr fontId="1" type="noConversion"/>
  </si>
  <si>
    <t>黄瓜</t>
    <phoneticPr fontId="1" type="noConversion"/>
  </si>
  <si>
    <t>Cucumber</t>
    <phoneticPr fontId="1" type="noConversion"/>
  </si>
  <si>
    <t>胡萝卜</t>
    <phoneticPr fontId="1" type="noConversion"/>
  </si>
  <si>
    <t>Carrot</t>
    <phoneticPr fontId="1" type="noConversion"/>
  </si>
  <si>
    <t>小黄鸭</t>
    <phoneticPr fontId="1" type="noConversion"/>
  </si>
  <si>
    <t>Yellow Duck</t>
    <phoneticPr fontId="1" type="noConversion"/>
  </si>
  <si>
    <t>瓷器</t>
    <phoneticPr fontId="1" type="noConversion"/>
  </si>
  <si>
    <t>Blue Porcelain</t>
    <phoneticPr fontId="1" type="noConversion"/>
  </si>
  <si>
    <t>b站</t>
    <phoneticPr fontId="1" type="noConversion"/>
  </si>
  <si>
    <t>Bilibili APP</t>
    <phoneticPr fontId="1" type="noConversion"/>
  </si>
  <si>
    <t>芬达</t>
    <phoneticPr fontId="1" type="noConversion"/>
  </si>
  <si>
    <t>Orange Fanta</t>
    <phoneticPr fontId="1" type="noConversion"/>
  </si>
  <si>
    <t>可口可乐</t>
    <phoneticPr fontId="1" type="noConversion"/>
  </si>
  <si>
    <t>Coca Cola</t>
    <phoneticPr fontId="1" type="noConversion"/>
  </si>
  <si>
    <t>草莓</t>
    <phoneticPr fontId="1" type="noConversion"/>
  </si>
  <si>
    <t>Strawberry</t>
    <phoneticPr fontId="1" type="noConversion"/>
  </si>
  <si>
    <t>茄子</t>
    <phoneticPr fontId="1" type="noConversion"/>
  </si>
  <si>
    <t>Eggplant</t>
    <phoneticPr fontId="1" type="noConversion"/>
  </si>
  <si>
    <t>香蕉</t>
    <phoneticPr fontId="1" type="noConversion"/>
  </si>
  <si>
    <t>Banana</t>
    <phoneticPr fontId="1" type="noConversion"/>
  </si>
  <si>
    <t>红玫瑰</t>
    <phoneticPr fontId="1" type="noConversion"/>
  </si>
  <si>
    <t>Red Rose</t>
    <phoneticPr fontId="1" type="noConversion"/>
  </si>
  <si>
    <t>口罩</t>
    <phoneticPr fontId="1" type="noConversion"/>
  </si>
  <si>
    <t>Blue Mask</t>
    <phoneticPr fontId="1" type="noConversion"/>
  </si>
  <si>
    <t>蓝天</t>
    <phoneticPr fontId="1" type="noConversion"/>
  </si>
  <si>
    <t>Blue Sky</t>
    <phoneticPr fontId="1" type="noConversion"/>
  </si>
  <si>
    <t>草地</t>
    <phoneticPr fontId="1" type="noConversion"/>
  </si>
  <si>
    <t>Green Grass</t>
    <phoneticPr fontId="1" type="noConversion"/>
  </si>
  <si>
    <t>美团</t>
    <phoneticPr fontId="1" type="noConversion"/>
  </si>
  <si>
    <t>Meituan APP</t>
    <phoneticPr fontId="1" type="noConversion"/>
  </si>
  <si>
    <t>微信</t>
    <phoneticPr fontId="1" type="noConversion"/>
  </si>
  <si>
    <t>Wechat APP</t>
    <phoneticPr fontId="1" type="noConversion"/>
  </si>
  <si>
    <t>小红书</t>
    <phoneticPr fontId="1" type="noConversion"/>
  </si>
  <si>
    <t>XHS APP</t>
    <phoneticPr fontId="1" type="noConversion"/>
  </si>
  <si>
    <t>支付宝</t>
    <phoneticPr fontId="1" type="noConversion"/>
  </si>
  <si>
    <t>Alipay APP</t>
    <phoneticPr fontId="1" type="noConversion"/>
  </si>
  <si>
    <t>Score</t>
    <phoneticPr fontId="1" type="noConversion"/>
  </si>
  <si>
    <t>Time</t>
    <phoneticPr fontId="1" type="noConversion"/>
  </si>
  <si>
    <t>Skin</t>
    <phoneticPr fontId="1" type="noConversion"/>
  </si>
  <si>
    <t>L-CB</t>
    <phoneticPr fontId="1" type="noConversion"/>
  </si>
  <si>
    <t>NaN</t>
  </si>
  <si>
    <t>Observer ID</t>
    <phoneticPr fontId="1" type="noConversion"/>
  </si>
  <si>
    <t>ID</t>
    <phoneticPr fontId="1" type="noConversion"/>
  </si>
  <si>
    <t>Ori_ID</t>
    <phoneticPr fontId="1" type="noConversion"/>
  </si>
  <si>
    <t>uR</t>
    <phoneticPr fontId="1" type="noConversion"/>
  </si>
  <si>
    <t>uG</t>
    <phoneticPr fontId="1" type="noConversion"/>
  </si>
  <si>
    <t>uB</t>
    <phoneticPr fontId="1" type="noConversion"/>
  </si>
  <si>
    <t>uY</t>
    <phoneticPr fontId="1" type="noConversion"/>
  </si>
  <si>
    <t>L-Name</t>
    <phoneticPr fontId="1" type="noConversion"/>
  </si>
  <si>
    <t>R-Name</t>
    <phoneticPr fontId="1" type="noConversion"/>
  </si>
  <si>
    <t>R-CB</t>
    <phoneticPr fontId="1" type="noConversion"/>
  </si>
  <si>
    <t>AVG</t>
    <phoneticPr fontId="1" type="noConversion"/>
  </si>
  <si>
    <t>t-test</t>
    <phoneticPr fontId="1" type="noConversion"/>
  </si>
  <si>
    <t>True ID</t>
    <phoneticPr fontId="1" type="noConversion"/>
  </si>
  <si>
    <t>Trure ID</t>
    <phoneticPr fontId="1" type="noConversion"/>
  </si>
  <si>
    <t>Skin1</t>
    <phoneticPr fontId="1" type="noConversion"/>
  </si>
  <si>
    <t>Skin2</t>
  </si>
  <si>
    <t>Skin3</t>
  </si>
  <si>
    <t>Skin4</t>
  </si>
  <si>
    <t>Skin5</t>
  </si>
  <si>
    <t>Skin6</t>
  </si>
  <si>
    <t>青铜器_EXP5</t>
    <phoneticPr fontId="1" type="noConversion"/>
  </si>
  <si>
    <t>青提_EXP5</t>
    <phoneticPr fontId="1" type="noConversion"/>
  </si>
  <si>
    <t>黄瓜_EXP5</t>
    <phoneticPr fontId="1" type="noConversion"/>
  </si>
  <si>
    <t>胡萝卜_EXP5</t>
    <phoneticPr fontId="1" type="noConversion"/>
  </si>
  <si>
    <t>瓷器_EXP5</t>
    <phoneticPr fontId="1" type="noConversion"/>
  </si>
  <si>
    <t>b站_EXP5</t>
    <phoneticPr fontId="1" type="noConversion"/>
  </si>
  <si>
    <t>芬达_EXP5</t>
    <phoneticPr fontId="1" type="noConversion"/>
  </si>
  <si>
    <t>可口可乐_EXP5</t>
    <phoneticPr fontId="1" type="noConversion"/>
  </si>
  <si>
    <t>草莓_EXP5</t>
    <phoneticPr fontId="1" type="noConversion"/>
  </si>
  <si>
    <t>茄子_EXP5</t>
    <phoneticPr fontId="1" type="noConversion"/>
  </si>
  <si>
    <t>香蕉_EXP5</t>
    <phoneticPr fontId="1" type="noConversion"/>
  </si>
  <si>
    <t>红玫瑰_EXP5</t>
    <phoneticPr fontId="1" type="noConversion"/>
  </si>
  <si>
    <t>口罩_EXP5</t>
    <phoneticPr fontId="1" type="noConversion"/>
  </si>
  <si>
    <t>蓝天_EXP5</t>
    <phoneticPr fontId="1" type="noConversion"/>
  </si>
  <si>
    <t>草地_EXP5</t>
    <phoneticPr fontId="1" type="noConversion"/>
  </si>
  <si>
    <t>美团_EXP5</t>
    <phoneticPr fontId="1" type="noConversion"/>
  </si>
  <si>
    <t>微信_EXP5</t>
    <phoneticPr fontId="1" type="noConversion"/>
  </si>
  <si>
    <t>小红书_EXP5</t>
    <phoneticPr fontId="1" type="noConversion"/>
  </si>
  <si>
    <t>支付宝_EXP5</t>
    <phoneticPr fontId="1" type="noConversion"/>
  </si>
  <si>
    <t>小黄鸭_EXP5</t>
    <phoneticPr fontId="1" type="noConversion"/>
  </si>
  <si>
    <t>问卷评价</t>
  </si>
  <si>
    <t xml:space="preserve">Prior Confidence </t>
    <phoneticPr fontId="1" type="noConversion"/>
  </si>
  <si>
    <t>r (PC &amp; perform)</t>
    <phoneticPr fontId="1" type="noConversion"/>
  </si>
  <si>
    <t>Prior Questionnaire</t>
    <phoneticPr fontId="1" type="noConversion"/>
  </si>
  <si>
    <t>Inter</t>
    <phoneticPr fontId="1" type="noConversion"/>
  </si>
  <si>
    <t>Intra</t>
    <phoneticPr fontId="1" type="noConversion"/>
  </si>
  <si>
    <t>DE76</t>
    <phoneticPr fontId="1" type="noConversion"/>
  </si>
  <si>
    <t>DEC</t>
    <phoneticPr fontId="1" type="noConversion"/>
  </si>
  <si>
    <t>DE00</t>
    <phoneticPr fontId="1" type="noConversion"/>
  </si>
  <si>
    <t>avg STRESS</t>
    <phoneticPr fontId="1" type="noConversion"/>
  </si>
  <si>
    <t>L：先进行 Color-Block Exp，再进行 Object-Name Exp，即存在工作记忆的影响</t>
    <phoneticPr fontId="1" type="noConversion"/>
  </si>
  <si>
    <t>R：先进行 Object-Name Exp，再进行 Color-Block Exp，即不存在工作记忆的影响</t>
    <phoneticPr fontId="1" type="noConversion"/>
  </si>
  <si>
    <t>DE2000</t>
    <phoneticPr fontId="1" type="noConversion"/>
  </si>
  <si>
    <t>‘Final 3-way' variables: 16 objects</t>
    <phoneticPr fontId="1" type="noConversion"/>
  </si>
  <si>
    <t>‘New Set' variables: 11 objects</t>
    <phoneticPr fontId="1" type="noConversion"/>
  </si>
  <si>
    <t>最后推荐采用的</t>
    <phoneticPr fontId="1" type="noConversion"/>
  </si>
  <si>
    <t xml:space="preserve">Measure: </t>
  </si>
  <si>
    <t>Intra_DE00</t>
  </si>
  <si>
    <t>Std. Error</t>
  </si>
  <si>
    <t>Lower Bound</t>
  </si>
  <si>
    <t>Upper Bound</t>
  </si>
  <si>
    <t>1</t>
  </si>
  <si>
    <t>ImageCue_NoWM</t>
  </si>
  <si>
    <t>ImageCue_WM</t>
  </si>
  <si>
    <t>NameCue_NoWM</t>
  </si>
  <si>
    <t>NameCue_WM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</si>
  <si>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</si>
  <si>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</si>
  <si>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</si>
  <si>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</si>
  <si>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</si>
  <si>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</si>
  <si>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</si>
  <si>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</si>
  <si>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</si>
  <si>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</si>
  <si>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</si>
  <si>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</si>
  <si>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</si>
  <si>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</si>
  <si>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</si>
  <si>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</si>
  <si>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</si>
  <si>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</si>
  <si>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</si>
  <si>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Estimates</t>
  </si>
  <si>
    <t>Experiments</t>
  </si>
  <si>
    <t>Mean</t>
  </si>
  <si>
    <t>95% Confidence Interval</t>
  </si>
  <si>
    <t>R-Exps 5 &amp; 6</t>
    <phoneticPr fontId="1" type="noConversion"/>
  </si>
  <si>
    <t>L-Exps 7</t>
    <phoneticPr fontId="1" type="noConversion"/>
  </si>
  <si>
    <t>EXP: Image Cues-CB-5 (Image Cue_Working Memory)</t>
    <phoneticPr fontId="1" type="noConversion"/>
  </si>
  <si>
    <t>EXP: Image Cues-CB-7-1 (Image Cue_No Working Memory)</t>
    <phoneticPr fontId="1" type="noConversion"/>
  </si>
  <si>
    <t>EXP: Name Cues-7-2 (Name Cue_Working Memory)</t>
    <phoneticPr fontId="1" type="noConversion"/>
  </si>
  <si>
    <t>EXP: Name Cues-6 (Name Cue_No Working Memory)</t>
    <phoneticPr fontId="1" type="noConversion"/>
  </si>
  <si>
    <t>Time</t>
  </si>
  <si>
    <t>Inter_DE00</t>
    <phoneticPr fontId="1" type="noConversion"/>
  </si>
  <si>
    <t>Prediction</t>
    <phoneticPr fontId="1" type="noConversion"/>
  </si>
  <si>
    <t>4 x 11</t>
    <phoneticPr fontId="1" type="noConversion"/>
  </si>
  <si>
    <t>4 x 12</t>
    <phoneticPr fontId="1" type="noConversion"/>
  </si>
  <si>
    <t>4 x 8</t>
    <phoneticPr fontId="1" type="noConversion"/>
  </si>
  <si>
    <t>4 x 20</t>
    <phoneticPr fontId="1" type="noConversion"/>
  </si>
  <si>
    <t>Central Memory Colors</t>
    <phoneticPr fontId="1" type="noConversion"/>
  </si>
  <si>
    <t>L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</si>
  <si>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</si>
  <si>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</si>
  <si>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</si>
  <si>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h</t>
    <phoneticPr fontId="1" type="noConversion"/>
  </si>
  <si>
    <t>R</t>
    <phoneticPr fontId="1" type="noConversion"/>
  </si>
  <si>
    <t>G</t>
    <phoneticPr fontId="1" type="noConversion"/>
  </si>
  <si>
    <t>B</t>
    <phoneticPr fontId="1" type="noConversion"/>
  </si>
  <si>
    <t>EXP: Image Cues-CB-7-1 (Image Cue_No Working Memory)</t>
  </si>
  <si>
    <t>EXP: Name Cues-6 (Name Cue_No Working Memory)</t>
  </si>
  <si>
    <t>EXP: Name Cues-7-2 (Name Cue_Working Memory)</t>
  </si>
  <si>
    <t>Difference between Image &amp; Name Cues: Exp 7-1 - Exp 6</t>
    <phoneticPr fontId="1" type="noConversion"/>
  </si>
  <si>
    <t>Learning effect on Image Cue: Exp 5 - Exp 7-1</t>
    <phoneticPr fontId="1" type="noConversion"/>
  </si>
  <si>
    <t>Prediction: Exp 6 + Learning effect + WM effect (IC deviation)</t>
    <phoneticPr fontId="1" type="noConversion"/>
  </si>
  <si>
    <t>Prediction Deviation: Exp 7-2 - Prediction</t>
    <phoneticPr fontId="1" type="noConversion"/>
  </si>
  <si>
    <t>Prediction Deviation (%): Prediction Deviation / Max color attribute values</t>
    <phoneticPr fontId="1" type="noConversion"/>
  </si>
  <si>
    <t>ABS</t>
    <phoneticPr fontId="1" type="noConversion"/>
  </si>
  <si>
    <t>DE76 between Prediction and Acctual</t>
    <phoneticPr fontId="1" type="noConversion"/>
  </si>
  <si>
    <t>Bronzeware</t>
  </si>
  <si>
    <t>Cucumber</t>
  </si>
  <si>
    <t>Yellow Duck</t>
  </si>
  <si>
    <t>Coca Cola</t>
  </si>
  <si>
    <t>Strawberry</t>
  </si>
  <si>
    <t>Banana</t>
  </si>
  <si>
    <t>Blue Mask</t>
  </si>
  <si>
    <t>Blue Sky</t>
  </si>
  <si>
    <t>Green Grass</t>
  </si>
  <si>
    <t>Eggplant</t>
  </si>
  <si>
    <t>Carrot</t>
  </si>
  <si>
    <t>Orange Fanta</t>
  </si>
  <si>
    <t>Blue Porcelain</t>
  </si>
  <si>
    <t xml:space="preserve">DE00 </t>
    <phoneticPr fontId="1" type="noConversion"/>
  </si>
  <si>
    <t>P &amp; A</t>
    <phoneticPr fontId="1" type="noConversion"/>
  </si>
  <si>
    <t>Name Es</t>
    <phoneticPr fontId="1" type="noConversion"/>
  </si>
  <si>
    <t>EXP 7s</t>
    <phoneticPr fontId="1" type="noConversion"/>
  </si>
  <si>
    <t>DE00 (IC EXPs)</t>
    <phoneticPr fontId="1" type="noConversion"/>
  </si>
  <si>
    <t>Objects</t>
  </si>
  <si>
    <t>Objects</t>
    <phoneticPr fontId="1" type="noConversion"/>
  </si>
  <si>
    <t>DE00 (EXP 1s)</t>
    <phoneticPr fontId="1" type="noConversion"/>
  </si>
  <si>
    <t>AVG</t>
  </si>
  <si>
    <t>Individual</t>
    <phoneticPr fontId="1" type="noConversion"/>
  </si>
  <si>
    <t>DE00</t>
  </si>
  <si>
    <t>DE76</t>
  </si>
  <si>
    <t>M3-Prediction</t>
    <phoneticPr fontId="1" type="noConversion"/>
  </si>
  <si>
    <t>M1</t>
    <phoneticPr fontId="1" type="noConversion"/>
  </si>
  <si>
    <t>M2</t>
    <phoneticPr fontId="1" type="noConversion"/>
  </si>
  <si>
    <t>Inter_DE00</t>
  </si>
  <si>
    <t>Intra_DE00</t>
    <phoneticPr fontId="1" type="noConversion"/>
  </si>
  <si>
    <t>Score</t>
  </si>
  <si>
    <t>Inter</t>
  </si>
  <si>
    <t>Intra</t>
  </si>
  <si>
    <t>Green Grape</t>
  </si>
  <si>
    <t>Bilibili APP</t>
  </si>
  <si>
    <t>Red Rose</t>
  </si>
  <si>
    <t>Meituan APP</t>
  </si>
  <si>
    <t>Wechat APP</t>
  </si>
  <si>
    <t>XHS APP</t>
  </si>
  <si>
    <t>Alipay APP</t>
  </si>
  <si>
    <t>Table 2</t>
  </si>
  <si>
    <t>Inter-DE00</t>
    <phoneticPr fontId="1" type="noConversion"/>
  </si>
  <si>
    <t>Intra-DE00</t>
    <phoneticPr fontId="1" type="noConversion"/>
  </si>
  <si>
    <t>Table H2-1</t>
    <phoneticPr fontId="1" type="noConversion"/>
  </si>
  <si>
    <t>LCh Adjustment</t>
    <phoneticPr fontId="1" type="noConversion"/>
  </si>
  <si>
    <t>Lab Adjustment</t>
    <phoneticPr fontId="1" type="noConversion"/>
  </si>
  <si>
    <t>Skin6</t>
    <phoneticPr fontId="1" type="noConversion"/>
  </si>
  <si>
    <t>a</t>
  </si>
  <si>
    <t>b</t>
  </si>
  <si>
    <t>Metrics</t>
    <phoneticPr fontId="1" type="noConversion"/>
  </si>
  <si>
    <t>RMSE</t>
    <phoneticPr fontId="1" type="noConversion"/>
  </si>
  <si>
    <t>MAE</t>
    <phoneticPr fontId="1" type="noConversion"/>
  </si>
  <si>
    <t>R2</t>
    <phoneticPr fontId="1" type="noConversion"/>
  </si>
  <si>
    <t>Adjusted R2</t>
    <phoneticPr fontId="1" type="noConversion"/>
  </si>
  <si>
    <t>Pearson</t>
    <phoneticPr fontId="1" type="noConversion"/>
  </si>
  <si>
    <t>Kendall</t>
    <phoneticPr fontId="1" type="noConversion"/>
  </si>
  <si>
    <t>Spearman</t>
    <phoneticPr fontId="1" type="noConversion"/>
  </si>
  <si>
    <t>STRESS</t>
    <phoneticPr fontId="1" type="noConversion"/>
  </si>
  <si>
    <t>Table 1 预测记忆色与 EXP 2-2 中实际记忆色的色差</t>
    <phoneticPr fontId="1" type="noConversion"/>
  </si>
  <si>
    <t>Table 3 预测偏差 (%) = 预测假说与 EXP 2-2 实际被试表现差值 / EXP 2-2 实际被试表现数值</t>
    <phoneticPr fontId="1" type="noConversion"/>
  </si>
  <si>
    <t>MAPE</t>
    <phoneticPr fontId="1" type="noConversion"/>
  </si>
  <si>
    <t>SMAPE</t>
    <phoneticPr fontId="1" type="noConversion"/>
  </si>
  <si>
    <t>Table H2-2 两种调色方法的结果一致性（由于a*b*存在负值且均值可能接近0，故采用C*h进行检验）</t>
    <phoneticPr fontId="1" type="noConversion"/>
  </si>
  <si>
    <t>H1</t>
  </si>
  <si>
    <t>H1-Mean</t>
  </si>
  <si>
    <t>H1-Individual</t>
  </si>
  <si>
    <t>H2</t>
  </si>
  <si>
    <t>H3</t>
  </si>
  <si>
    <t>Table 4 假说验证结果（Table3相同数据，但与SUM中的数据存在差异）</t>
    <phoneticPr fontId="1" type="noConversion"/>
  </si>
  <si>
    <t>Lab Adjustment: Repeat</t>
    <phoneticPr fontId="1" type="noConversion"/>
  </si>
  <si>
    <t>LCh Adjustment: Repeat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</si>
</sst>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"/>
    <numFmt numFmtId="178" formatCode="###0.000"/>
    <numFmt numFmtId="179" formatCode="0.00_ "/>
    <numFmt numFmtId="180" formatCode="0.0%"/>
    <numFmt numFmtId="181" formatCode="0.0_ "/>
    <numFmt numFmtId="182" formatCode="0.00000"/>
  </numFmts>
  <fonts count="5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9" tint="-0.249977111117893"/>
      <name val="等线"/>
      <family val="3"/>
      <charset val="134"/>
      <scheme val="minor"/>
    </font>
    <font>
      <sz val="10"/>
      <color theme="5" tint="-0.249977111117893"/>
      <name val="等线"/>
      <family val="3"/>
      <charset val="134"/>
      <scheme val="minor"/>
    </font>
    <font>
      <sz val="10"/>
      <color theme="7" tint="-0.249977111117893"/>
      <name val="等线"/>
      <family val="3"/>
      <charset val="134"/>
      <scheme val="minor"/>
    </font>
    <font>
      <sz val="10"/>
      <color theme="8" tint="-0.249977111117893"/>
      <name val="等线"/>
      <family val="3"/>
      <charset val="134"/>
      <scheme val="minor"/>
    </font>
    <font>
      <sz val="10"/>
      <color rgb="FFC0000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sz val="8"/>
      <color theme="1"/>
      <name val="等线"/>
      <family val="3"/>
      <charset val="134"/>
      <scheme val="minor"/>
    </font>
    <font>
      <b/>
      <sz val="8"/>
      <color theme="9" tint="-0.249977111117893"/>
      <name val="等线"/>
      <family val="3"/>
      <charset val="134"/>
      <scheme val="minor"/>
    </font>
    <font>
      <b/>
      <sz val="8"/>
      <color theme="5" tint="-0.249977111117893"/>
      <name val="等线"/>
      <family val="3"/>
      <charset val="134"/>
      <scheme val="minor"/>
    </font>
    <font>
      <b/>
      <sz val="8"/>
      <color theme="7" tint="-0.249977111117893"/>
      <name val="等线"/>
      <family val="3"/>
      <charset val="134"/>
      <scheme val="minor"/>
    </font>
    <font>
      <b/>
      <sz val="8"/>
      <color theme="8" tint="-0.249977111117893"/>
      <name val="等线"/>
      <family val="3"/>
      <charset val="134"/>
      <scheme val="minor"/>
    </font>
    <font>
      <b/>
      <sz val="8"/>
      <color rgb="FFC00000"/>
      <name val="等线"/>
      <family val="3"/>
      <charset val="134"/>
      <scheme val="minor"/>
    </font>
    <font>
      <b/>
      <sz val="8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u/>
      <sz val="10"/>
      <color theme="1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i/>
      <sz val="10"/>
      <color rgb="FFFF0000"/>
      <name val="等线"/>
      <family val="3"/>
      <charset val="134"/>
      <scheme val="minor"/>
    </font>
    <font>
      <i/>
      <sz val="10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0"/>
      <color theme="9" tint="-0.249977111117893"/>
      <name val="等线"/>
      <family val="3"/>
      <charset val="134"/>
      <scheme val="minor"/>
    </font>
    <font>
      <b/>
      <i/>
      <sz val="10"/>
      <color theme="5" tint="-0.249977111117893"/>
      <name val="等线"/>
      <family val="3"/>
      <charset val="134"/>
      <scheme val="minor"/>
    </font>
    <font>
      <b/>
      <i/>
      <sz val="10"/>
      <color theme="8" tint="-0.249977111117893"/>
      <name val="等线"/>
      <family val="3"/>
      <charset val="134"/>
      <scheme val="minor"/>
    </font>
    <font>
      <b/>
      <i/>
      <sz val="10"/>
      <color rgb="FFC00000"/>
      <name val="等线"/>
      <family val="3"/>
      <charset val="134"/>
      <scheme val="minor"/>
    </font>
    <font>
      <b/>
      <sz val="10"/>
      <color theme="9" tint="-0.249977111117893"/>
      <name val="等线"/>
      <family val="3"/>
      <charset val="134"/>
      <scheme val="minor"/>
    </font>
    <font>
      <b/>
      <sz val="10"/>
      <color theme="5" tint="-0.249977111117893"/>
      <name val="等线"/>
      <family val="3"/>
      <charset val="134"/>
      <scheme val="minor"/>
    </font>
    <font>
      <b/>
      <sz val="10"/>
      <color theme="7" tint="-0.249977111117893"/>
      <name val="等线"/>
      <family val="3"/>
      <charset val="134"/>
      <scheme val="minor"/>
    </font>
    <font>
      <b/>
      <sz val="10"/>
      <color theme="8" tint="-0.249977111117893"/>
      <name val="等线"/>
      <family val="3"/>
      <charset val="134"/>
      <scheme val="minor"/>
    </font>
    <font>
      <b/>
      <sz val="10"/>
      <color rgb="FFC00000"/>
      <name val="等线"/>
      <family val="3"/>
      <charset val="134"/>
      <scheme val="minor"/>
    </font>
    <font>
      <b/>
      <sz val="9"/>
      <color indexed="8"/>
      <name val="Arial Bold"/>
    </font>
    <font>
      <sz val="10"/>
      <name val="Arial"/>
      <family val="2"/>
    </font>
    <font>
      <sz val="9"/>
      <color indexed="8"/>
      <name val="Arial"/>
      <family val="2"/>
    </font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b/>
      <i/>
      <sz val="10"/>
      <name val="等线"/>
      <family val="3"/>
      <charset val="134"/>
      <scheme val="minor"/>
    </font>
    <font>
      <i/>
      <sz val="10"/>
      <name val="等线"/>
      <family val="3"/>
      <charset val="134"/>
      <scheme val="minor"/>
    </font>
    <font>
      <i/>
      <sz val="10"/>
      <color rgb="FFC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b/>
      <sz val="10"/>
      <color rgb="FF548235"/>
      <name val="等线"/>
      <family val="3"/>
      <charset val="134"/>
    </font>
    <font>
      <b/>
      <sz val="10"/>
      <color rgb="FFC65911"/>
      <name val="等线"/>
      <family val="3"/>
      <charset val="134"/>
    </font>
    <font>
      <b/>
      <sz val="10"/>
      <color rgb="FFBF8F00"/>
      <name val="等线"/>
      <family val="3"/>
      <charset val="134"/>
    </font>
    <font>
      <b/>
      <sz val="10"/>
      <color rgb="FF305496"/>
      <name val="等线"/>
      <family val="3"/>
      <charset val="134"/>
    </font>
    <font>
      <b/>
      <sz val="10"/>
      <color rgb="FFC00000"/>
      <name val="等线"/>
      <family val="3"/>
      <charset val="134"/>
    </font>
    <font>
      <sz val="11"/>
      <color theme="9" tint="-0.249977111117893"/>
      <name val="等线"/>
      <family val="3"/>
      <charset val="134"/>
      <scheme val="minor"/>
    </font>
    <font>
      <sz val="11"/>
      <color theme="7" tint="-0.249977111117893"/>
      <name val="等线"/>
      <family val="3"/>
      <charset val="134"/>
      <scheme val="minor"/>
    </font>
    <font>
      <sz val="11"/>
      <color theme="8" tint="-0.249977111117893"/>
      <name val="等线"/>
      <family val="3"/>
      <charset val="134"/>
      <scheme val="minor"/>
    </font>
    <font>
      <sz val="11"/>
      <color rgb="FFC00000"/>
      <name val="等线"/>
      <family val="3"/>
      <charset val="134"/>
      <scheme val="minor"/>
    </font>
    <font>
      <b/>
      <sz val="10"/>
      <name val="等线"/>
      <family val="3"/>
      <charset val="134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0"/>
      <name val="等线"/>
      <family val="3"/>
      <charset val="134"/>
    </font>
    <font>
      <sz val="10"/>
      <color rgb="FFC00000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0CECE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8"/>
      </top>
      <bottom/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rgb="FF000000"/>
      </right>
      <top style="thick">
        <color indexed="64"/>
      </top>
      <bottom/>
      <diagonal/>
    </border>
    <border>
      <left style="medium">
        <color rgb="FF000000"/>
      </left>
      <right/>
      <top style="thick">
        <color indexed="64"/>
      </top>
      <bottom/>
      <diagonal/>
    </border>
    <border>
      <left style="medium">
        <color rgb="FF000000"/>
      </left>
      <right/>
      <top/>
      <bottom style="thick">
        <color indexed="64"/>
      </bottom>
      <diagonal/>
    </border>
  </borders>
  <cellStyleXfs count="4">
    <xf numFmtId="0" fontId="0" fillId="0" borderId="0"/>
    <xf numFmtId="0" fontId="34" fillId="0" borderId="0"/>
    <xf numFmtId="9" fontId="36" fillId="0" borderId="0" applyFont="0" applyFill="0" applyBorder="0" applyAlignment="0" applyProtection="0">
      <alignment vertical="center"/>
    </xf>
    <xf numFmtId="0" fontId="34" fillId="0" borderId="0"/>
  </cellStyleXfs>
  <cellXfs count="346">
    <xf numFmtId="0" fontId="0" fillId="0" borderId="0" xfId="0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2" fontId="17" fillId="0" borderId="0" xfId="0" applyNumberFormat="1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11" fontId="16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 wrapText="1"/>
    </xf>
    <xf numFmtId="0" fontId="26" fillId="3" borderId="11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 wrapText="1"/>
    </xf>
    <xf numFmtId="0" fontId="29" fillId="4" borderId="14" xfId="0" applyFont="1" applyFill="1" applyBorder="1" applyAlignment="1">
      <alignment horizontal="center" vertical="center" wrapText="1"/>
    </xf>
    <xf numFmtId="0" fontId="30" fillId="4" borderId="14" xfId="0" applyFont="1" applyFill="1" applyBorder="1" applyAlignment="1">
      <alignment horizontal="center" vertical="center" wrapText="1"/>
    </xf>
    <xf numFmtId="0" fontId="31" fillId="4" borderId="15" xfId="0" applyFont="1" applyFill="1" applyBorder="1" applyAlignment="1">
      <alignment horizontal="center" vertical="center" wrapText="1"/>
    </xf>
    <xf numFmtId="0" fontId="32" fillId="4" borderId="12" xfId="0" applyFont="1" applyFill="1" applyBorder="1" applyAlignment="1">
      <alignment horizontal="center" vertical="center" wrapText="1"/>
    </xf>
    <xf numFmtId="0" fontId="32" fillId="4" borderId="13" xfId="0" applyFont="1" applyFill="1" applyBorder="1" applyAlignment="1">
      <alignment horizontal="center" vertical="center" wrapText="1"/>
    </xf>
    <xf numFmtId="0" fontId="31" fillId="4" borderId="14" xfId="0" applyFont="1" applyFill="1" applyBorder="1" applyAlignment="1">
      <alignment horizontal="center" vertical="center" wrapText="1"/>
    </xf>
    <xf numFmtId="0" fontId="28" fillId="4" borderId="15" xfId="0" applyFont="1" applyFill="1" applyBorder="1" applyAlignment="1">
      <alignment horizontal="center" vertical="center" wrapText="1"/>
    </xf>
    <xf numFmtId="0" fontId="34" fillId="0" borderId="0" xfId="1"/>
    <xf numFmtId="0" fontId="35" fillId="5" borderId="0" xfId="1" applyFont="1" applyFill="1"/>
    <xf numFmtId="0" fontId="35" fillId="0" borderId="16" xfId="1" applyFont="1" applyBorder="1" applyAlignment="1">
      <alignment horizontal="left" wrapText="1"/>
    </xf>
    <xf numFmtId="0" fontId="35" fillId="0" borderId="17" xfId="1" applyFont="1" applyBorder="1" applyAlignment="1">
      <alignment horizontal="center" wrapText="1"/>
    </xf>
    <xf numFmtId="0" fontId="35" fillId="0" borderId="18" xfId="1" applyFont="1" applyBorder="1" applyAlignment="1">
      <alignment horizontal="left" wrapText="1"/>
    </xf>
    <xf numFmtId="0" fontId="35" fillId="0" borderId="19" xfId="1" applyFont="1" applyBorder="1" applyAlignment="1">
      <alignment horizontal="center" wrapText="1"/>
    </xf>
    <xf numFmtId="0" fontId="35" fillId="0" borderId="20" xfId="1" applyFont="1" applyBorder="1" applyAlignment="1">
      <alignment horizontal="left" vertical="top" wrapText="1"/>
    </xf>
    <xf numFmtId="0" fontId="35" fillId="0" borderId="0" xfId="1" applyFont="1" applyAlignment="1">
      <alignment horizontal="left" vertical="top" wrapText="1"/>
    </xf>
    <xf numFmtId="0" fontId="35" fillId="0" borderId="0" xfId="1" applyFont="1" applyAlignment="1">
      <alignment horizontal="left" vertical="top"/>
    </xf>
    <xf numFmtId="178" fontId="35" fillId="0" borderId="0" xfId="1" applyNumberFormat="1" applyFont="1" applyAlignment="1">
      <alignment horizontal="right" vertical="top"/>
    </xf>
    <xf numFmtId="0" fontId="35" fillId="0" borderId="22" xfId="1" applyFont="1" applyBorder="1" applyAlignment="1">
      <alignment horizontal="left" vertical="top" wrapText="1"/>
    </xf>
    <xf numFmtId="0" fontId="35" fillId="0" borderId="22" xfId="1" applyFont="1" applyBorder="1" applyAlignment="1">
      <alignment horizontal="left" vertical="top"/>
    </xf>
    <xf numFmtId="178" fontId="35" fillId="0" borderId="22" xfId="1" applyNumberFormat="1" applyFont="1" applyBorder="1" applyAlignment="1">
      <alignment horizontal="right" vertical="top"/>
    </xf>
    <xf numFmtId="0" fontId="35" fillId="0" borderId="23" xfId="1" applyFont="1" applyBorder="1" applyAlignment="1">
      <alignment horizontal="left" vertical="top" wrapText="1"/>
    </xf>
    <xf numFmtId="0" fontId="35" fillId="0" borderId="23" xfId="1" applyFont="1" applyBorder="1" applyAlignment="1">
      <alignment horizontal="left" vertical="top"/>
    </xf>
    <xf numFmtId="178" fontId="35" fillId="0" borderId="23" xfId="1" applyNumberFormat="1" applyFont="1" applyBorder="1" applyAlignment="1">
      <alignment horizontal="right" vertical="top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4" fillId="0" borderId="0" xfId="3"/>
    <xf numFmtId="0" fontId="35" fillId="5" borderId="0" xfId="3" applyFont="1" applyFill="1"/>
    <xf numFmtId="0" fontId="35" fillId="0" borderId="16" xfId="3" applyFont="1" applyBorder="1" applyAlignment="1">
      <alignment horizontal="left" wrapText="1"/>
    </xf>
    <xf numFmtId="0" fontId="35" fillId="0" borderId="17" xfId="3" applyFont="1" applyBorder="1" applyAlignment="1">
      <alignment horizontal="center" wrapText="1"/>
    </xf>
    <xf numFmtId="0" fontId="35" fillId="0" borderId="18" xfId="3" applyFont="1" applyBorder="1" applyAlignment="1">
      <alignment horizontal="left" wrapText="1"/>
    </xf>
    <xf numFmtId="0" fontId="35" fillId="0" borderId="19" xfId="3" applyFont="1" applyBorder="1" applyAlignment="1">
      <alignment horizontal="center" wrapText="1"/>
    </xf>
    <xf numFmtId="0" fontId="35" fillId="0" borderId="0" xfId="3" applyFont="1" applyAlignment="1">
      <alignment horizontal="left" vertical="top" wrapText="1"/>
    </xf>
    <xf numFmtId="0" fontId="35" fillId="0" borderId="0" xfId="3" applyFont="1" applyAlignment="1">
      <alignment horizontal="left" vertical="top"/>
    </xf>
    <xf numFmtId="178" fontId="35" fillId="0" borderId="0" xfId="3" applyNumberFormat="1" applyFont="1" applyAlignment="1">
      <alignment horizontal="right" vertical="top"/>
    </xf>
    <xf numFmtId="0" fontId="35" fillId="0" borderId="22" xfId="3" applyFont="1" applyBorder="1" applyAlignment="1">
      <alignment horizontal="left" vertical="top" wrapText="1"/>
    </xf>
    <xf numFmtId="0" fontId="35" fillId="0" borderId="22" xfId="3" applyFont="1" applyBorder="1" applyAlignment="1">
      <alignment horizontal="left" vertical="top"/>
    </xf>
    <xf numFmtId="178" fontId="35" fillId="0" borderId="22" xfId="3" applyNumberFormat="1" applyFont="1" applyBorder="1" applyAlignment="1">
      <alignment horizontal="right" vertical="top"/>
    </xf>
    <xf numFmtId="0" fontId="35" fillId="0" borderId="23" xfId="3" applyFont="1" applyBorder="1" applyAlignment="1">
      <alignment horizontal="left" vertical="top" wrapText="1"/>
    </xf>
    <xf numFmtId="0" fontId="35" fillId="0" borderId="23" xfId="3" applyFont="1" applyBorder="1" applyAlignment="1">
      <alignment horizontal="left" vertical="top"/>
    </xf>
    <xf numFmtId="178" fontId="35" fillId="0" borderId="23" xfId="3" applyNumberFormat="1" applyFont="1" applyBorder="1" applyAlignment="1">
      <alignment horizontal="right" vertical="top"/>
    </xf>
    <xf numFmtId="178" fontId="0" fillId="0" borderId="0" xfId="0" applyNumberFormat="1"/>
    <xf numFmtId="10" fontId="0" fillId="0" borderId="0" xfId="2" applyNumberFormat="1" applyFont="1" applyAlignment="1"/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9" fontId="0" fillId="0" borderId="0" xfId="2" applyFont="1" applyFill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79" fontId="2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horizontal="left" vertical="center"/>
    </xf>
    <xf numFmtId="17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80" fontId="2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181" fontId="2" fillId="0" borderId="0" xfId="0" applyNumberFormat="1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81" fontId="39" fillId="0" borderId="0" xfId="0" applyNumberFormat="1" applyFont="1" applyAlignment="1">
      <alignment horizontal="center" vertical="center"/>
    </xf>
    <xf numFmtId="177" fontId="39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181" fontId="38" fillId="0" borderId="0" xfId="0" applyNumberFormat="1" applyFont="1" applyAlignment="1">
      <alignment horizontal="center" vertical="center"/>
    </xf>
    <xf numFmtId="181" fontId="40" fillId="0" borderId="0" xfId="0" applyNumberFormat="1" applyFont="1" applyAlignment="1">
      <alignment horizontal="center" vertical="center"/>
    </xf>
    <xf numFmtId="177" fontId="2" fillId="6" borderId="0" xfId="0" applyNumberFormat="1" applyFont="1" applyFill="1" applyAlignment="1">
      <alignment horizontal="center" vertical="center"/>
    </xf>
    <xf numFmtId="180" fontId="0" fillId="0" borderId="0" xfId="2" applyNumberFormat="1" applyFont="1" applyAlignment="1"/>
    <xf numFmtId="0" fontId="23" fillId="0" borderId="0" xfId="0" applyFont="1"/>
    <xf numFmtId="0" fontId="35" fillId="0" borderId="20" xfId="3" applyFont="1" applyBorder="1" applyAlignment="1">
      <alignment horizontal="left" vertical="top" wrapText="1"/>
    </xf>
    <xf numFmtId="0" fontId="35" fillId="0" borderId="21" xfId="3" applyFont="1" applyBorder="1" applyAlignment="1">
      <alignment horizontal="left" vertical="top"/>
    </xf>
    <xf numFmtId="178" fontId="35" fillId="0" borderId="21" xfId="3" applyNumberFormat="1" applyFont="1" applyBorder="1" applyAlignment="1">
      <alignment horizontal="right" vertical="top"/>
    </xf>
    <xf numFmtId="0" fontId="35" fillId="0" borderId="21" xfId="1" applyFont="1" applyBorder="1" applyAlignment="1">
      <alignment horizontal="left" vertical="top"/>
    </xf>
    <xf numFmtId="178" fontId="35" fillId="0" borderId="21" xfId="1" applyNumberFormat="1" applyFont="1" applyBorder="1" applyAlignment="1">
      <alignment horizontal="right" vertical="top"/>
    </xf>
    <xf numFmtId="0" fontId="2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80" fontId="23" fillId="0" borderId="0" xfId="0" applyNumberFormat="1" applyFont="1"/>
    <xf numFmtId="0" fontId="3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" fillId="0" borderId="0" xfId="0" applyFont="1"/>
    <xf numFmtId="0" fontId="43" fillId="0" borderId="25" xfId="0" applyFont="1" applyBorder="1" applyAlignment="1">
      <alignment horizontal="center" vertical="center" wrapText="1" readingOrder="1"/>
    </xf>
    <xf numFmtId="0" fontId="43" fillId="0" borderId="26" xfId="0" applyFont="1" applyBorder="1" applyAlignment="1">
      <alignment horizontal="center" vertical="center" wrapText="1" readingOrder="1"/>
    </xf>
    <xf numFmtId="0" fontId="43" fillId="0" borderId="29" xfId="0" applyFont="1" applyBorder="1" applyAlignment="1">
      <alignment horizontal="center" vertical="center" wrapText="1" readingOrder="1"/>
    </xf>
    <xf numFmtId="0" fontId="43" fillId="0" borderId="30" xfId="0" applyFont="1" applyBorder="1" applyAlignment="1">
      <alignment horizontal="center" vertical="center" wrapText="1" readingOrder="1"/>
    </xf>
    <xf numFmtId="0" fontId="44" fillId="0" borderId="28" xfId="0" applyFont="1" applyBorder="1" applyAlignment="1">
      <alignment horizontal="center" vertical="center" wrapText="1" readingOrder="1"/>
    </xf>
    <xf numFmtId="0" fontId="44" fillId="0" borderId="25" xfId="0" applyFont="1" applyBorder="1" applyAlignment="1">
      <alignment horizontal="center" vertical="center" wrapText="1" readingOrder="1"/>
    </xf>
    <xf numFmtId="0" fontId="45" fillId="0" borderId="31" xfId="0" applyFont="1" applyBorder="1" applyAlignment="1">
      <alignment horizontal="center" vertical="center" wrapText="1" readingOrder="1"/>
    </xf>
    <xf numFmtId="0" fontId="44" fillId="0" borderId="0" xfId="0" applyFont="1" applyAlignment="1">
      <alignment horizontal="center" vertical="center" wrapText="1" readingOrder="1"/>
    </xf>
    <xf numFmtId="0" fontId="44" fillId="0" borderId="31" xfId="0" applyFont="1" applyBorder="1" applyAlignment="1">
      <alignment horizontal="center" vertical="center" wrapText="1" readingOrder="1"/>
    </xf>
    <xf numFmtId="0" fontId="46" fillId="0" borderId="31" xfId="0" applyFont="1" applyBorder="1" applyAlignment="1">
      <alignment horizontal="center" vertical="center" wrapText="1" readingOrder="1"/>
    </xf>
    <xf numFmtId="0" fontId="47" fillId="0" borderId="31" xfId="0" applyFont="1" applyBorder="1" applyAlignment="1">
      <alignment horizontal="center" vertical="center" wrapText="1" readingOrder="1"/>
    </xf>
    <xf numFmtId="0" fontId="48" fillId="0" borderId="31" xfId="0" applyFont="1" applyBorder="1" applyAlignment="1">
      <alignment horizontal="center" vertical="center" wrapText="1" readingOrder="1"/>
    </xf>
    <xf numFmtId="0" fontId="43" fillId="0" borderId="31" xfId="0" applyFont="1" applyBorder="1" applyAlignment="1">
      <alignment horizontal="center" vertical="center" wrapText="1" readingOrder="1"/>
    </xf>
    <xf numFmtId="0" fontId="49" fillId="0" borderId="31" xfId="0" applyFont="1" applyBorder="1" applyAlignment="1">
      <alignment horizontal="center" vertical="center" wrapText="1" readingOrder="1"/>
    </xf>
    <xf numFmtId="0" fontId="48" fillId="0" borderId="26" xfId="0" applyFont="1" applyBorder="1" applyAlignment="1">
      <alignment horizontal="center" vertical="center" wrapText="1" readingOrder="1"/>
    </xf>
    <xf numFmtId="0" fontId="44" fillId="0" borderId="30" xfId="0" applyFont="1" applyBorder="1" applyAlignment="1">
      <alignment horizontal="center" vertical="center" wrapText="1" readingOrder="1"/>
    </xf>
    <xf numFmtId="0" fontId="44" fillId="0" borderId="26" xfId="0" applyFont="1" applyBorder="1" applyAlignment="1">
      <alignment horizontal="center" vertical="center" wrapText="1" readingOrder="1"/>
    </xf>
    <xf numFmtId="0" fontId="49" fillId="0" borderId="24" xfId="0" applyFont="1" applyBorder="1" applyAlignment="1">
      <alignment horizontal="center" vertical="center" wrapText="1" readingOrder="1"/>
    </xf>
    <xf numFmtId="0" fontId="49" fillId="0" borderId="34" xfId="0" applyFont="1" applyBorder="1" applyAlignment="1">
      <alignment horizontal="center" vertical="center" wrapText="1" readingOrder="1"/>
    </xf>
    <xf numFmtId="0" fontId="43" fillId="0" borderId="32" xfId="0" applyFont="1" applyBorder="1" applyAlignment="1">
      <alignment horizontal="center" vertical="center" wrapText="1" readingOrder="1"/>
    </xf>
    <xf numFmtId="0" fontId="49" fillId="7" borderId="31" xfId="0" applyFont="1" applyFill="1" applyBorder="1" applyAlignment="1">
      <alignment horizontal="center" vertical="center" wrapText="1" readingOrder="1"/>
    </xf>
    <xf numFmtId="0" fontId="44" fillId="7" borderId="0" xfId="0" applyFont="1" applyFill="1" applyAlignment="1">
      <alignment horizontal="center" vertical="center" wrapText="1" readingOrder="1"/>
    </xf>
    <xf numFmtId="0" fontId="44" fillId="7" borderId="31" xfId="0" applyFont="1" applyFill="1" applyBorder="1" applyAlignment="1">
      <alignment horizontal="center" vertical="center" wrapText="1" readingOrder="1"/>
    </xf>
    <xf numFmtId="0" fontId="43" fillId="0" borderId="0" xfId="0" applyFont="1" applyAlignment="1">
      <alignment horizontal="center" vertical="center" wrapText="1" readingOrder="1"/>
    </xf>
    <xf numFmtId="177" fontId="49" fillId="0" borderId="33" xfId="0" applyNumberFormat="1" applyFont="1" applyBorder="1" applyAlignment="1">
      <alignment horizontal="center" vertical="center" wrapText="1" readingOrder="1"/>
    </xf>
    <xf numFmtId="177" fontId="49" fillId="0" borderId="34" xfId="0" applyNumberFormat="1" applyFont="1" applyBorder="1" applyAlignment="1">
      <alignment horizontal="center" vertical="center" wrapText="1" readingOrder="1"/>
    </xf>
    <xf numFmtId="180" fontId="44" fillId="0" borderId="27" xfId="2" applyNumberFormat="1" applyFont="1" applyBorder="1" applyAlignment="1">
      <alignment horizontal="center" vertical="center" wrapText="1" readingOrder="1"/>
    </xf>
    <xf numFmtId="180" fontId="44" fillId="0" borderId="28" xfId="2" applyNumberFormat="1" applyFont="1" applyBorder="1" applyAlignment="1">
      <alignment horizontal="center" vertical="center" wrapText="1" readingOrder="1"/>
    </xf>
    <xf numFmtId="180" fontId="44" fillId="0" borderId="32" xfId="2" applyNumberFormat="1" applyFont="1" applyBorder="1" applyAlignment="1">
      <alignment horizontal="center" vertical="center" wrapText="1" readingOrder="1"/>
    </xf>
    <xf numFmtId="180" fontId="44" fillId="0" borderId="0" xfId="2" applyNumberFormat="1" applyFont="1" applyAlignment="1">
      <alignment horizontal="center" vertical="center" wrapText="1" readingOrder="1"/>
    </xf>
    <xf numFmtId="180" fontId="44" fillId="0" borderId="29" xfId="2" applyNumberFormat="1" applyFont="1" applyBorder="1" applyAlignment="1">
      <alignment horizontal="center" vertical="center" wrapText="1" readingOrder="1"/>
    </xf>
    <xf numFmtId="180" fontId="44" fillId="0" borderId="30" xfId="2" applyNumberFormat="1" applyFont="1" applyBorder="1" applyAlignment="1">
      <alignment horizontal="center" vertical="center" wrapText="1" readingOrder="1"/>
    </xf>
    <xf numFmtId="180" fontId="49" fillId="0" borderId="33" xfId="2" applyNumberFormat="1" applyFont="1" applyBorder="1" applyAlignment="1">
      <alignment horizontal="center" vertical="center" wrapText="1" readingOrder="1"/>
    </xf>
    <xf numFmtId="180" fontId="49" fillId="0" borderId="34" xfId="2" applyNumberFormat="1" applyFont="1" applyBorder="1" applyAlignment="1">
      <alignment horizontal="center" vertical="center" wrapText="1" readingOrder="1"/>
    </xf>
    <xf numFmtId="177" fontId="49" fillId="0" borderId="24" xfId="0" applyNumberFormat="1" applyFont="1" applyBorder="1" applyAlignment="1">
      <alignment horizontal="center" vertical="center" wrapText="1" readingOrder="1"/>
    </xf>
    <xf numFmtId="0" fontId="46" fillId="2" borderId="31" xfId="0" applyFont="1" applyFill="1" applyBorder="1" applyAlignment="1">
      <alignment horizontal="center" vertical="center" wrapText="1" readingOrder="1"/>
    </xf>
    <xf numFmtId="180" fontId="44" fillId="2" borderId="32" xfId="2" applyNumberFormat="1" applyFont="1" applyFill="1" applyBorder="1" applyAlignment="1">
      <alignment horizontal="center" vertical="center" wrapText="1" readingOrder="1"/>
    </xf>
    <xf numFmtId="180" fontId="44" fillId="2" borderId="0" xfId="2" applyNumberFormat="1" applyFont="1" applyFill="1" applyAlignment="1">
      <alignment horizontal="center" vertical="center" wrapText="1" readingOrder="1"/>
    </xf>
    <xf numFmtId="0" fontId="17" fillId="6" borderId="0" xfId="0" applyFont="1" applyFill="1" applyAlignment="1">
      <alignment horizontal="center" vertical="center"/>
    </xf>
    <xf numFmtId="0" fontId="48" fillId="0" borderId="0" xfId="0" applyFont="1" applyAlignment="1">
      <alignment horizontal="center" vertical="center" wrapText="1" readingOrder="1"/>
    </xf>
    <xf numFmtId="179" fontId="50" fillId="0" borderId="35" xfId="0" applyNumberFormat="1" applyFont="1" applyBorder="1" applyAlignment="1">
      <alignment horizontal="center" vertical="center" wrapText="1"/>
    </xf>
    <xf numFmtId="179" fontId="0" fillId="0" borderId="35" xfId="0" applyNumberFormat="1" applyBorder="1" applyAlignment="1">
      <alignment horizontal="center" vertical="center" wrapText="1"/>
    </xf>
    <xf numFmtId="179" fontId="51" fillId="0" borderId="35" xfId="0" applyNumberFormat="1" applyFont="1" applyBorder="1" applyAlignment="1">
      <alignment horizontal="center" vertical="center" wrapText="1"/>
    </xf>
    <xf numFmtId="179" fontId="52" fillId="0" borderId="35" xfId="0" applyNumberFormat="1" applyFont="1" applyBorder="1" applyAlignment="1">
      <alignment horizontal="center" vertical="center" wrapText="1"/>
    </xf>
    <xf numFmtId="179" fontId="53" fillId="0" borderId="35" xfId="0" applyNumberFormat="1" applyFont="1" applyBorder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179" fontId="49" fillId="0" borderId="36" xfId="0" applyNumberFormat="1" applyFont="1" applyBorder="1" applyAlignment="1">
      <alignment horizontal="center" vertical="center" wrapText="1" readingOrder="1"/>
    </xf>
    <xf numFmtId="179" fontId="49" fillId="0" borderId="37" xfId="0" applyNumberFormat="1" applyFont="1" applyBorder="1" applyAlignment="1">
      <alignment horizontal="center" vertical="center" wrapText="1" readingOrder="1"/>
    </xf>
    <xf numFmtId="179" fontId="49" fillId="0" borderId="38" xfId="0" applyNumberFormat="1" applyFont="1" applyBorder="1" applyAlignment="1">
      <alignment horizontal="center" vertical="center" wrapText="1" readingOrder="1"/>
    </xf>
    <xf numFmtId="179" fontId="50" fillId="0" borderId="0" xfId="0" applyNumberFormat="1" applyFont="1" applyAlignment="1">
      <alignment horizontal="center" vertical="center" wrapText="1"/>
    </xf>
    <xf numFmtId="179" fontId="51" fillId="0" borderId="0" xfId="0" applyNumberFormat="1" applyFont="1" applyAlignment="1">
      <alignment horizontal="center" vertical="center" wrapText="1"/>
    </xf>
    <xf numFmtId="179" fontId="52" fillId="0" borderId="0" xfId="0" applyNumberFormat="1" applyFont="1" applyAlignment="1">
      <alignment horizontal="center" vertical="center" wrapText="1"/>
    </xf>
    <xf numFmtId="179" fontId="53" fillId="0" borderId="0" xfId="0" applyNumberFormat="1" applyFont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 readingOrder="1"/>
    </xf>
    <xf numFmtId="0" fontId="43" fillId="0" borderId="43" xfId="0" applyFont="1" applyBorder="1" applyAlignment="1">
      <alignment horizontal="center" vertical="center" wrapText="1" readingOrder="1"/>
    </xf>
    <xf numFmtId="0" fontId="43" fillId="0" borderId="44" xfId="0" applyFont="1" applyBorder="1" applyAlignment="1">
      <alignment horizontal="center" vertical="center" wrapText="1" readingOrder="1"/>
    </xf>
    <xf numFmtId="0" fontId="45" fillId="0" borderId="0" xfId="0" applyFont="1" applyAlignment="1">
      <alignment horizontal="center" vertical="center" wrapText="1" readingOrder="1"/>
    </xf>
    <xf numFmtId="0" fontId="46" fillId="0" borderId="0" xfId="0" applyFont="1" applyAlignment="1">
      <alignment horizontal="center" vertical="center" wrapText="1" readingOrder="1"/>
    </xf>
    <xf numFmtId="0" fontId="47" fillId="0" borderId="0" xfId="0" applyFont="1" applyAlignment="1">
      <alignment horizontal="center" vertical="center" wrapText="1" readingOrder="1"/>
    </xf>
    <xf numFmtId="0" fontId="49" fillId="0" borderId="0" xfId="0" applyFont="1" applyAlignment="1">
      <alignment horizontal="center" vertical="center" wrapText="1" readingOrder="1"/>
    </xf>
    <xf numFmtId="179" fontId="0" fillId="0" borderId="39" xfId="0" applyNumberFormat="1" applyBorder="1" applyAlignment="1">
      <alignment horizontal="center" vertical="center" wrapText="1"/>
    </xf>
    <xf numFmtId="179" fontId="0" fillId="0" borderId="40" xfId="0" applyNumberFormat="1" applyBorder="1" applyAlignment="1">
      <alignment horizontal="center" vertical="center" wrapText="1"/>
    </xf>
    <xf numFmtId="179" fontId="0" fillId="0" borderId="41" xfId="0" applyNumberFormat="1" applyBorder="1" applyAlignment="1">
      <alignment horizontal="center" vertical="center" wrapText="1"/>
    </xf>
    <xf numFmtId="179" fontId="50" fillId="0" borderId="45" xfId="0" applyNumberFormat="1" applyFont="1" applyBorder="1" applyAlignment="1">
      <alignment horizontal="center" vertical="center" wrapText="1"/>
    </xf>
    <xf numFmtId="179" fontId="0" fillId="0" borderId="45" xfId="0" applyNumberFormat="1" applyBorder="1" applyAlignment="1">
      <alignment horizontal="center" vertical="center" wrapText="1"/>
    </xf>
    <xf numFmtId="179" fontId="51" fillId="0" borderId="45" xfId="0" applyNumberFormat="1" applyFont="1" applyBorder="1" applyAlignment="1">
      <alignment horizontal="center" vertical="center" wrapText="1"/>
    </xf>
    <xf numFmtId="179" fontId="52" fillId="0" borderId="45" xfId="0" applyNumberFormat="1" applyFont="1" applyBorder="1" applyAlignment="1">
      <alignment horizontal="center" vertical="center" wrapText="1"/>
    </xf>
    <xf numFmtId="179" fontId="53" fillId="0" borderId="45" xfId="0" applyNumberFormat="1" applyFont="1" applyBorder="1" applyAlignment="1">
      <alignment horizontal="center" vertical="center" wrapText="1"/>
    </xf>
    <xf numFmtId="0" fontId="49" fillId="0" borderId="38" xfId="0" applyFont="1" applyBorder="1" applyAlignment="1">
      <alignment horizontal="center" vertical="center" wrapText="1" readingOrder="1"/>
    </xf>
    <xf numFmtId="179" fontId="0" fillId="0" borderId="0" xfId="0" applyNumberFormat="1" applyAlignment="1">
      <alignment horizontal="center" vertical="center"/>
    </xf>
    <xf numFmtId="179" fontId="0" fillId="0" borderId="35" xfId="0" applyNumberFormat="1" applyBorder="1" applyAlignment="1">
      <alignment horizontal="center" vertical="center"/>
    </xf>
    <xf numFmtId="179" fontId="50" fillId="0" borderId="0" xfId="0" applyNumberFormat="1" applyFont="1" applyAlignment="1">
      <alignment horizontal="center" vertical="center"/>
    </xf>
    <xf numFmtId="179" fontId="50" fillId="0" borderId="35" xfId="0" applyNumberFormat="1" applyFont="1" applyBorder="1" applyAlignment="1">
      <alignment horizontal="center" vertical="center"/>
    </xf>
    <xf numFmtId="179" fontId="51" fillId="0" borderId="0" xfId="0" applyNumberFormat="1" applyFont="1" applyAlignment="1">
      <alignment horizontal="center" vertical="center"/>
    </xf>
    <xf numFmtId="179" fontId="51" fillId="0" borderId="35" xfId="0" applyNumberFormat="1" applyFont="1" applyBorder="1" applyAlignment="1">
      <alignment horizontal="center" vertical="center"/>
    </xf>
    <xf numFmtId="179" fontId="52" fillId="0" borderId="0" xfId="0" applyNumberFormat="1" applyFont="1" applyAlignment="1">
      <alignment horizontal="center" vertical="center"/>
    </xf>
    <xf numFmtId="179" fontId="52" fillId="0" borderId="35" xfId="0" applyNumberFormat="1" applyFont="1" applyBorder="1" applyAlignment="1">
      <alignment horizontal="center" vertical="center"/>
    </xf>
    <xf numFmtId="179" fontId="53" fillId="0" borderId="0" xfId="0" applyNumberFormat="1" applyFont="1" applyAlignment="1">
      <alignment horizontal="center" vertical="center"/>
    </xf>
    <xf numFmtId="179" fontId="53" fillId="0" borderId="35" xfId="0" applyNumberFormat="1" applyFont="1" applyBorder="1" applyAlignment="1">
      <alignment horizontal="center" vertical="center"/>
    </xf>
    <xf numFmtId="0" fontId="54" fillId="0" borderId="38" xfId="0" applyFont="1" applyBorder="1" applyAlignment="1">
      <alignment horizontal="center" vertical="center" wrapText="1" readingOrder="1"/>
    </xf>
    <xf numFmtId="0" fontId="54" fillId="0" borderId="42" xfId="0" applyFont="1" applyBorder="1" applyAlignment="1">
      <alignment horizontal="center" vertical="center" wrapText="1" readingOrder="1"/>
    </xf>
    <xf numFmtId="0" fontId="54" fillId="0" borderId="43" xfId="0" applyFont="1" applyBorder="1" applyAlignment="1">
      <alignment horizontal="center" vertical="center" wrapText="1" readingOrder="1"/>
    </xf>
    <xf numFmtId="0" fontId="54" fillId="0" borderId="0" xfId="0" applyFont="1" applyAlignment="1">
      <alignment horizontal="center" vertical="center" wrapText="1" readingOrder="1"/>
    </xf>
    <xf numFmtId="179" fontId="55" fillId="0" borderId="39" xfId="0" applyNumberFormat="1" applyFont="1" applyBorder="1" applyAlignment="1">
      <alignment horizontal="center" vertical="center" wrapText="1"/>
    </xf>
    <xf numFmtId="179" fontId="55" fillId="0" borderId="40" xfId="0" applyNumberFormat="1" applyFont="1" applyBorder="1" applyAlignment="1">
      <alignment horizontal="center" vertical="center" wrapText="1"/>
    </xf>
    <xf numFmtId="179" fontId="55" fillId="0" borderId="45" xfId="0" applyNumberFormat="1" applyFont="1" applyBorder="1" applyAlignment="1">
      <alignment horizontal="center" vertical="center" wrapText="1"/>
    </xf>
    <xf numFmtId="179" fontId="55" fillId="0" borderId="0" xfId="0" applyNumberFormat="1" applyFont="1" applyAlignment="1">
      <alignment horizontal="center" vertical="center" wrapText="1"/>
    </xf>
    <xf numFmtId="179" fontId="55" fillId="0" borderId="42" xfId="0" applyNumberFormat="1" applyFont="1" applyBorder="1" applyAlignment="1">
      <alignment horizontal="center" vertical="center" wrapText="1"/>
    </xf>
    <xf numFmtId="179" fontId="55" fillId="0" borderId="43" xfId="0" applyNumberFormat="1" applyFont="1" applyBorder="1" applyAlignment="1">
      <alignment horizontal="center" vertical="center" wrapText="1"/>
    </xf>
    <xf numFmtId="177" fontId="44" fillId="0" borderId="27" xfId="0" applyNumberFormat="1" applyFont="1" applyBorder="1" applyAlignment="1">
      <alignment horizontal="center" vertical="center" wrapText="1" readingOrder="1"/>
    </xf>
    <xf numFmtId="177" fontId="44" fillId="0" borderId="28" xfId="0" applyNumberFormat="1" applyFont="1" applyBorder="1" applyAlignment="1">
      <alignment horizontal="center" vertical="center" wrapText="1" readingOrder="1"/>
    </xf>
    <xf numFmtId="177" fontId="44" fillId="0" borderId="32" xfId="0" applyNumberFormat="1" applyFont="1" applyBorder="1" applyAlignment="1">
      <alignment horizontal="center" vertical="center" wrapText="1" readingOrder="1"/>
    </xf>
    <xf numFmtId="177" fontId="44" fillId="0" borderId="0" xfId="0" applyNumberFormat="1" applyFont="1" applyAlignment="1">
      <alignment horizontal="center" vertical="center" wrapText="1" readingOrder="1"/>
    </xf>
    <xf numFmtId="177" fontId="44" fillId="0" borderId="29" xfId="0" applyNumberFormat="1" applyFont="1" applyBorder="1" applyAlignment="1">
      <alignment horizontal="center" vertical="center" wrapText="1" readingOrder="1"/>
    </xf>
    <xf numFmtId="177" fontId="44" fillId="0" borderId="30" xfId="0" applyNumberFormat="1" applyFont="1" applyBorder="1" applyAlignment="1">
      <alignment horizontal="center" vertical="center" wrapText="1" readingOrder="1"/>
    </xf>
    <xf numFmtId="177" fontId="44" fillId="7" borderId="32" xfId="0" applyNumberFormat="1" applyFont="1" applyFill="1" applyBorder="1" applyAlignment="1">
      <alignment horizontal="center" vertical="center" wrapText="1" readingOrder="1"/>
    </xf>
    <xf numFmtId="179" fontId="56" fillId="0" borderId="0" xfId="0" applyNumberFormat="1" applyFont="1" applyAlignment="1">
      <alignment horizontal="center" vertical="center" wrapText="1"/>
    </xf>
    <xf numFmtId="182" fontId="2" fillId="0" borderId="0" xfId="0" applyNumberFormat="1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 wrapText="1"/>
    </xf>
    <xf numFmtId="182" fontId="3" fillId="0" borderId="0" xfId="0" applyNumberFormat="1" applyFont="1" applyAlignment="1">
      <alignment horizontal="center" vertical="center" wrapText="1"/>
    </xf>
    <xf numFmtId="182" fontId="4" fillId="0" borderId="0" xfId="0" applyNumberFormat="1" applyFont="1" applyAlignment="1">
      <alignment horizontal="center" vertical="center" wrapText="1"/>
    </xf>
    <xf numFmtId="182" fontId="5" fillId="0" borderId="0" xfId="0" applyNumberFormat="1" applyFont="1" applyAlignment="1">
      <alignment horizontal="center" vertical="center" wrapText="1"/>
    </xf>
    <xf numFmtId="182" fontId="6" fillId="0" borderId="0" xfId="0" applyNumberFormat="1" applyFont="1" applyAlignment="1">
      <alignment horizontal="center" vertical="center" wrapText="1"/>
    </xf>
    <xf numFmtId="182" fontId="7" fillId="0" borderId="0" xfId="0" applyNumberFormat="1" applyFont="1" applyAlignment="1">
      <alignment horizontal="center" vertical="center" wrapText="1"/>
    </xf>
    <xf numFmtId="182" fontId="8" fillId="0" borderId="0" xfId="0" applyNumberFormat="1" applyFont="1" applyAlignment="1">
      <alignment horizontal="center" vertical="center" wrapText="1"/>
    </xf>
    <xf numFmtId="182" fontId="17" fillId="0" borderId="0" xfId="0" applyNumberFormat="1" applyFont="1" applyAlignment="1">
      <alignment horizontal="center" vertical="center"/>
    </xf>
    <xf numFmtId="182" fontId="21" fillId="0" borderId="0" xfId="0" applyNumberFormat="1" applyFont="1" applyAlignment="1">
      <alignment horizontal="center" vertical="center"/>
    </xf>
    <xf numFmtId="182" fontId="19" fillId="0" borderId="0" xfId="0" applyNumberFormat="1" applyFont="1" applyAlignment="1">
      <alignment horizontal="center" vertical="center"/>
    </xf>
    <xf numFmtId="182" fontId="22" fillId="0" borderId="0" xfId="0" applyNumberFormat="1" applyFont="1" applyAlignment="1">
      <alignment horizontal="center" vertical="center"/>
    </xf>
    <xf numFmtId="182" fontId="20" fillId="0" borderId="0" xfId="0" applyNumberFormat="1" applyFont="1" applyAlignment="1">
      <alignment horizontal="center" vertical="center"/>
    </xf>
    <xf numFmtId="182" fontId="18" fillId="0" borderId="0" xfId="0" applyNumberFormat="1" applyFont="1" applyAlignment="1">
      <alignment horizontal="center" vertical="center"/>
    </xf>
    <xf numFmtId="182" fontId="18" fillId="0" borderId="0" xfId="0" applyNumberFormat="1" applyFont="1" applyAlignment="1">
      <alignment horizontal="center" vertical="center" wrapText="1"/>
    </xf>
    <xf numFmtId="182" fontId="17" fillId="0" borderId="0" xfId="0" applyNumberFormat="1" applyFont="1" applyAlignment="1">
      <alignment horizontal="center" vertical="center" wrapText="1"/>
    </xf>
    <xf numFmtId="0" fontId="43" fillId="0" borderId="48" xfId="0" applyFont="1" applyBorder="1" applyAlignment="1">
      <alignment horizontal="center" vertical="center" wrapText="1" readingOrder="1"/>
    </xf>
    <xf numFmtId="176" fontId="58" fillId="0" borderId="45" xfId="0" applyNumberFormat="1" applyFont="1" applyBorder="1" applyAlignment="1">
      <alignment horizontal="center" vertical="center" wrapText="1" readingOrder="1"/>
    </xf>
    <xf numFmtId="176" fontId="57" fillId="0" borderId="0" xfId="0" applyNumberFormat="1" applyFont="1" applyAlignment="1">
      <alignment horizontal="center" vertical="center" wrapText="1" readingOrder="1"/>
    </xf>
    <xf numFmtId="176" fontId="57" fillId="0" borderId="35" xfId="0" applyNumberFormat="1" applyFont="1" applyBorder="1" applyAlignment="1">
      <alignment horizontal="center" vertical="center" wrapText="1" readingOrder="1"/>
    </xf>
    <xf numFmtId="176" fontId="7" fillId="0" borderId="45" xfId="0" applyNumberFormat="1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176" fontId="2" fillId="0" borderId="40" xfId="0" applyNumberFormat="1" applyFont="1" applyBorder="1" applyAlignment="1">
      <alignment horizontal="center"/>
    </xf>
    <xf numFmtId="176" fontId="2" fillId="0" borderId="39" xfId="0" applyNumberFormat="1" applyFont="1" applyBorder="1" applyAlignment="1">
      <alignment horizontal="center"/>
    </xf>
    <xf numFmtId="176" fontId="7" fillId="0" borderId="41" xfId="0" applyNumberFormat="1" applyFont="1" applyBorder="1" applyAlignment="1">
      <alignment horizontal="center"/>
    </xf>
    <xf numFmtId="176" fontId="7" fillId="0" borderId="0" xfId="0" applyNumberFormat="1" applyFont="1" applyAlignment="1">
      <alignment horizontal="center"/>
    </xf>
    <xf numFmtId="176" fontId="2" fillId="0" borderId="45" xfId="0" applyNumberFormat="1" applyFont="1" applyBorder="1" applyAlignment="1">
      <alignment horizontal="center"/>
    </xf>
    <xf numFmtId="176" fontId="7" fillId="0" borderId="35" xfId="0" applyNumberFormat="1" applyFont="1" applyBorder="1" applyAlignment="1">
      <alignment horizontal="center"/>
    </xf>
    <xf numFmtId="176" fontId="57" fillId="0" borderId="45" xfId="0" applyNumberFormat="1" applyFont="1" applyBorder="1" applyAlignment="1">
      <alignment horizontal="center" vertical="center" wrapText="1" readingOrder="1"/>
    </xf>
    <xf numFmtId="176" fontId="58" fillId="0" borderId="0" xfId="0" applyNumberFormat="1" applyFont="1" applyAlignment="1">
      <alignment horizontal="center" vertical="center" wrapText="1" readingOrder="1"/>
    </xf>
    <xf numFmtId="176" fontId="2" fillId="0" borderId="35" xfId="0" applyNumberFormat="1" applyFont="1" applyBorder="1" applyAlignment="1">
      <alignment horizontal="center"/>
    </xf>
    <xf numFmtId="176" fontId="58" fillId="0" borderId="42" xfId="0" applyNumberFormat="1" applyFont="1" applyBorder="1" applyAlignment="1">
      <alignment horizontal="center" vertical="center" wrapText="1" readingOrder="1"/>
    </xf>
    <xf numFmtId="176" fontId="57" fillId="0" borderId="43" xfId="0" applyNumberFormat="1" applyFont="1" applyBorder="1" applyAlignment="1">
      <alignment horizontal="center" vertical="center" wrapText="1" readingOrder="1"/>
    </xf>
    <xf numFmtId="176" fontId="57" fillId="0" borderId="44" xfId="0" applyNumberFormat="1" applyFont="1" applyBorder="1" applyAlignment="1">
      <alignment horizontal="center" vertical="center" wrapText="1" readingOrder="1"/>
    </xf>
    <xf numFmtId="176" fontId="7" fillId="0" borderId="42" xfId="0" applyNumberFormat="1" applyFont="1" applyBorder="1" applyAlignment="1">
      <alignment horizontal="center"/>
    </xf>
    <xf numFmtId="176" fontId="2" fillId="0" borderId="43" xfId="0" applyNumberFormat="1" applyFont="1" applyBorder="1" applyAlignment="1">
      <alignment horizontal="center"/>
    </xf>
    <xf numFmtId="176" fontId="2" fillId="0" borderId="44" xfId="0" applyNumberFormat="1" applyFont="1" applyBorder="1" applyAlignment="1">
      <alignment horizontal="center"/>
    </xf>
    <xf numFmtId="176" fontId="7" fillId="0" borderId="43" xfId="0" applyNumberFormat="1" applyFont="1" applyBorder="1" applyAlignment="1">
      <alignment horizontal="center"/>
    </xf>
    <xf numFmtId="176" fontId="8" fillId="0" borderId="42" xfId="0" applyNumberFormat="1" applyFont="1" applyBorder="1" applyAlignment="1">
      <alignment horizontal="center"/>
    </xf>
    <xf numFmtId="176" fontId="8" fillId="0" borderId="39" xfId="0" applyNumberFormat="1" applyFont="1" applyBorder="1" applyAlignment="1">
      <alignment horizontal="center"/>
    </xf>
    <xf numFmtId="176" fontId="8" fillId="0" borderId="45" xfId="0" applyNumberFormat="1" applyFont="1" applyBorder="1" applyAlignment="1">
      <alignment horizontal="center"/>
    </xf>
    <xf numFmtId="176" fontId="8" fillId="0" borderId="0" xfId="0" applyNumberFormat="1" applyFont="1" applyAlignment="1">
      <alignment horizontal="center"/>
    </xf>
    <xf numFmtId="176" fontId="7" fillId="0" borderId="40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182" fontId="1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0" fontId="43" fillId="0" borderId="39" xfId="0" applyFont="1" applyBorder="1" applyAlignment="1">
      <alignment horizontal="center" vertical="center" wrapText="1" readingOrder="1"/>
    </xf>
    <xf numFmtId="0" fontId="43" fillId="0" borderId="40" xfId="0" applyFont="1" applyBorder="1" applyAlignment="1">
      <alignment horizontal="center" vertical="center" wrapText="1" readingOrder="1"/>
    </xf>
    <xf numFmtId="0" fontId="43" fillId="0" borderId="41" xfId="0" applyFont="1" applyBorder="1" applyAlignment="1">
      <alignment horizontal="center" vertical="center" wrapText="1" readingOrder="1"/>
    </xf>
    <xf numFmtId="0" fontId="43" fillId="0" borderId="43" xfId="0" applyFont="1" applyBorder="1" applyAlignment="1">
      <alignment horizontal="center" vertical="center" wrapText="1" readingOrder="1"/>
    </xf>
    <xf numFmtId="0" fontId="43" fillId="0" borderId="46" xfId="0" applyFont="1" applyBorder="1" applyAlignment="1">
      <alignment horizontal="center" vertical="center" wrapText="1" readingOrder="1"/>
    </xf>
    <xf numFmtId="0" fontId="43" fillId="0" borderId="47" xfId="0" applyFont="1" applyBorder="1" applyAlignment="1">
      <alignment horizontal="center" vertical="center" wrapText="1" readingOrder="1"/>
    </xf>
    <xf numFmtId="0" fontId="43" fillId="0" borderId="0" xfId="0" applyFont="1" applyAlignment="1">
      <alignment horizontal="left" vertical="center" wrapText="1" readingOrder="1"/>
    </xf>
    <xf numFmtId="0" fontId="43" fillId="0" borderId="30" xfId="0" applyFont="1" applyBorder="1" applyAlignment="1">
      <alignment horizontal="left" vertical="center" wrapText="1" readingOrder="1"/>
    </xf>
    <xf numFmtId="0" fontId="43" fillId="0" borderId="25" xfId="0" applyFont="1" applyBorder="1" applyAlignment="1">
      <alignment horizontal="center" vertical="center" wrapText="1" readingOrder="1"/>
    </xf>
    <xf numFmtId="0" fontId="43" fillId="0" borderId="26" xfId="0" applyFont="1" applyBorder="1" applyAlignment="1">
      <alignment horizontal="center" vertical="center" wrapText="1" readingOrder="1"/>
    </xf>
    <xf numFmtId="0" fontId="43" fillId="0" borderId="27" xfId="0" applyFont="1" applyBorder="1" applyAlignment="1">
      <alignment horizontal="center" vertical="center" wrapText="1" readingOrder="1"/>
    </xf>
    <xf numFmtId="0" fontId="43" fillId="0" borderId="28" xfId="0" applyFont="1" applyBorder="1" applyAlignment="1">
      <alignment horizontal="center" vertical="center" wrapText="1" readingOrder="1"/>
    </xf>
    <xf numFmtId="0" fontId="43" fillId="0" borderId="31" xfId="0" applyFont="1" applyBorder="1" applyAlignment="1">
      <alignment horizontal="center" vertical="center" wrapText="1" readingOrder="1"/>
    </xf>
    <xf numFmtId="0" fontId="8" fillId="0" borderId="43" xfId="0" applyFont="1" applyBorder="1" applyAlignment="1">
      <alignment horizontal="left"/>
    </xf>
    <xf numFmtId="0" fontId="43" fillId="0" borderId="44" xfId="0" applyFont="1" applyBorder="1" applyAlignment="1">
      <alignment horizontal="center" vertical="center" wrapText="1" readingOrder="1"/>
    </xf>
    <xf numFmtId="0" fontId="43" fillId="0" borderId="42" xfId="0" applyFont="1" applyBorder="1" applyAlignment="1">
      <alignment horizontal="center" vertical="center" wrapText="1" readingOrder="1"/>
    </xf>
    <xf numFmtId="0" fontId="33" fillId="0" borderId="0" xfId="3" applyFont="1" applyAlignment="1">
      <alignment horizontal="center" vertical="center" wrapText="1"/>
    </xf>
    <xf numFmtId="0" fontId="35" fillId="5" borderId="0" xfId="3" applyFont="1" applyFill="1"/>
    <xf numFmtId="0" fontId="34" fillId="0" borderId="0" xfId="3"/>
    <xf numFmtId="0" fontId="35" fillId="0" borderId="17" xfId="3" applyFont="1" applyBorder="1" applyAlignment="1">
      <alignment horizontal="center" wrapText="1"/>
    </xf>
    <xf numFmtId="0" fontId="35" fillId="0" borderId="19" xfId="3" applyFont="1" applyBorder="1" applyAlignment="1">
      <alignment horizontal="center" wrapText="1"/>
    </xf>
    <xf numFmtId="0" fontId="33" fillId="0" borderId="0" xfId="1" applyFont="1" applyAlignment="1">
      <alignment horizontal="center" vertical="center" wrapText="1"/>
    </xf>
    <xf numFmtId="0" fontId="35" fillId="5" borderId="0" xfId="1" applyFont="1" applyFill="1"/>
    <xf numFmtId="0" fontId="34" fillId="0" borderId="0" xfId="1"/>
    <xf numFmtId="0" fontId="35" fillId="0" borderId="17" xfId="1" applyFont="1" applyBorder="1" applyAlignment="1">
      <alignment horizontal="center" wrapText="1"/>
    </xf>
    <xf numFmtId="0" fontId="35" fillId="0" borderId="19" xfId="1" applyFont="1" applyBorder="1" applyAlignment="1">
      <alignment horizontal="center" wrapText="1"/>
    </xf>
    <xf numFmtId="0" fontId="34" fillId="0" borderId="0" xfId="3" applyAlignment="1">
      <alignment vertical="center"/>
    </xf>
    <xf numFmtId="0" fontId="37" fillId="0" borderId="6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/>
    </xf>
    <xf numFmtId="0" fontId="23" fillId="0" borderId="8" xfId="0" applyFont="1" applyBorder="1" applyAlignment="1">
      <alignment horizontal="center"/>
    </xf>
  </cellXfs>
  <cellStyles count="4">
    <cellStyle name="百分比" xfId="2" builtinId="5"/>
    <cellStyle name="常规" xfId="0" builtinId="0"/>
    <cellStyle name="常规_Means" xfId="3" xr:uid="{9BB47555-BE52-42E3-BFEF-A24FC4623554}"/>
    <cellStyle name="常规_Sheet2" xfId="1" xr:uid="{088AAD51-BBC0-4DFD-942C-91C4C7B09BC7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intra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Means!$Y$4</c:f>
              <c:strCache>
                <c:ptCount val="1"/>
                <c:pt idx="0">
                  <c:v>ImageCue_NoWM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Means!$X$5:$X$24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Means!$Y$5:$Y$24</c:f>
              <c:numCache>
                <c:formatCode>###0.000</c:formatCode>
                <c:ptCount val="20"/>
                <c:pt idx="0">
                  <c:v>3.7396666666666651</c:v>
                </c:pt>
                <c:pt idx="1">
                  <c:v>5.025846153846155</c:v>
                </c:pt>
                <c:pt idx="2">
                  <c:v>3.861771794871796</c:v>
                </c:pt>
                <c:pt idx="3">
                  <c:v>5.1048794871794883</c:v>
                </c:pt>
                <c:pt idx="4">
                  <c:v>3.9635256410256403</c:v>
                </c:pt>
                <c:pt idx="5">
                  <c:v>4.7019743589743594</c:v>
                </c:pt>
                <c:pt idx="6">
                  <c:v>4.4622769230769226</c:v>
                </c:pt>
                <c:pt idx="7">
                  <c:v>4.6465179487179498</c:v>
                </c:pt>
                <c:pt idx="8">
                  <c:v>4.0849666666666673</c:v>
                </c:pt>
                <c:pt idx="9">
                  <c:v>4.3657461538461551</c:v>
                </c:pt>
                <c:pt idx="10">
                  <c:v>4.8036025641025635</c:v>
                </c:pt>
                <c:pt idx="11">
                  <c:v>5.3708794871794865</c:v>
                </c:pt>
                <c:pt idx="12">
                  <c:v>4.0411128205128204</c:v>
                </c:pt>
                <c:pt idx="13">
                  <c:v>4.0587974358974366</c:v>
                </c:pt>
                <c:pt idx="14">
                  <c:v>4.7388435897435901</c:v>
                </c:pt>
                <c:pt idx="15">
                  <c:v>4.1767128205128206</c:v>
                </c:pt>
                <c:pt idx="16">
                  <c:v>4.8782794871794861</c:v>
                </c:pt>
                <c:pt idx="17">
                  <c:v>4.9667538461538463</c:v>
                </c:pt>
                <c:pt idx="18">
                  <c:v>4.0774435897435897</c:v>
                </c:pt>
                <c:pt idx="19">
                  <c:v>4.6414538461538459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6-44B5-8004-52C5642BEFCB}"/>
            </c:ext>
          </c:extLst>
        </c:ser>
        <c:ser>
          <c:idx val="1"/>
          <c:order val="1"/>
          <c:tx>
            <c:strRef>
              <c:f>Means!$Z$4</c:f>
              <c:strCache>
                <c:ptCount val="1"/>
                <c:pt idx="0">
                  <c:v>ImageCue_WM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Means!$X$5:$X$24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Means!$Z$5:$Z$24</c:f>
              <c:numCache>
                <c:formatCode>###0.000</c:formatCode>
                <c:ptCount val="20"/>
                <c:pt idx="0">
                  <c:v>5.2594155555555551</c:v>
                </c:pt>
                <c:pt idx="1">
                  <c:v>5.3306666666666676</c:v>
                </c:pt>
                <c:pt idx="2">
                  <c:v>4.8635355555555559</c:v>
                </c:pt>
                <c:pt idx="3">
                  <c:v>3.5831977777777775</c:v>
                </c:pt>
                <c:pt idx="4">
                  <c:v>3.3603911111111104</c:v>
                </c:pt>
                <c:pt idx="5">
                  <c:v>5.9617533333333341</c:v>
                </c:pt>
                <c:pt idx="6">
                  <c:v>3.2272666666666665</c:v>
                </c:pt>
                <c:pt idx="7">
                  <c:v>3.7060377777777775</c:v>
                </c:pt>
                <c:pt idx="8">
                  <c:v>3.1752133333333332</c:v>
                </c:pt>
                <c:pt idx="9">
                  <c:v>3.2490422222222222</c:v>
                </c:pt>
                <c:pt idx="10">
                  <c:v>3.4908488888888893</c:v>
                </c:pt>
                <c:pt idx="11">
                  <c:v>3.841682222222222</c:v>
                </c:pt>
                <c:pt idx="12">
                  <c:v>2.5326111111111116</c:v>
                </c:pt>
                <c:pt idx="13">
                  <c:v>4.8191111111111118</c:v>
                </c:pt>
                <c:pt idx="14">
                  <c:v>4.2318800000000003</c:v>
                </c:pt>
                <c:pt idx="15">
                  <c:v>5.1980955555555557</c:v>
                </c:pt>
                <c:pt idx="16">
                  <c:v>3.2161466666666665</c:v>
                </c:pt>
                <c:pt idx="17">
                  <c:v>5.0876333333333337</c:v>
                </c:pt>
                <c:pt idx="18">
                  <c:v>3.3283577777777777</c:v>
                </c:pt>
                <c:pt idx="19">
                  <c:v>4.2312311111111098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6-44B5-8004-52C5642BEFCB}"/>
            </c:ext>
          </c:extLst>
        </c:ser>
        <c:ser>
          <c:idx val="2"/>
          <c:order val="2"/>
          <c:tx>
            <c:strRef>
              <c:f>Means!$AA$4</c:f>
              <c:strCache>
                <c:ptCount val="1"/>
                <c:pt idx="0">
                  <c:v>NameCue_NoWM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Means!$X$5:$X$24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Means!$AA$5:$AA$24</c:f>
              <c:numCache>
                <c:formatCode>###0.000</c:formatCode>
                <c:ptCount val="20"/>
                <c:pt idx="0">
                  <c:v>6.1771088888888901</c:v>
                </c:pt>
                <c:pt idx="1">
                  <c:v>5.8828977777777771</c:v>
                </c:pt>
                <c:pt idx="2">
                  <c:v>3.6305711111111103</c:v>
                </c:pt>
                <c:pt idx="3">
                  <c:v>5.131157777777779</c:v>
                </c:pt>
                <c:pt idx="4">
                  <c:v>3.8833444444444432</c:v>
                </c:pt>
                <c:pt idx="5">
                  <c:v>6.7451911111111098</c:v>
                </c:pt>
                <c:pt idx="6">
                  <c:v>4.0310711111111122</c:v>
                </c:pt>
                <c:pt idx="7">
                  <c:v>0</c:v>
                </c:pt>
                <c:pt idx="8">
                  <c:v>0</c:v>
                </c:pt>
                <c:pt idx="9">
                  <c:v>4.9374111111111114</c:v>
                </c:pt>
                <c:pt idx="10">
                  <c:v>3.9797888888888902</c:v>
                </c:pt>
                <c:pt idx="11">
                  <c:v>4.6184911111111111</c:v>
                </c:pt>
                <c:pt idx="12">
                  <c:v>3.651346666666667</c:v>
                </c:pt>
                <c:pt idx="13">
                  <c:v>5.6932911111111126</c:v>
                </c:pt>
                <c:pt idx="14">
                  <c:v>5.4234600000000022</c:v>
                </c:pt>
                <c:pt idx="15">
                  <c:v>6.1726066666666668</c:v>
                </c:pt>
                <c:pt idx="16">
                  <c:v>4.3867044444444447</c:v>
                </c:pt>
                <c:pt idx="17">
                  <c:v>4.5901377777777777</c:v>
                </c:pt>
                <c:pt idx="18">
                  <c:v>5.3199311111111118</c:v>
                </c:pt>
                <c:pt idx="19">
                  <c:v>4.5042599999999995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96-44B5-8004-52C5642BEFCB}"/>
            </c:ext>
          </c:extLst>
        </c:ser>
        <c:ser>
          <c:idx val="3"/>
          <c:order val="3"/>
          <c:tx>
            <c:strRef>
              <c:f>Means!$AB$4</c:f>
              <c:strCache>
                <c:ptCount val="1"/>
                <c:pt idx="0">
                  <c:v>NameCue_WM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Means!$X$5:$X$24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Means!$AB$5:$AB$24</c:f>
              <c:numCache>
                <c:formatCode>###0.000</c:formatCode>
                <c:ptCount val="20"/>
                <c:pt idx="0">
                  <c:v>5.005105128205134</c:v>
                </c:pt>
                <c:pt idx="1">
                  <c:v>5.5472230769230739</c:v>
                </c:pt>
                <c:pt idx="2">
                  <c:v>3.5876974358974247</c:v>
                </c:pt>
                <c:pt idx="3">
                  <c:v>4.9217948717948685</c:v>
                </c:pt>
                <c:pt idx="4">
                  <c:v>3.6745230769230788</c:v>
                </c:pt>
                <c:pt idx="5">
                  <c:v>5.5549461538461555</c:v>
                </c:pt>
                <c:pt idx="6">
                  <c:v>3.074864102564109</c:v>
                </c:pt>
                <c:pt idx="7">
                  <c:v>4.4259358974359024</c:v>
                </c:pt>
                <c:pt idx="8">
                  <c:v>3.2257692307692305</c:v>
                </c:pt>
                <c:pt idx="9">
                  <c:v>5.0663589743589865</c:v>
                </c:pt>
                <c:pt idx="10">
                  <c:v>3.6934179487179457</c:v>
                </c:pt>
                <c:pt idx="11">
                  <c:v>3.78328461538461</c:v>
                </c:pt>
                <c:pt idx="12">
                  <c:v>2.5955384615384554</c:v>
                </c:pt>
                <c:pt idx="13">
                  <c:v>4.0085487179487211</c:v>
                </c:pt>
                <c:pt idx="14">
                  <c:v>4.568751282051287</c:v>
                </c:pt>
                <c:pt idx="15">
                  <c:v>5.1199948717948764</c:v>
                </c:pt>
                <c:pt idx="16">
                  <c:v>3.2699307692307609</c:v>
                </c:pt>
                <c:pt idx="17">
                  <c:v>4.9592820512820444</c:v>
                </c:pt>
                <c:pt idx="18">
                  <c:v>3.5510948717948683</c:v>
                </c:pt>
                <c:pt idx="19">
                  <c:v>3.584728205128207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96-44B5-8004-52C5642BE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423696"/>
        <c:axId val="872415056"/>
      </c:barChart>
      <c:catAx>
        <c:axId val="87242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2415056"/>
        <c:crosses val="autoZero"/>
        <c:auto val="1"/>
        <c:lblAlgn val="ctr"/>
        <c:lblOffset val="100"/>
        <c:noMultiLvlLbl val="0"/>
      </c:catAx>
      <c:valAx>
        <c:axId val="8724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242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</a:t>
            </a:r>
            <a:endParaRPr lang="zh-CN" altLang="en-US"/>
          </a:p>
        </c:rich>
      </c:tx>
      <c:layout>
        <c:manualLayout>
          <c:xMode val="edge"/>
          <c:yMode val="edge"/>
          <c:x val="0.45689800738283948"/>
          <c:y val="1.5576323987538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Means!$AO$4</c:f>
              <c:strCache>
                <c:ptCount val="1"/>
                <c:pt idx="0">
                  <c:v>ImageCue_NoWM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Means!$AN$5:$AN$24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Means!$AO$5:$AO$24</c:f>
              <c:numCache>
                <c:formatCode>###0.000</c:formatCode>
                <c:ptCount val="20"/>
                <c:pt idx="0">
                  <c:v>38.002656410256407</c:v>
                </c:pt>
                <c:pt idx="1">
                  <c:v>34.115633333333335</c:v>
                </c:pt>
                <c:pt idx="2">
                  <c:v>34.380697435897439</c:v>
                </c:pt>
                <c:pt idx="3">
                  <c:v>29.880482051282044</c:v>
                </c:pt>
                <c:pt idx="4">
                  <c:v>29.897374358974361</c:v>
                </c:pt>
                <c:pt idx="5">
                  <c:v>47.032358974358978</c:v>
                </c:pt>
                <c:pt idx="6">
                  <c:v>29.809207692307695</c:v>
                </c:pt>
                <c:pt idx="7">
                  <c:v>27.864615384615377</c:v>
                </c:pt>
                <c:pt idx="8">
                  <c:v>35.740761538461548</c:v>
                </c:pt>
                <c:pt idx="9">
                  <c:v>38.296020512820512</c:v>
                </c:pt>
                <c:pt idx="10">
                  <c:v>44.233099999999993</c:v>
                </c:pt>
                <c:pt idx="11">
                  <c:v>30.685833333333342</c:v>
                </c:pt>
                <c:pt idx="12">
                  <c:v>31.403456410256418</c:v>
                </c:pt>
                <c:pt idx="13">
                  <c:v>38.138341025641033</c:v>
                </c:pt>
                <c:pt idx="14">
                  <c:v>31.092105128205127</c:v>
                </c:pt>
                <c:pt idx="15">
                  <c:v>38.11130769230769</c:v>
                </c:pt>
                <c:pt idx="16">
                  <c:v>26.322876923076926</c:v>
                </c:pt>
                <c:pt idx="17">
                  <c:v>31.850133333333332</c:v>
                </c:pt>
                <c:pt idx="18">
                  <c:v>33.409151282051283</c:v>
                </c:pt>
                <c:pt idx="19">
                  <c:v>27.526674358974368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B-4432-AE32-13B16C458B17}"/>
            </c:ext>
          </c:extLst>
        </c:ser>
        <c:ser>
          <c:idx val="1"/>
          <c:order val="1"/>
          <c:tx>
            <c:strRef>
              <c:f>Means!$AP$4</c:f>
              <c:strCache>
                <c:ptCount val="1"/>
                <c:pt idx="0">
                  <c:v>ImageCue_WM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Means!$AN$5:$AN$24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Means!$AP$5:$AP$24</c:f>
              <c:numCache>
                <c:formatCode>###0.000</c:formatCode>
                <c:ptCount val="20"/>
                <c:pt idx="0">
                  <c:v>18.914848888888891</c:v>
                </c:pt>
                <c:pt idx="1">
                  <c:v>25.805502222222223</c:v>
                </c:pt>
                <c:pt idx="2">
                  <c:v>20.595175555555549</c:v>
                </c:pt>
                <c:pt idx="3">
                  <c:v>20.533251111111113</c:v>
                </c:pt>
                <c:pt idx="4">
                  <c:v>22.257357777777774</c:v>
                </c:pt>
                <c:pt idx="5">
                  <c:v>23.658308888888889</c:v>
                </c:pt>
                <c:pt idx="6">
                  <c:v>24.876102222222229</c:v>
                </c:pt>
                <c:pt idx="7">
                  <c:v>21.536324444444439</c:v>
                </c:pt>
                <c:pt idx="8">
                  <c:v>22.449731111111117</c:v>
                </c:pt>
                <c:pt idx="9">
                  <c:v>20.648720000000008</c:v>
                </c:pt>
                <c:pt idx="10">
                  <c:v>19.81825111111111</c:v>
                </c:pt>
                <c:pt idx="11">
                  <c:v>22.341524444444445</c:v>
                </c:pt>
                <c:pt idx="12">
                  <c:v>15.806600000000003</c:v>
                </c:pt>
                <c:pt idx="13">
                  <c:v>19.900740000000006</c:v>
                </c:pt>
                <c:pt idx="14">
                  <c:v>16.863919999999997</c:v>
                </c:pt>
                <c:pt idx="15">
                  <c:v>19.951108888888886</c:v>
                </c:pt>
                <c:pt idx="16">
                  <c:v>19.748655555555551</c:v>
                </c:pt>
                <c:pt idx="17">
                  <c:v>19.284048888888897</c:v>
                </c:pt>
                <c:pt idx="18">
                  <c:v>19.008557777777781</c:v>
                </c:pt>
                <c:pt idx="19">
                  <c:v>15.240606666666665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B-4432-AE32-13B16C458B17}"/>
            </c:ext>
          </c:extLst>
        </c:ser>
        <c:ser>
          <c:idx val="2"/>
          <c:order val="2"/>
          <c:tx>
            <c:strRef>
              <c:f>Means!$AQ$4</c:f>
              <c:strCache>
                <c:ptCount val="1"/>
                <c:pt idx="0">
                  <c:v>NameCue_NoWM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Means!$AN$5:$AN$24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Means!$AQ$5:$AQ$24</c:f>
              <c:numCache>
                <c:formatCode>###0.000</c:formatCode>
                <c:ptCount val="20"/>
                <c:pt idx="0">
                  <c:v>31.214759999999998</c:v>
                </c:pt>
                <c:pt idx="1">
                  <c:v>33.382388888888897</c:v>
                </c:pt>
                <c:pt idx="2">
                  <c:v>35.851375555555542</c:v>
                </c:pt>
                <c:pt idx="3">
                  <c:v>26.189255555555562</c:v>
                </c:pt>
                <c:pt idx="4">
                  <c:v>28.655759999999994</c:v>
                </c:pt>
                <c:pt idx="5">
                  <c:v>38.587088888888886</c:v>
                </c:pt>
                <c:pt idx="6">
                  <c:v>35.184395555555554</c:v>
                </c:pt>
                <c:pt idx="7">
                  <c:v>0</c:v>
                </c:pt>
                <c:pt idx="8">
                  <c:v>0</c:v>
                </c:pt>
                <c:pt idx="9">
                  <c:v>34.330739999999992</c:v>
                </c:pt>
                <c:pt idx="10">
                  <c:v>32.024613333333328</c:v>
                </c:pt>
                <c:pt idx="11">
                  <c:v>29.243771111111105</c:v>
                </c:pt>
                <c:pt idx="12">
                  <c:v>31.965460000000011</c:v>
                </c:pt>
                <c:pt idx="13">
                  <c:v>30.070968888888892</c:v>
                </c:pt>
                <c:pt idx="14">
                  <c:v>23.492440000000002</c:v>
                </c:pt>
                <c:pt idx="15">
                  <c:v>27.540879999999998</c:v>
                </c:pt>
                <c:pt idx="16">
                  <c:v>32.336422222222232</c:v>
                </c:pt>
                <c:pt idx="17">
                  <c:v>34.383795555555565</c:v>
                </c:pt>
                <c:pt idx="18">
                  <c:v>31.19785111111112</c:v>
                </c:pt>
                <c:pt idx="19">
                  <c:v>26.976391111111106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B-4432-AE32-13B16C458B17}"/>
            </c:ext>
          </c:extLst>
        </c:ser>
        <c:ser>
          <c:idx val="3"/>
          <c:order val="3"/>
          <c:tx>
            <c:strRef>
              <c:f>Means!$AR$4</c:f>
              <c:strCache>
                <c:ptCount val="1"/>
                <c:pt idx="0">
                  <c:v>NameCue_WM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Means!$AN$5:$AN$24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Means!$AR$5:$AR$24</c:f>
              <c:numCache>
                <c:formatCode>###0.000</c:formatCode>
                <c:ptCount val="20"/>
                <c:pt idx="0">
                  <c:v>24.891982051282067</c:v>
                </c:pt>
                <c:pt idx="1">
                  <c:v>21.875558974358917</c:v>
                </c:pt>
                <c:pt idx="2">
                  <c:v>25.21377948717943</c:v>
                </c:pt>
                <c:pt idx="3">
                  <c:v>20.053502564102526</c:v>
                </c:pt>
                <c:pt idx="4">
                  <c:v>22.729315384615354</c:v>
                </c:pt>
                <c:pt idx="5">
                  <c:v>23.886771794871713</c:v>
                </c:pt>
                <c:pt idx="6">
                  <c:v>22.247738461538411</c:v>
                </c:pt>
                <c:pt idx="7">
                  <c:v>17.749741025640986</c:v>
                </c:pt>
                <c:pt idx="8">
                  <c:v>19.931941025641056</c:v>
                </c:pt>
                <c:pt idx="9">
                  <c:v>20.468938461538489</c:v>
                </c:pt>
                <c:pt idx="10">
                  <c:v>26.683510256410276</c:v>
                </c:pt>
                <c:pt idx="11">
                  <c:v>24.398458974358959</c:v>
                </c:pt>
                <c:pt idx="12">
                  <c:v>17.422376923076925</c:v>
                </c:pt>
                <c:pt idx="13">
                  <c:v>22.721735897435959</c:v>
                </c:pt>
                <c:pt idx="14">
                  <c:v>17.92106153846154</c:v>
                </c:pt>
                <c:pt idx="15">
                  <c:v>21.825743589743599</c:v>
                </c:pt>
                <c:pt idx="16">
                  <c:v>22.116194871794868</c:v>
                </c:pt>
                <c:pt idx="17">
                  <c:v>23.005689743589695</c:v>
                </c:pt>
                <c:pt idx="18">
                  <c:v>20.918861538461488</c:v>
                </c:pt>
                <c:pt idx="19">
                  <c:v>19.484502564102538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2B-4432-AE32-13B16C458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423696"/>
        <c:axId val="872415056"/>
      </c:barChart>
      <c:catAx>
        <c:axId val="87242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2415056"/>
        <c:crosses val="autoZero"/>
        <c:auto val="1"/>
        <c:lblAlgn val="ctr"/>
        <c:lblOffset val="100"/>
        <c:noMultiLvlLbl val="0"/>
      </c:catAx>
      <c:valAx>
        <c:axId val="8724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242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inter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88397048667647"/>
          <c:y val="0.13636029411764708"/>
          <c:w val="0.85885198898881687"/>
          <c:h val="0.694252257989810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Means!$I$4</c:f>
              <c:strCache>
                <c:ptCount val="1"/>
                <c:pt idx="0">
                  <c:v>ImageCue_NoWM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Means!$H$5:$H$24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Means!$I$5:$I$24</c:f>
              <c:numCache>
                <c:formatCode>###0.000</c:formatCode>
                <c:ptCount val="20"/>
                <c:pt idx="0">
                  <c:v>14.27192307692308</c:v>
                </c:pt>
                <c:pt idx="1">
                  <c:v>10.285320512820517</c:v>
                </c:pt>
                <c:pt idx="2">
                  <c:v>10.342256410256409</c:v>
                </c:pt>
                <c:pt idx="3">
                  <c:v>9.2803615384615394</c:v>
                </c:pt>
                <c:pt idx="4">
                  <c:v>6.8272512820512832</c:v>
                </c:pt>
                <c:pt idx="5">
                  <c:v>16.928256410256413</c:v>
                </c:pt>
                <c:pt idx="6">
                  <c:v>8.6499871794871801</c:v>
                </c:pt>
                <c:pt idx="7">
                  <c:v>9.7048769230769256</c:v>
                </c:pt>
                <c:pt idx="8">
                  <c:v>11.013197435897439</c:v>
                </c:pt>
                <c:pt idx="9">
                  <c:v>10.502728205128207</c:v>
                </c:pt>
                <c:pt idx="10">
                  <c:v>11.068074358974359</c:v>
                </c:pt>
                <c:pt idx="11">
                  <c:v>9.3295435897435901</c:v>
                </c:pt>
                <c:pt idx="12">
                  <c:v>7.6466282051282048</c:v>
                </c:pt>
                <c:pt idx="13">
                  <c:v>9.2126564102564128</c:v>
                </c:pt>
                <c:pt idx="14">
                  <c:v>8.9721358974358996</c:v>
                </c:pt>
                <c:pt idx="15">
                  <c:v>12.31847435897436</c:v>
                </c:pt>
                <c:pt idx="16">
                  <c:v>8.3357230769230757</c:v>
                </c:pt>
                <c:pt idx="17">
                  <c:v>10.14572307692308</c:v>
                </c:pt>
                <c:pt idx="18">
                  <c:v>9.3410538461538497</c:v>
                </c:pt>
                <c:pt idx="19">
                  <c:v>8.7899923076923105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6-4824-A6F9-2AC7A729A964}"/>
            </c:ext>
          </c:extLst>
        </c:ser>
        <c:ser>
          <c:idx val="1"/>
          <c:order val="1"/>
          <c:tx>
            <c:strRef>
              <c:f>Means!$J$4</c:f>
              <c:strCache>
                <c:ptCount val="1"/>
                <c:pt idx="0">
                  <c:v>ImageCue_WM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Means!$H$5:$H$24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Means!$J$5:$J$24</c:f>
              <c:numCache>
                <c:formatCode>###0.000</c:formatCode>
                <c:ptCount val="20"/>
                <c:pt idx="0">
                  <c:v>15.061828888888892</c:v>
                </c:pt>
                <c:pt idx="1">
                  <c:v>10.508488888888893</c:v>
                </c:pt>
                <c:pt idx="2">
                  <c:v>10.170857777777774</c:v>
                </c:pt>
                <c:pt idx="3">
                  <c:v>8.5884977777777749</c:v>
                </c:pt>
                <c:pt idx="4">
                  <c:v>7.04369333333333</c:v>
                </c:pt>
                <c:pt idx="5">
                  <c:v>23.556942222222233</c:v>
                </c:pt>
                <c:pt idx="6">
                  <c:v>7.5701777777777766</c:v>
                </c:pt>
                <c:pt idx="7">
                  <c:v>7.2371155555555546</c:v>
                </c:pt>
                <c:pt idx="8">
                  <c:v>7.8370755555555558</c:v>
                </c:pt>
                <c:pt idx="9">
                  <c:v>9.2064688888888835</c:v>
                </c:pt>
                <c:pt idx="10">
                  <c:v>9.406302222222223</c:v>
                </c:pt>
                <c:pt idx="11">
                  <c:v>8.7428511111111131</c:v>
                </c:pt>
                <c:pt idx="12">
                  <c:v>7.5819111111111113</c:v>
                </c:pt>
                <c:pt idx="13">
                  <c:v>9.716113333333336</c:v>
                </c:pt>
                <c:pt idx="14">
                  <c:v>7.5493155555555571</c:v>
                </c:pt>
                <c:pt idx="15">
                  <c:v>13.031897777777777</c:v>
                </c:pt>
                <c:pt idx="16">
                  <c:v>7.6864888888888858</c:v>
                </c:pt>
                <c:pt idx="17">
                  <c:v>9.6058955555555556</c:v>
                </c:pt>
                <c:pt idx="18">
                  <c:v>8.2869155555555523</c:v>
                </c:pt>
                <c:pt idx="19">
                  <c:v>9.2145955555555581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6-4824-A6F9-2AC7A729A964}"/>
            </c:ext>
          </c:extLst>
        </c:ser>
        <c:ser>
          <c:idx val="2"/>
          <c:order val="2"/>
          <c:tx>
            <c:strRef>
              <c:f>Means!$K$4</c:f>
              <c:strCache>
                <c:ptCount val="1"/>
                <c:pt idx="0">
                  <c:v>NameCue_NoWM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Means!$H$5:$H$24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Means!$K$5:$K$24</c:f>
              <c:numCache>
                <c:formatCode>###0.000</c:formatCode>
                <c:ptCount val="20"/>
                <c:pt idx="0">
                  <c:v>13.703899999999999</c:v>
                </c:pt>
                <c:pt idx="1">
                  <c:v>11.21976888888889</c:v>
                </c:pt>
                <c:pt idx="2">
                  <c:v>9.2333022222222176</c:v>
                </c:pt>
                <c:pt idx="3">
                  <c:v>8.5230177777777776</c:v>
                </c:pt>
                <c:pt idx="4">
                  <c:v>9.6512511111111152</c:v>
                </c:pt>
                <c:pt idx="5">
                  <c:v>21.090660000000003</c:v>
                </c:pt>
                <c:pt idx="6">
                  <c:v>8.6975555555555548</c:v>
                </c:pt>
                <c:pt idx="7">
                  <c:v>0</c:v>
                </c:pt>
                <c:pt idx="8">
                  <c:v>0</c:v>
                </c:pt>
                <c:pt idx="9">
                  <c:v>8.970311111111112</c:v>
                </c:pt>
                <c:pt idx="10">
                  <c:v>9.7054311111111122</c:v>
                </c:pt>
                <c:pt idx="11">
                  <c:v>9.254895555555553</c:v>
                </c:pt>
                <c:pt idx="12">
                  <c:v>8.0564755555555543</c:v>
                </c:pt>
                <c:pt idx="13">
                  <c:v>9.461706666666668</c:v>
                </c:pt>
                <c:pt idx="14">
                  <c:v>9.8727333333333362</c:v>
                </c:pt>
                <c:pt idx="15">
                  <c:v>13.446280000000002</c:v>
                </c:pt>
                <c:pt idx="16">
                  <c:v>9.627151111111111</c:v>
                </c:pt>
                <c:pt idx="17">
                  <c:v>8.6175599999999992</c:v>
                </c:pt>
                <c:pt idx="18">
                  <c:v>7.8675533333333316</c:v>
                </c:pt>
                <c:pt idx="19">
                  <c:v>11.125737777777779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66-4824-A6F9-2AC7A729A964}"/>
            </c:ext>
          </c:extLst>
        </c:ser>
        <c:ser>
          <c:idx val="3"/>
          <c:order val="3"/>
          <c:tx>
            <c:strRef>
              <c:f>Means!$L$4</c:f>
              <c:strCache>
                <c:ptCount val="1"/>
                <c:pt idx="0">
                  <c:v>NameCue_WM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Means!$H$5:$H$24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Means!$L$5:$L$24</c:f>
              <c:numCache>
                <c:formatCode>###0.000</c:formatCode>
                <c:ptCount val="20"/>
                <c:pt idx="0">
                  <c:v>14.480000000000006</c:v>
                </c:pt>
                <c:pt idx="1">
                  <c:v>10.788858974358956</c:v>
                </c:pt>
                <c:pt idx="2">
                  <c:v>10.272653846153872</c:v>
                </c:pt>
                <c:pt idx="3">
                  <c:v>8.8334923076922856</c:v>
                </c:pt>
                <c:pt idx="4">
                  <c:v>7.4537128205128029</c:v>
                </c:pt>
                <c:pt idx="5">
                  <c:v>17.695830769230763</c:v>
                </c:pt>
                <c:pt idx="6">
                  <c:v>8.6481820512820438</c:v>
                </c:pt>
                <c:pt idx="7">
                  <c:v>8.5613256410256326</c:v>
                </c:pt>
                <c:pt idx="8">
                  <c:v>10.280292307692294</c:v>
                </c:pt>
                <c:pt idx="9">
                  <c:v>11.65092820512819</c:v>
                </c:pt>
                <c:pt idx="10">
                  <c:v>12.326194871794861</c:v>
                </c:pt>
                <c:pt idx="11">
                  <c:v>10.099669230769228</c:v>
                </c:pt>
                <c:pt idx="12">
                  <c:v>7.7647948717948454</c:v>
                </c:pt>
                <c:pt idx="13">
                  <c:v>10.357746153846151</c:v>
                </c:pt>
                <c:pt idx="14">
                  <c:v>8.359402564102556</c:v>
                </c:pt>
                <c:pt idx="15">
                  <c:v>13.399948717948707</c:v>
                </c:pt>
                <c:pt idx="16">
                  <c:v>8.3743769230769125</c:v>
                </c:pt>
                <c:pt idx="17">
                  <c:v>11.187035897435909</c:v>
                </c:pt>
                <c:pt idx="18">
                  <c:v>9.8190358974359171</c:v>
                </c:pt>
                <c:pt idx="19">
                  <c:v>9.3571999999999882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66-4824-A6F9-2AC7A729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423696"/>
        <c:axId val="872415056"/>
      </c:barChart>
      <c:catAx>
        <c:axId val="87242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2415056"/>
        <c:crosses val="autoZero"/>
        <c:auto val="1"/>
        <c:lblAlgn val="ctr"/>
        <c:lblOffset val="100"/>
        <c:noMultiLvlLbl val="0"/>
      </c:catAx>
      <c:valAx>
        <c:axId val="8724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242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Score</a:t>
            </a:r>
            <a:endParaRPr lang="zh-CN" altLang="en-US"/>
          </a:p>
        </c:rich>
      </c:tx>
      <c:layout>
        <c:manualLayout>
          <c:xMode val="edge"/>
          <c:yMode val="edge"/>
          <c:x val="0.45689800738283948"/>
          <c:y val="1.5576323987538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Means!$BE$4</c:f>
              <c:strCache>
                <c:ptCount val="1"/>
                <c:pt idx="0">
                  <c:v>ImageCue_NoWM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Means!$BD$5:$BD$24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Means!$BE$5:$BE$24</c:f>
              <c:numCache>
                <c:formatCode>###0.000</c:formatCode>
                <c:ptCount val="20"/>
                <c:pt idx="0">
                  <c:v>0.31578947368421051</c:v>
                </c:pt>
                <c:pt idx="1">
                  <c:v>1.3947368421052631</c:v>
                </c:pt>
                <c:pt idx="2">
                  <c:v>1.4736842105263159</c:v>
                </c:pt>
                <c:pt idx="3">
                  <c:v>1.9605263157894735</c:v>
                </c:pt>
                <c:pt idx="4">
                  <c:v>2.1578947368421053</c:v>
                </c:pt>
                <c:pt idx="5">
                  <c:v>0.73684210526315796</c:v>
                </c:pt>
                <c:pt idx="6">
                  <c:v>1.9868421052631577</c:v>
                </c:pt>
                <c:pt idx="7">
                  <c:v>2.0394736842105261</c:v>
                </c:pt>
                <c:pt idx="8">
                  <c:v>1.6184210526315792</c:v>
                </c:pt>
                <c:pt idx="9">
                  <c:v>1.2763157894736843</c:v>
                </c:pt>
                <c:pt idx="10">
                  <c:v>1.3815789473684212</c:v>
                </c:pt>
                <c:pt idx="11">
                  <c:v>1.9736842105263155</c:v>
                </c:pt>
                <c:pt idx="12">
                  <c:v>1.8684210526315788</c:v>
                </c:pt>
                <c:pt idx="13">
                  <c:v>1.6052631578947365</c:v>
                </c:pt>
                <c:pt idx="14">
                  <c:v>2.1052631578947372</c:v>
                </c:pt>
                <c:pt idx="15">
                  <c:v>1.2763157894736843</c:v>
                </c:pt>
                <c:pt idx="16">
                  <c:v>2.2763157894736841</c:v>
                </c:pt>
                <c:pt idx="17">
                  <c:v>1.9078947368421053</c:v>
                </c:pt>
                <c:pt idx="18">
                  <c:v>2.0394736842105265</c:v>
                </c:pt>
                <c:pt idx="19">
                  <c:v>1.8947368421052635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A-461F-97FA-BB4509D42B33}"/>
            </c:ext>
          </c:extLst>
        </c:ser>
        <c:ser>
          <c:idx val="1"/>
          <c:order val="1"/>
          <c:tx>
            <c:strRef>
              <c:f>Means!$BF$4</c:f>
              <c:strCache>
                <c:ptCount val="1"/>
                <c:pt idx="0">
                  <c:v>ImageCue_WM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Means!$BD$5:$BD$24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Means!$BF$5:$BF$24</c:f>
              <c:numCache>
                <c:formatCode>###0.000</c:formatCode>
                <c:ptCount val="20"/>
                <c:pt idx="0">
                  <c:v>0.55555555555555547</c:v>
                </c:pt>
                <c:pt idx="1">
                  <c:v>1.4444444444444444</c:v>
                </c:pt>
                <c:pt idx="2">
                  <c:v>1.6222222222222225</c:v>
                </c:pt>
                <c:pt idx="3">
                  <c:v>2</c:v>
                </c:pt>
                <c:pt idx="4">
                  <c:v>2.1333333333333329</c:v>
                </c:pt>
                <c:pt idx="5">
                  <c:v>0.9111111111111112</c:v>
                </c:pt>
                <c:pt idx="6">
                  <c:v>2.1444444444444444</c:v>
                </c:pt>
                <c:pt idx="7">
                  <c:v>2.0222222222222221</c:v>
                </c:pt>
                <c:pt idx="8">
                  <c:v>1.4000000000000004</c:v>
                </c:pt>
                <c:pt idx="9">
                  <c:v>1.5333333333333334</c:v>
                </c:pt>
                <c:pt idx="10">
                  <c:v>1.9111111111111112</c:v>
                </c:pt>
                <c:pt idx="11">
                  <c:v>1.9555555555555553</c:v>
                </c:pt>
                <c:pt idx="12">
                  <c:v>1.9999999999999998</c:v>
                </c:pt>
                <c:pt idx="13">
                  <c:v>1.5444444444444443</c:v>
                </c:pt>
                <c:pt idx="14">
                  <c:v>2.2222222222222223</c:v>
                </c:pt>
                <c:pt idx="15">
                  <c:v>1.6111111111111112</c:v>
                </c:pt>
                <c:pt idx="16">
                  <c:v>2.2111111111111108</c:v>
                </c:pt>
                <c:pt idx="17">
                  <c:v>1.9222222222222223</c:v>
                </c:pt>
                <c:pt idx="18">
                  <c:v>1.8888888888888891</c:v>
                </c:pt>
                <c:pt idx="19">
                  <c:v>2.2000000000000006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A-461F-97FA-BB4509D42B33}"/>
            </c:ext>
          </c:extLst>
        </c:ser>
        <c:ser>
          <c:idx val="2"/>
          <c:order val="2"/>
          <c:tx>
            <c:strRef>
              <c:f>Means!$BG$4</c:f>
              <c:strCache>
                <c:ptCount val="1"/>
                <c:pt idx="0">
                  <c:v>NameCue_NoWM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Means!$BD$5:$BD$24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Means!$BG$5:$BG$24</c:f>
              <c:numCache>
                <c:formatCode>###0.000</c:formatCode>
                <c:ptCount val="20"/>
                <c:pt idx="0">
                  <c:v>0.6</c:v>
                </c:pt>
                <c:pt idx="1">
                  <c:v>1.5999999999999999</c:v>
                </c:pt>
                <c:pt idx="2">
                  <c:v>1.3333333333333335</c:v>
                </c:pt>
                <c:pt idx="3">
                  <c:v>2.1555555555555554</c:v>
                </c:pt>
                <c:pt idx="4">
                  <c:v>2.1333333333333329</c:v>
                </c:pt>
                <c:pt idx="5">
                  <c:v>0.86666666666666681</c:v>
                </c:pt>
                <c:pt idx="6">
                  <c:v>1.8888888888888888</c:v>
                </c:pt>
                <c:pt idx="7">
                  <c:v>0</c:v>
                </c:pt>
                <c:pt idx="8">
                  <c:v>0</c:v>
                </c:pt>
                <c:pt idx="9">
                  <c:v>1.6333333333333333</c:v>
                </c:pt>
                <c:pt idx="10">
                  <c:v>1.788888888888889</c:v>
                </c:pt>
                <c:pt idx="11">
                  <c:v>2.2333333333333329</c:v>
                </c:pt>
                <c:pt idx="12">
                  <c:v>1.8666666666666665</c:v>
                </c:pt>
                <c:pt idx="13">
                  <c:v>1.5777777777777775</c:v>
                </c:pt>
                <c:pt idx="14">
                  <c:v>2.1555555555555554</c:v>
                </c:pt>
                <c:pt idx="15">
                  <c:v>1.7000000000000002</c:v>
                </c:pt>
                <c:pt idx="16">
                  <c:v>2.1888888888888887</c:v>
                </c:pt>
                <c:pt idx="17">
                  <c:v>1.7333333333333334</c:v>
                </c:pt>
                <c:pt idx="18">
                  <c:v>1.8000000000000003</c:v>
                </c:pt>
                <c:pt idx="19">
                  <c:v>2.0222222222222226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3A-461F-97FA-BB4509D42B33}"/>
            </c:ext>
          </c:extLst>
        </c:ser>
        <c:ser>
          <c:idx val="3"/>
          <c:order val="3"/>
          <c:tx>
            <c:strRef>
              <c:f>Means!$BH$4</c:f>
              <c:strCache>
                <c:ptCount val="1"/>
                <c:pt idx="0">
                  <c:v>NameCue_WM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Means!$BD$5:$BD$24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Means!$BH$5:$BH$24</c:f>
              <c:numCache>
                <c:formatCode>###0.000</c:formatCode>
                <c:ptCount val="20"/>
                <c:pt idx="0">
                  <c:v>0.47435897435897456</c:v>
                </c:pt>
                <c:pt idx="1">
                  <c:v>1.3974358974358982</c:v>
                </c:pt>
                <c:pt idx="2">
                  <c:v>1.2307692307692313</c:v>
                </c:pt>
                <c:pt idx="3">
                  <c:v>1.8333333333333335</c:v>
                </c:pt>
                <c:pt idx="4">
                  <c:v>1.9487179487179493</c:v>
                </c:pt>
                <c:pt idx="5">
                  <c:v>0.67948717948717952</c:v>
                </c:pt>
                <c:pt idx="6">
                  <c:v>1.9358974358974357</c:v>
                </c:pt>
                <c:pt idx="7">
                  <c:v>2.0769230769230771</c:v>
                </c:pt>
                <c:pt idx="8">
                  <c:v>1.6410256410256414</c:v>
                </c:pt>
                <c:pt idx="9">
                  <c:v>1.2692307692307698</c:v>
                </c:pt>
                <c:pt idx="10">
                  <c:v>1.538461538461539</c:v>
                </c:pt>
                <c:pt idx="11">
                  <c:v>1.8333333333333333</c:v>
                </c:pt>
                <c:pt idx="12">
                  <c:v>1.6410256410256419</c:v>
                </c:pt>
                <c:pt idx="13">
                  <c:v>1.3974358974358976</c:v>
                </c:pt>
                <c:pt idx="14">
                  <c:v>1.9230769230769238</c:v>
                </c:pt>
                <c:pt idx="15">
                  <c:v>1.551282051282052</c:v>
                </c:pt>
                <c:pt idx="16">
                  <c:v>2.1410256410256414</c:v>
                </c:pt>
                <c:pt idx="17">
                  <c:v>1.8717948717948718</c:v>
                </c:pt>
                <c:pt idx="18">
                  <c:v>2.051282051282052</c:v>
                </c:pt>
                <c:pt idx="19">
                  <c:v>1.8974358974358982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3A-461F-97FA-BB4509D42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423696"/>
        <c:axId val="872415056"/>
      </c:barChart>
      <c:catAx>
        <c:axId val="87242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2415056"/>
        <c:crosses val="autoZero"/>
        <c:auto val="1"/>
        <c:lblAlgn val="ctr"/>
        <c:lblOffset val="100"/>
        <c:noMultiLvlLbl val="0"/>
      </c:catAx>
      <c:valAx>
        <c:axId val="8724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242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146050</xdr:colOff>
      <xdr:row>24</xdr:row>
      <xdr:rowOff>34925</xdr:rowOff>
    </xdr:from>
    <xdr:to>
      <xdr:col>32</xdr:col>
      <xdr:colOff>38100</xdr:colOff>
      <xdr:row>43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00F87C6-83E1-4F66-4F76-4A41DA42C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24</xdr:row>
      <xdr:rowOff>15876</xdr:rowOff>
    </xdr:from>
    <xdr:to>
      <xdr:col>47</xdr:col>
      <xdr:colOff>25400</xdr:colOff>
      <xdr:row>42</xdr:row>
      <xdr:rowOff>158751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E6B8E82-57CF-455D-B5B3-466A731F7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24</xdr:row>
      <xdr:rowOff>19050</xdr:rowOff>
    </xdr:from>
    <xdr:to>
      <xdr:col>15</xdr:col>
      <xdr:colOff>374650</xdr:colOff>
      <xdr:row>42</xdr:row>
      <xdr:rowOff>152400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034E6EC-A8E6-49C2-861A-64AEBA1FF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0</xdr:colOff>
      <xdr:row>24</xdr:row>
      <xdr:rowOff>63500</xdr:rowOff>
    </xdr:from>
    <xdr:to>
      <xdr:col>61</xdr:col>
      <xdr:colOff>60324</xdr:colOff>
      <xdr:row>43</xdr:row>
      <xdr:rowOff>9524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11B7B5B-2E24-41A8-90BE-9B9F6D5C5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728F-E32D-4F3F-8A3D-5982321A075A}">
  <dimension ref="A1:AS225"/>
  <sheetViews>
    <sheetView tabSelected="1" topLeftCell="U1" zoomScale="85" zoomScaleNormal="85" workbookViewId="0">
      <selection activeCell="AF69" sqref="AF69"/>
    </sheetView>
  </sheetViews>
  <sheetFormatPr defaultColWidth="8.625" defaultRowHeight="12.75" x14ac:dyDescent="0.2"/>
  <cols>
    <col min="1" max="2" width="8.625" style="8"/>
    <col min="3" max="3" width="13" style="8" customWidth="1"/>
    <col min="4" max="4" width="8.625" style="8"/>
    <col min="5" max="6" width="11.75" style="8" customWidth="1"/>
    <col min="7" max="14" width="8.75" style="8" bestFit="1" customWidth="1"/>
    <col min="15" max="15" width="8.375" style="8" customWidth="1"/>
    <col min="16" max="17" width="8.875" style="8" bestFit="1" customWidth="1"/>
    <col min="18" max="18" width="8.75" style="8" bestFit="1" customWidth="1"/>
    <col min="19" max="19" width="8.875" style="8" bestFit="1" customWidth="1"/>
    <col min="20" max="23" width="8.75" style="8" bestFit="1" customWidth="1"/>
    <col min="24" max="24" width="11.875" style="8" customWidth="1"/>
    <col min="25" max="33" width="8.75" style="8" bestFit="1" customWidth="1"/>
    <col min="34" max="35" width="8.875" style="8" bestFit="1" customWidth="1"/>
    <col min="36" max="36" width="8.75" style="8" bestFit="1" customWidth="1"/>
    <col min="37" max="37" width="8.875" style="8" bestFit="1" customWidth="1"/>
    <col min="38" max="39" width="8.75" style="8" bestFit="1" customWidth="1"/>
    <col min="40" max="40" width="8.875" style="8" bestFit="1" customWidth="1"/>
    <col min="41" max="16384" width="8.625" style="8"/>
  </cols>
  <sheetData>
    <row r="1" spans="1:41" x14ac:dyDescent="0.2">
      <c r="E1" s="25" t="s">
        <v>96</v>
      </c>
    </row>
    <row r="2" spans="1:41" x14ac:dyDescent="0.2">
      <c r="F2" s="8" t="s">
        <v>85</v>
      </c>
      <c r="G2" s="8" t="s">
        <v>54</v>
      </c>
      <c r="Y2" s="8" t="s">
        <v>53</v>
      </c>
    </row>
    <row r="3" spans="1:41" x14ac:dyDescent="0.2">
      <c r="F3" s="8" t="s">
        <v>88</v>
      </c>
      <c r="G3" s="311" t="s">
        <v>136</v>
      </c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Y3" s="311" t="s">
        <v>157</v>
      </c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311"/>
      <c r="AL3" s="311"/>
      <c r="AM3" s="311"/>
      <c r="AN3" s="311"/>
    </row>
    <row r="5" spans="1:41" x14ac:dyDescent="0.2">
      <c r="G5" s="313" t="s">
        <v>89</v>
      </c>
      <c r="H5" s="313"/>
      <c r="I5" s="313"/>
      <c r="J5" s="313" t="s">
        <v>90</v>
      </c>
      <c r="K5" s="313"/>
      <c r="L5" s="313"/>
      <c r="O5" s="313" t="s">
        <v>147</v>
      </c>
      <c r="P5" s="313"/>
      <c r="Q5" s="313"/>
      <c r="R5" s="313"/>
      <c r="S5" s="313"/>
      <c r="Y5" s="313" t="s">
        <v>89</v>
      </c>
      <c r="Z5" s="313"/>
      <c r="AA5" s="313"/>
      <c r="AB5" s="313" t="s">
        <v>90</v>
      </c>
      <c r="AC5" s="313"/>
      <c r="AD5" s="313"/>
      <c r="AG5" s="313" t="s">
        <v>147</v>
      </c>
      <c r="AH5" s="313"/>
      <c r="AI5" s="313"/>
      <c r="AJ5" s="313"/>
      <c r="AK5" s="313"/>
    </row>
    <row r="6" spans="1:41" s="1" customFormat="1" ht="38.25" x14ac:dyDescent="0.2">
      <c r="A6" s="1" t="s">
        <v>46</v>
      </c>
      <c r="B6" s="1" t="s">
        <v>47</v>
      </c>
      <c r="C6" s="56" t="s">
        <v>98</v>
      </c>
      <c r="F6" s="1" t="s">
        <v>86</v>
      </c>
      <c r="G6" s="1" t="s">
        <v>91</v>
      </c>
      <c r="H6" s="1" t="s">
        <v>92</v>
      </c>
      <c r="I6" s="23" t="s">
        <v>93</v>
      </c>
      <c r="J6" s="1" t="s">
        <v>91</v>
      </c>
      <c r="K6" s="1" t="s">
        <v>92</v>
      </c>
      <c r="L6" s="23" t="s">
        <v>93</v>
      </c>
      <c r="M6" s="1" t="s">
        <v>41</v>
      </c>
      <c r="N6" s="1" t="s">
        <v>40</v>
      </c>
      <c r="O6" s="1" t="s">
        <v>148</v>
      </c>
      <c r="P6" s="1" t="s">
        <v>149</v>
      </c>
      <c r="Q6" s="1" t="s">
        <v>150</v>
      </c>
      <c r="R6" s="1" t="s">
        <v>151</v>
      </c>
      <c r="S6" s="1" t="s">
        <v>152</v>
      </c>
      <c r="T6" s="123" t="s">
        <v>153</v>
      </c>
      <c r="U6" s="123" t="s">
        <v>154</v>
      </c>
      <c r="V6" s="123" t="s">
        <v>155</v>
      </c>
      <c r="Y6" s="1" t="s">
        <v>91</v>
      </c>
      <c r="Z6" s="1" t="s">
        <v>92</v>
      </c>
      <c r="AA6" s="23" t="s">
        <v>93</v>
      </c>
      <c r="AB6" s="1" t="s">
        <v>91</v>
      </c>
      <c r="AC6" s="1" t="s">
        <v>92</v>
      </c>
      <c r="AD6" s="23" t="s">
        <v>93</v>
      </c>
      <c r="AE6" s="1" t="s">
        <v>41</v>
      </c>
      <c r="AF6" s="1" t="s">
        <v>40</v>
      </c>
      <c r="AG6" s="1" t="s">
        <v>148</v>
      </c>
      <c r="AH6" s="1" t="s">
        <v>149</v>
      </c>
      <c r="AI6" s="1" t="s">
        <v>150</v>
      </c>
      <c r="AJ6" s="1" t="s">
        <v>151</v>
      </c>
      <c r="AK6" s="1" t="s">
        <v>152</v>
      </c>
      <c r="AL6" s="1" t="s">
        <v>153</v>
      </c>
      <c r="AM6" s="1" t="s">
        <v>154</v>
      </c>
      <c r="AN6" s="1" t="s">
        <v>155</v>
      </c>
      <c r="AO6" s="128" t="s">
        <v>186</v>
      </c>
    </row>
    <row r="7" spans="1:41" x14ac:dyDescent="0.2">
      <c r="A7" s="1">
        <v>2</v>
      </c>
      <c r="B7" s="1">
        <v>1</v>
      </c>
      <c r="C7" s="1" t="s">
        <v>65</v>
      </c>
      <c r="D7" s="1" t="s">
        <v>0</v>
      </c>
      <c r="E7" s="1" t="s">
        <v>1</v>
      </c>
      <c r="F7" s="22">
        <v>-2.35514</v>
      </c>
      <c r="G7" s="268">
        <v>23.9249285312209</v>
      </c>
      <c r="H7" s="268">
        <v>21.152402453752401</v>
      </c>
      <c r="I7" s="268">
        <v>15.0513293270162</v>
      </c>
      <c r="J7" s="268">
        <v>8.3139366686424694</v>
      </c>
      <c r="K7" s="268">
        <v>6.9649006014686297</v>
      </c>
      <c r="L7" s="268">
        <v>5.1278023231705196</v>
      </c>
      <c r="M7" s="268">
        <v>18.987904127272699</v>
      </c>
      <c r="N7" s="268">
        <v>0.55555555555555602</v>
      </c>
      <c r="O7" s="268">
        <v>24.620702697505902</v>
      </c>
      <c r="P7" s="268">
        <v>-15.2837443204523</v>
      </c>
      <c r="Q7" s="268">
        <v>18.9032693297907</v>
      </c>
      <c r="R7" s="268">
        <v>24.3089784196614</v>
      </c>
      <c r="S7" s="268">
        <v>128.95636599503601</v>
      </c>
      <c r="T7" s="268">
        <v>0.196807379335775</v>
      </c>
      <c r="U7" s="268">
        <v>0.25318830781955498</v>
      </c>
      <c r="V7" s="268">
        <v>0.122298608227784</v>
      </c>
      <c r="W7" s="268"/>
      <c r="X7" s="269" t="s">
        <v>1</v>
      </c>
      <c r="Y7" s="268">
        <v>20.686641781653101</v>
      </c>
      <c r="Z7" s="268">
        <v>17.6326003188302</v>
      </c>
      <c r="AA7" s="268">
        <v>13.741445957539799</v>
      </c>
      <c r="AB7" s="268">
        <v>9.0499632283460993</v>
      </c>
      <c r="AC7" s="268">
        <v>6.6776323848537302</v>
      </c>
      <c r="AD7" s="268">
        <v>6.2261235325610604</v>
      </c>
      <c r="AE7" s="268">
        <v>30.974190886842099</v>
      </c>
      <c r="AF7" s="268">
        <v>0.6</v>
      </c>
      <c r="AG7" s="268">
        <v>20.898682162192301</v>
      </c>
      <c r="AH7" s="268">
        <v>-14.625915581225399</v>
      </c>
      <c r="AI7" s="268">
        <v>14.4867195523549</v>
      </c>
      <c r="AJ7" s="268">
        <v>20.585977022665599</v>
      </c>
      <c r="AK7" s="268">
        <v>135.27394580289101</v>
      </c>
      <c r="AL7" s="268">
        <v>0.16037229309730799</v>
      </c>
      <c r="AM7" s="268">
        <v>0.225942475111927</v>
      </c>
      <c r="AN7" s="268">
        <v>0.11506156641613099</v>
      </c>
      <c r="AO7" s="20">
        <v>3.3048173891362702</v>
      </c>
    </row>
    <row r="8" spans="1:41" x14ac:dyDescent="0.2">
      <c r="A8" s="1">
        <v>11</v>
      </c>
      <c r="B8" s="6">
        <v>2</v>
      </c>
      <c r="C8" s="6" t="s">
        <v>66</v>
      </c>
      <c r="D8" s="6" t="s">
        <v>2</v>
      </c>
      <c r="E8" s="6" t="s">
        <v>3</v>
      </c>
      <c r="F8" s="22">
        <v>0.56233999999999995</v>
      </c>
      <c r="G8" s="268">
        <v>25.0691655436937</v>
      </c>
      <c r="H8" s="268">
        <v>22.4501922151961</v>
      </c>
      <c r="I8" s="268">
        <v>10.501519549250199</v>
      </c>
      <c r="J8" s="268">
        <v>11.4941693918912</v>
      </c>
      <c r="K8" s="268">
        <v>9.9339209834890791</v>
      </c>
      <c r="L8" s="268">
        <v>5.3057709293467097</v>
      </c>
      <c r="M8" s="268">
        <v>25.607492665476201</v>
      </c>
      <c r="N8" s="268">
        <v>1.44444444444444</v>
      </c>
      <c r="O8" s="268">
        <v>69.993041031550106</v>
      </c>
      <c r="P8" s="268">
        <v>-60.922168105390803</v>
      </c>
      <c r="Q8" s="268">
        <v>52.029817886756099</v>
      </c>
      <c r="R8" s="268">
        <v>80.116243771101097</v>
      </c>
      <c r="S8" s="268">
        <v>139.50142979118601</v>
      </c>
      <c r="T8" s="268">
        <v>0.44950807386058</v>
      </c>
      <c r="U8" s="268">
        <v>0.76126776820716002</v>
      </c>
      <c r="V8" s="268">
        <v>0.29910207603091099</v>
      </c>
      <c r="W8" s="268"/>
      <c r="X8" s="270" t="s">
        <v>3</v>
      </c>
      <c r="Y8" s="268">
        <v>25.081697633208599</v>
      </c>
      <c r="Z8" s="268">
        <v>22.267742569249201</v>
      </c>
      <c r="AA8" s="268">
        <v>11.2197630851705</v>
      </c>
      <c r="AB8" s="268">
        <v>13.6221515483471</v>
      </c>
      <c r="AC8" s="268">
        <v>12.294382516120599</v>
      </c>
      <c r="AD8" s="268">
        <v>5.8999642885592003</v>
      </c>
      <c r="AE8" s="268">
        <v>33.024855208888901</v>
      </c>
      <c r="AF8" s="268">
        <v>1.6</v>
      </c>
      <c r="AG8" s="268">
        <v>66.231994580589102</v>
      </c>
      <c r="AH8" s="268">
        <v>-52.014888546899599</v>
      </c>
      <c r="AI8" s="268">
        <v>50.404910032788898</v>
      </c>
      <c r="AJ8" s="268">
        <v>72.430681247382495</v>
      </c>
      <c r="AK8" s="268">
        <v>135.90058151321301</v>
      </c>
      <c r="AL8" s="268">
        <v>0.461679934171775</v>
      </c>
      <c r="AM8" s="268">
        <v>0.712413737331275</v>
      </c>
      <c r="AN8" s="268">
        <v>0.265488726412278</v>
      </c>
      <c r="AO8" s="20">
        <v>3.6593176044601199</v>
      </c>
    </row>
    <row r="9" spans="1:41" x14ac:dyDescent="0.2">
      <c r="A9" s="1">
        <v>12</v>
      </c>
      <c r="B9" s="44">
        <v>3</v>
      </c>
      <c r="C9" s="45" t="s">
        <v>67</v>
      </c>
      <c r="D9" s="45" t="s">
        <v>4</v>
      </c>
      <c r="E9" s="46" t="s">
        <v>5</v>
      </c>
      <c r="F9" s="22">
        <v>0.52093</v>
      </c>
      <c r="G9" s="268">
        <v>20.528677104220002</v>
      </c>
      <c r="H9" s="268">
        <v>16.8179480811377</v>
      </c>
      <c r="I9" s="268">
        <v>10.152711919094401</v>
      </c>
      <c r="J9" s="268">
        <v>10.7620675599123</v>
      </c>
      <c r="K9" s="268">
        <v>9.6094178709663804</v>
      </c>
      <c r="L9" s="268">
        <v>4.8667396195359398</v>
      </c>
      <c r="M9" s="268">
        <v>19.4909053056818</v>
      </c>
      <c r="N9" s="268">
        <v>1.62222222222222</v>
      </c>
      <c r="O9" s="268">
        <v>31.574823629400498</v>
      </c>
      <c r="P9" s="268">
        <v>-57.2758356251097</v>
      </c>
      <c r="Q9" s="268">
        <v>36.970363174803303</v>
      </c>
      <c r="R9" s="268">
        <v>68.171321681711902</v>
      </c>
      <c r="S9" s="268">
        <v>147.158596723161</v>
      </c>
      <c r="T9" s="268">
        <v>6.8181141177029503E-2</v>
      </c>
      <c r="U9" s="268">
        <v>0.36041000144270102</v>
      </c>
      <c r="V9" s="268">
        <v>5.051591664729E-2</v>
      </c>
      <c r="W9" s="268"/>
      <c r="X9" s="270" t="s">
        <v>5</v>
      </c>
      <c r="Y9" s="268">
        <v>18.961814696313201</v>
      </c>
      <c r="Z9" s="268">
        <v>15.7358884875194</v>
      </c>
      <c r="AA9" s="268">
        <v>9.2373981698813292</v>
      </c>
      <c r="AB9" s="268">
        <v>8.5988346332889396</v>
      </c>
      <c r="AC9" s="268">
        <v>7.72939936507513</v>
      </c>
      <c r="AD9" s="268">
        <v>3.6919402593430801</v>
      </c>
      <c r="AE9" s="268">
        <v>37.177617124359003</v>
      </c>
      <c r="AF9" s="268">
        <v>1.3333333333333299</v>
      </c>
      <c r="AG9" s="268">
        <v>28.528348957274201</v>
      </c>
      <c r="AH9" s="268">
        <v>-52.985292161173199</v>
      </c>
      <c r="AI9" s="268">
        <v>35.754152994192999</v>
      </c>
      <c r="AJ9" s="268">
        <v>63.9202678478199</v>
      </c>
      <c r="AK9" s="268">
        <v>145.98876243519999</v>
      </c>
      <c r="AL9" s="268">
        <v>6.4479415192429196E-2</v>
      </c>
      <c r="AM9" s="268">
        <v>0.32949343452366597</v>
      </c>
      <c r="AN9" s="268">
        <v>3.2625193478272203E-2</v>
      </c>
      <c r="AO9" s="20">
        <v>2.4425445224135198</v>
      </c>
    </row>
    <row r="10" spans="1:41" x14ac:dyDescent="0.2">
      <c r="A10" s="1">
        <v>18</v>
      </c>
      <c r="B10" s="47">
        <v>4</v>
      </c>
      <c r="C10" s="48" t="s">
        <v>68</v>
      </c>
      <c r="D10" s="48" t="s">
        <v>6</v>
      </c>
      <c r="E10" s="49" t="s">
        <v>7</v>
      </c>
      <c r="F10" s="22">
        <v>0.74853999999999998</v>
      </c>
      <c r="G10" s="268">
        <v>15.1855307778523</v>
      </c>
      <c r="H10" s="268">
        <v>12.4161841947888</v>
      </c>
      <c r="I10" s="268">
        <v>8.5884966518662704</v>
      </c>
      <c r="J10" s="268">
        <v>7.17644541035573</v>
      </c>
      <c r="K10" s="268">
        <v>6.4254661252729699</v>
      </c>
      <c r="L10" s="268">
        <v>3.60265088378413</v>
      </c>
      <c r="M10" s="268">
        <v>20.3190483433333</v>
      </c>
      <c r="N10" s="268">
        <v>2</v>
      </c>
      <c r="O10" s="268">
        <v>59.227934287640601</v>
      </c>
      <c r="P10" s="268">
        <v>56.562017838747501</v>
      </c>
      <c r="Q10" s="268">
        <v>67.164000566148005</v>
      </c>
      <c r="R10" s="268">
        <v>87.8081137141683</v>
      </c>
      <c r="S10" s="268">
        <v>49.897665256107501</v>
      </c>
      <c r="T10" s="268">
        <v>0.84997829657348201</v>
      </c>
      <c r="U10" s="268">
        <v>0.35431859974604302</v>
      </c>
      <c r="V10" s="268">
        <v>7.03338699656193E-2</v>
      </c>
      <c r="W10" s="268"/>
      <c r="X10" s="271" t="s">
        <v>7</v>
      </c>
      <c r="Y10" s="268">
        <v>14.252927609308699</v>
      </c>
      <c r="Z10" s="268">
        <v>11.499957039768599</v>
      </c>
      <c r="AA10" s="268">
        <v>8.5230271107465398</v>
      </c>
      <c r="AB10" s="268">
        <v>9.3334267710409407</v>
      </c>
      <c r="AC10" s="268">
        <v>7.7654362155589602</v>
      </c>
      <c r="AD10" s="268">
        <v>5.1286599650458804</v>
      </c>
      <c r="AE10" s="268">
        <v>25.431806146666698</v>
      </c>
      <c r="AF10" s="268">
        <v>2.1555555555555599</v>
      </c>
      <c r="AG10" s="268">
        <v>54.350661605824797</v>
      </c>
      <c r="AH10" s="268">
        <v>54.602248466029302</v>
      </c>
      <c r="AI10" s="268">
        <v>62.006010918494503</v>
      </c>
      <c r="AJ10" s="268">
        <v>82.620523646188801</v>
      </c>
      <c r="AK10" s="268">
        <v>48.632981787665798</v>
      </c>
      <c r="AL10" s="268">
        <v>0.77838195311543701</v>
      </c>
      <c r="AM10" s="268">
        <v>0.30774672279292797</v>
      </c>
      <c r="AN10" s="268">
        <v>7.3940386178034903E-2</v>
      </c>
      <c r="AO10" s="20">
        <v>5.1935796222461104</v>
      </c>
    </row>
    <row r="11" spans="1:41" x14ac:dyDescent="0.2">
      <c r="A11" s="1">
        <v>15</v>
      </c>
      <c r="B11" s="3">
        <v>5</v>
      </c>
      <c r="C11" s="3" t="s">
        <v>84</v>
      </c>
      <c r="D11" s="3" t="s">
        <v>8</v>
      </c>
      <c r="E11" s="3" t="s">
        <v>9</v>
      </c>
      <c r="F11" s="22">
        <v>0.56233999999999995</v>
      </c>
      <c r="G11" s="268">
        <v>14.034502189517299</v>
      </c>
      <c r="H11" s="268">
        <v>12.3188759123788</v>
      </c>
      <c r="I11" s="268">
        <v>6.9855579554874998</v>
      </c>
      <c r="J11" s="268">
        <v>6.9593948072382696</v>
      </c>
      <c r="K11" s="268">
        <v>6.4492809081364904</v>
      </c>
      <c r="L11" s="268">
        <v>3.3845134987513599</v>
      </c>
      <c r="M11" s="268">
        <v>22.778013290476199</v>
      </c>
      <c r="N11" s="268">
        <v>2.1333333333333302</v>
      </c>
      <c r="O11" s="268">
        <v>82.447040448058701</v>
      </c>
      <c r="P11" s="268">
        <v>7.2980405273407598</v>
      </c>
      <c r="Q11" s="268">
        <v>88.118586105904498</v>
      </c>
      <c r="R11" s="268">
        <v>88.420283944592796</v>
      </c>
      <c r="S11" s="268">
        <v>85.265530293772201</v>
      </c>
      <c r="T11" s="268">
        <v>0.94388284731564598</v>
      </c>
      <c r="U11" s="268">
        <v>0.76291813225011795</v>
      </c>
      <c r="V11" s="268">
        <v>7.7300445352178504E-2</v>
      </c>
      <c r="W11" s="268"/>
      <c r="X11" s="272" t="s">
        <v>9</v>
      </c>
      <c r="Y11" s="268">
        <v>18.5854417332115</v>
      </c>
      <c r="Z11" s="268">
        <v>16.2057773852646</v>
      </c>
      <c r="AA11" s="268">
        <v>9.65125011741873</v>
      </c>
      <c r="AB11" s="268">
        <v>8.0354036701477103</v>
      </c>
      <c r="AC11" s="268">
        <v>6.8865636036568496</v>
      </c>
      <c r="AD11" s="268">
        <v>3.8823282779136101</v>
      </c>
      <c r="AE11" s="268">
        <v>29.0127252777778</v>
      </c>
      <c r="AF11" s="268">
        <v>2.1333333333333302</v>
      </c>
      <c r="AG11" s="268">
        <v>78.283021491356806</v>
      </c>
      <c r="AH11" s="268">
        <v>10.259541986921001</v>
      </c>
      <c r="AI11" s="268">
        <v>82.191233290234706</v>
      </c>
      <c r="AJ11" s="268">
        <v>82.829083247076795</v>
      </c>
      <c r="AK11" s="268">
        <v>82.884841752553598</v>
      </c>
      <c r="AL11" s="268">
        <v>0.90315861515654505</v>
      </c>
      <c r="AM11" s="268">
        <v>0.71581488582040498</v>
      </c>
      <c r="AN11" s="268">
        <v>0.10361446676679301</v>
      </c>
      <c r="AO11" s="20">
        <v>3.3182385086078798</v>
      </c>
    </row>
    <row r="12" spans="1:41" x14ac:dyDescent="0.2">
      <c r="A12" s="1">
        <v>3</v>
      </c>
      <c r="B12" s="2">
        <v>6</v>
      </c>
      <c r="C12" s="2" t="s">
        <v>69</v>
      </c>
      <c r="D12" s="2" t="s">
        <v>10</v>
      </c>
      <c r="E12" s="2" t="s">
        <v>11</v>
      </c>
      <c r="F12" s="22">
        <v>-2.2364700000000002</v>
      </c>
      <c r="G12" s="268">
        <v>42.7640832809834</v>
      </c>
      <c r="H12" s="268">
        <v>36.381672861984498</v>
      </c>
      <c r="I12" s="268">
        <v>23.573718609832401</v>
      </c>
      <c r="J12" s="268">
        <v>12.118245850338999</v>
      </c>
      <c r="K12" s="268">
        <v>11.297772797922301</v>
      </c>
      <c r="L12" s="268">
        <v>5.9617426432428298</v>
      </c>
      <c r="M12" s="268">
        <v>23.855176039473701</v>
      </c>
      <c r="N12" s="268">
        <v>0.91111111111111098</v>
      </c>
      <c r="O12" s="268">
        <v>35.075853835834302</v>
      </c>
      <c r="P12" s="268">
        <v>5.0829179837636902</v>
      </c>
      <c r="Q12" s="268">
        <v>-43.373053990782402</v>
      </c>
      <c r="R12" s="268">
        <v>43.669873685608401</v>
      </c>
      <c r="S12" s="268">
        <v>276.68404422198699</v>
      </c>
      <c r="T12" s="268">
        <v>6.3561945395651104E-2</v>
      </c>
      <c r="U12" s="268">
        <v>0.32494960405896101</v>
      </c>
      <c r="V12" s="268">
        <v>0.59327470818616901</v>
      </c>
      <c r="W12" s="268"/>
      <c r="X12" s="273" t="s">
        <v>11</v>
      </c>
      <c r="Y12" s="268">
        <v>37.168935720402303</v>
      </c>
      <c r="Z12" s="268">
        <v>29.983362050724299</v>
      </c>
      <c r="AA12" s="268">
        <v>21.090740987535899</v>
      </c>
      <c r="AB12" s="268">
        <v>14.1925200192186</v>
      </c>
      <c r="AC12" s="268">
        <v>13.043434153224601</v>
      </c>
      <c r="AD12" s="268">
        <v>6.6546659217945301</v>
      </c>
      <c r="AE12" s="268">
        <v>39.359205258536598</v>
      </c>
      <c r="AF12" s="268">
        <v>0.86666666666666703</v>
      </c>
      <c r="AG12" s="268">
        <v>34.741070254831001</v>
      </c>
      <c r="AH12" s="268">
        <v>4.2590384296178696</v>
      </c>
      <c r="AI12" s="268">
        <v>-42.931356836646998</v>
      </c>
      <c r="AJ12" s="268">
        <v>43.142100182773703</v>
      </c>
      <c r="AK12" s="268">
        <v>275.66553428653702</v>
      </c>
      <c r="AL12" s="268">
        <v>6.65972955732866E-2</v>
      </c>
      <c r="AM12" s="268">
        <v>0.33382262394802098</v>
      </c>
      <c r="AN12" s="268">
        <v>0.591571704994442</v>
      </c>
      <c r="AO12" s="20">
        <v>1.0028030936426</v>
      </c>
    </row>
    <row r="13" spans="1:41" x14ac:dyDescent="0.2">
      <c r="A13" s="1">
        <v>20</v>
      </c>
      <c r="B13" s="1">
        <v>7</v>
      </c>
      <c r="C13" s="1" t="s">
        <v>70</v>
      </c>
      <c r="D13" s="1" t="s">
        <v>12</v>
      </c>
      <c r="E13" s="1" t="s">
        <v>13</v>
      </c>
      <c r="F13" s="22">
        <v>-0.98294000000000004</v>
      </c>
      <c r="G13" s="268">
        <v>16.948386447915802</v>
      </c>
      <c r="H13" s="268">
        <v>15.6836048513652</v>
      </c>
      <c r="I13" s="268">
        <v>7.5996485478397204</v>
      </c>
      <c r="J13" s="268">
        <v>7.2412413478811999</v>
      </c>
      <c r="K13" s="268">
        <v>6.6774390906858097</v>
      </c>
      <c r="L13" s="268">
        <v>3.2157442792160702</v>
      </c>
      <c r="M13" s="268">
        <v>24.783823210465101</v>
      </c>
      <c r="N13" s="268">
        <v>2.1444444444444399</v>
      </c>
      <c r="O13" s="268">
        <v>62.021836981433403</v>
      </c>
      <c r="P13" s="268">
        <v>81.410542405895299</v>
      </c>
      <c r="Q13" s="268">
        <v>10.5021499111034</v>
      </c>
      <c r="R13" s="268">
        <v>82.085148276514502</v>
      </c>
      <c r="S13" s="268">
        <v>7.35069285957288</v>
      </c>
      <c r="T13" s="268">
        <v>0.94138792251719905</v>
      </c>
      <c r="U13" s="268">
        <v>0.18821190928585399</v>
      </c>
      <c r="V13" s="268">
        <v>0.51896281410036504</v>
      </c>
      <c r="W13" s="268"/>
      <c r="X13" s="269" t="s">
        <v>13</v>
      </c>
      <c r="Y13" s="268">
        <v>17.253063997817101</v>
      </c>
      <c r="Z13" s="268">
        <v>14.570698038606</v>
      </c>
      <c r="AA13" s="268">
        <v>8.7332749723539607</v>
      </c>
      <c r="AB13" s="268">
        <v>8.8713936124454307</v>
      </c>
      <c r="AC13" s="268">
        <v>7.82175951692565</v>
      </c>
      <c r="AD13" s="268">
        <v>4.0297233536595298</v>
      </c>
      <c r="AE13" s="268">
        <v>33.136878827272703</v>
      </c>
      <c r="AF13" s="268">
        <v>1.8888888888888899</v>
      </c>
      <c r="AG13" s="268">
        <v>60.739164156430498</v>
      </c>
      <c r="AH13" s="268">
        <v>74.881251018897899</v>
      </c>
      <c r="AI13" s="268">
        <v>5.2132166732114102</v>
      </c>
      <c r="AJ13" s="268">
        <v>75.0625031706047</v>
      </c>
      <c r="AK13" s="268">
        <v>3.98249393580083</v>
      </c>
      <c r="AL13" s="268">
        <v>0.89326787459764401</v>
      </c>
      <c r="AM13" s="268">
        <v>0.24739032549280601</v>
      </c>
      <c r="AN13" s="268">
        <v>0.54211717997197095</v>
      </c>
      <c r="AO13" s="20">
        <v>2.85704242108224</v>
      </c>
    </row>
    <row r="14" spans="1:41" x14ac:dyDescent="0.2">
      <c r="A14" s="1">
        <v>19</v>
      </c>
      <c r="B14" s="5">
        <v>8</v>
      </c>
      <c r="C14" s="5" t="s">
        <v>71</v>
      </c>
      <c r="D14" s="5" t="s">
        <v>14</v>
      </c>
      <c r="E14" s="5" t="s">
        <v>15</v>
      </c>
      <c r="F14" s="22">
        <v>-0.38529999999999998</v>
      </c>
      <c r="G14" s="268">
        <v>13.234050354751201</v>
      </c>
      <c r="H14" s="268">
        <v>11.0589700554721</v>
      </c>
      <c r="I14" s="268">
        <v>7.2371151584623199</v>
      </c>
      <c r="J14" s="268">
        <v>7.0155483503330904</v>
      </c>
      <c r="K14" s="268">
        <v>6.0792312815064102</v>
      </c>
      <c r="L14" s="268">
        <v>3.7178470620128299</v>
      </c>
      <c r="M14" s="268">
        <v>21.0885652033333</v>
      </c>
      <c r="N14" s="268">
        <v>2.0222222222222199</v>
      </c>
      <c r="O14" s="268">
        <v>65.885341698948807</v>
      </c>
      <c r="P14" s="268">
        <v>52.471738312453503</v>
      </c>
      <c r="Q14" s="268">
        <v>74.203797369268699</v>
      </c>
      <c r="R14" s="268">
        <v>90.881719094381594</v>
      </c>
      <c r="S14" s="268">
        <v>54.734719789841598</v>
      </c>
      <c r="T14" s="268">
        <v>0.91640184739210795</v>
      </c>
      <c r="U14" s="268">
        <v>0.44102108791389799</v>
      </c>
      <c r="V14" s="268">
        <v>5.85580419737462E-2</v>
      </c>
      <c r="W14" s="268"/>
      <c r="X14" s="271" t="s">
        <v>15</v>
      </c>
      <c r="Y14" s="268">
        <v>15.2065801233672</v>
      </c>
      <c r="Z14" s="268">
        <v>12.828275354037901</v>
      </c>
      <c r="AA14" s="268">
        <v>8.3289527252189703</v>
      </c>
      <c r="AB14" s="268">
        <v>10.662938851693401</v>
      </c>
      <c r="AC14" s="268">
        <v>9.0408326061850506</v>
      </c>
      <c r="AD14" s="268">
        <v>5.6332246517874403</v>
      </c>
      <c r="AE14" s="268">
        <v>29.356465771590901</v>
      </c>
      <c r="AF14" s="268">
        <v>1.8888888888888899</v>
      </c>
      <c r="AG14" s="268">
        <v>62.726309837373101</v>
      </c>
      <c r="AH14" s="268">
        <v>47.834012918169599</v>
      </c>
      <c r="AI14" s="268">
        <v>70.885716130164198</v>
      </c>
      <c r="AJ14" s="268">
        <v>85.5153643688773</v>
      </c>
      <c r="AK14" s="268">
        <v>55.9883388607944</v>
      </c>
      <c r="AL14" s="268">
        <v>0.85898860628157403</v>
      </c>
      <c r="AM14" s="268">
        <v>0.42623221588551602</v>
      </c>
      <c r="AN14" s="268">
        <v>6.2785116745297201E-2</v>
      </c>
      <c r="AO14" s="20">
        <v>3.0563526638646201</v>
      </c>
    </row>
    <row r="15" spans="1:41" x14ac:dyDescent="0.2">
      <c r="A15" s="1">
        <v>7</v>
      </c>
      <c r="B15" s="53">
        <v>9</v>
      </c>
      <c r="C15" s="54" t="s">
        <v>72</v>
      </c>
      <c r="D15" s="54" t="s">
        <v>16</v>
      </c>
      <c r="E15" s="55" t="s">
        <v>17</v>
      </c>
      <c r="F15" s="22">
        <v>-1.6199300000000001</v>
      </c>
      <c r="G15" s="268">
        <v>15.687281547876699</v>
      </c>
      <c r="H15" s="268">
        <v>13.2971487234213</v>
      </c>
      <c r="I15" s="268">
        <v>7.7708079358042799</v>
      </c>
      <c r="J15" s="268">
        <v>6.5002047631217099</v>
      </c>
      <c r="K15" s="268">
        <v>5.5682389005122799</v>
      </c>
      <c r="L15" s="268">
        <v>3.1775414130997102</v>
      </c>
      <c r="M15" s="268">
        <v>22.951146071052602</v>
      </c>
      <c r="N15" s="268">
        <v>1.4</v>
      </c>
      <c r="O15" s="268">
        <v>36.234542043872302</v>
      </c>
      <c r="P15" s="268">
        <v>59.654250501928097</v>
      </c>
      <c r="Q15" s="268">
        <v>47.134208375774499</v>
      </c>
      <c r="R15" s="268">
        <v>76.028042209159395</v>
      </c>
      <c r="S15" s="268">
        <v>38.313082251747801</v>
      </c>
      <c r="T15" s="268">
        <v>0.59116594312167203</v>
      </c>
      <c r="U15" s="268">
        <v>1.20310623875021E-2</v>
      </c>
      <c r="V15" s="268">
        <v>3.0502756495727701E-2</v>
      </c>
      <c r="W15" s="268"/>
      <c r="X15" s="274" t="s">
        <v>17</v>
      </c>
      <c r="Y15" s="268">
        <v>34.907919838675198</v>
      </c>
      <c r="Z15" s="268">
        <v>31.448532969069898</v>
      </c>
      <c r="AA15" s="268">
        <v>17.266763804719702</v>
      </c>
      <c r="AB15" s="268">
        <v>5.0311357004010304</v>
      </c>
      <c r="AC15" s="268">
        <v>4.1974962612325601</v>
      </c>
      <c r="AD15" s="268">
        <v>2.9782281704520202</v>
      </c>
      <c r="AE15" s="268">
        <v>42.254687523170702</v>
      </c>
      <c r="AF15" s="268">
        <v>0.94444444444444398</v>
      </c>
      <c r="AG15" s="268">
        <v>18.681386744973199</v>
      </c>
      <c r="AH15" s="268">
        <v>30.917303608246399</v>
      </c>
      <c r="AI15" s="268">
        <v>22.088930390271202</v>
      </c>
      <c r="AJ15" s="268">
        <v>37.997375017107899</v>
      </c>
      <c r="AK15" s="268">
        <v>35.543987243729603</v>
      </c>
      <c r="AL15" s="268">
        <v>0.318174910988959</v>
      </c>
      <c r="AM15" s="268">
        <v>3.8413058944791502E-2</v>
      </c>
      <c r="AN15" s="268">
        <v>4.3767126108638997E-2</v>
      </c>
      <c r="AO15" s="20">
        <v>17.406853840649699</v>
      </c>
    </row>
    <row r="16" spans="1:41" x14ac:dyDescent="0.2">
      <c r="A16" s="1">
        <v>8</v>
      </c>
      <c r="B16" s="4">
        <v>10</v>
      </c>
      <c r="C16" s="4" t="s">
        <v>73</v>
      </c>
      <c r="D16" s="4" t="s">
        <v>18</v>
      </c>
      <c r="E16" s="4" t="s">
        <v>19</v>
      </c>
      <c r="F16" s="22">
        <v>0.83131999999999995</v>
      </c>
      <c r="G16" s="268">
        <v>16.4114724496078</v>
      </c>
      <c r="H16" s="268">
        <v>13.8580256123713</v>
      </c>
      <c r="I16" s="268">
        <v>9.2365370893401799</v>
      </c>
      <c r="J16" s="268">
        <v>6.2885365825333102</v>
      </c>
      <c r="K16" s="268">
        <v>5.5325244406356697</v>
      </c>
      <c r="L16" s="268">
        <v>3.2348411431885999</v>
      </c>
      <c r="M16" s="268">
        <v>19.542474668604701</v>
      </c>
      <c r="N16" s="268">
        <v>1.5333333333333301</v>
      </c>
      <c r="O16" s="268">
        <v>46.088091142499898</v>
      </c>
      <c r="P16" s="268">
        <v>71.436520797496001</v>
      </c>
      <c r="Q16" s="268">
        <v>49.081128278497502</v>
      </c>
      <c r="R16" s="268">
        <v>86.672565767614202</v>
      </c>
      <c r="S16" s="268">
        <v>34.491374657334497</v>
      </c>
      <c r="T16" s="268">
        <v>0.747114019632246</v>
      </c>
      <c r="U16" s="268">
        <v>2.0293823425571799E-2</v>
      </c>
      <c r="V16" s="268">
        <v>0.112086213508031</v>
      </c>
      <c r="W16" s="268"/>
      <c r="X16" s="274" t="s">
        <v>19</v>
      </c>
      <c r="Y16" s="268">
        <v>15.6434290871358</v>
      </c>
      <c r="Z16" s="268">
        <v>12.809494415177401</v>
      </c>
      <c r="AA16" s="268">
        <v>8.9742856572178002</v>
      </c>
      <c r="AB16" s="268">
        <v>9.0083761513966305</v>
      </c>
      <c r="AC16" s="268">
        <v>7.4857119295708703</v>
      </c>
      <c r="AD16" s="268">
        <v>4.9417839502299996</v>
      </c>
      <c r="AE16" s="268">
        <v>34.708444113953497</v>
      </c>
      <c r="AF16" s="268">
        <v>1.63333333333333</v>
      </c>
      <c r="AG16" s="268">
        <v>43.350790153306001</v>
      </c>
      <c r="AH16" s="268">
        <v>67.902016025998506</v>
      </c>
      <c r="AI16" s="268">
        <v>48.156405172471302</v>
      </c>
      <c r="AJ16" s="268">
        <v>83.244958643332694</v>
      </c>
      <c r="AK16" s="268">
        <v>35.344431730196398</v>
      </c>
      <c r="AL16" s="268">
        <v>0.70264483790535903</v>
      </c>
      <c r="AM16" s="268">
        <v>2.5060129691446699E-2</v>
      </c>
      <c r="AN16" s="268">
        <v>9.7540144507073295E-2</v>
      </c>
      <c r="AO16" s="20">
        <v>2.8069986762172201</v>
      </c>
    </row>
    <row r="17" spans="1:41" x14ac:dyDescent="0.2">
      <c r="A17" s="1">
        <v>1</v>
      </c>
      <c r="B17" s="7">
        <v>11</v>
      </c>
      <c r="C17" s="7" t="s">
        <v>74</v>
      </c>
      <c r="D17" s="7" t="s">
        <v>20</v>
      </c>
      <c r="E17" s="7" t="s">
        <v>21</v>
      </c>
      <c r="F17" s="22">
        <v>0.45610000000000001</v>
      </c>
      <c r="G17" s="268">
        <v>21.373830036792398</v>
      </c>
      <c r="H17" s="268">
        <v>18.767150990411999</v>
      </c>
      <c r="I17" s="268">
        <v>9.4406431915324092</v>
      </c>
      <c r="J17" s="268">
        <v>7.2826046653905596</v>
      </c>
      <c r="K17" s="268">
        <v>6.3428271572583004</v>
      </c>
      <c r="L17" s="268">
        <v>3.4882543525079899</v>
      </c>
      <c r="M17" s="268">
        <v>19.998097524359</v>
      </c>
      <c r="N17" s="268">
        <v>1.9111111111111101</v>
      </c>
      <c r="O17" s="268">
        <v>22.142512065787201</v>
      </c>
      <c r="P17" s="268">
        <v>46.067358138170498</v>
      </c>
      <c r="Q17" s="268">
        <v>-37.213459139091299</v>
      </c>
      <c r="R17" s="268">
        <v>59.220292357664697</v>
      </c>
      <c r="S17" s="268">
        <v>321.06853630154899</v>
      </c>
      <c r="T17" s="268">
        <v>0.30119153431839002</v>
      </c>
      <c r="U17" s="268">
        <v>4.3116134669513299E-2</v>
      </c>
      <c r="V17" s="268">
        <v>0.42567808322808198</v>
      </c>
      <c r="W17" s="268"/>
      <c r="X17" s="275" t="s">
        <v>21</v>
      </c>
      <c r="Y17" s="268">
        <v>23.903687580977099</v>
      </c>
      <c r="Z17" s="268">
        <v>21.4063725255556</v>
      </c>
      <c r="AA17" s="268">
        <v>9.6801948614299693</v>
      </c>
      <c r="AB17" s="268">
        <v>9.7591089571466103</v>
      </c>
      <c r="AC17" s="268">
        <v>9.0063714557176997</v>
      </c>
      <c r="AD17" s="268">
        <v>4.0292190628913698</v>
      </c>
      <c r="AE17" s="268">
        <v>30.746276382926801</v>
      </c>
      <c r="AF17" s="268">
        <v>1.7888888888888901</v>
      </c>
      <c r="AG17" s="268">
        <v>20.2310839846166</v>
      </c>
      <c r="AH17" s="268">
        <v>45.467209546095901</v>
      </c>
      <c r="AI17" s="268">
        <v>-40.374822184927297</v>
      </c>
      <c r="AJ17" s="268">
        <v>60.8061954933302</v>
      </c>
      <c r="AK17" s="268">
        <v>318.39496574031</v>
      </c>
      <c r="AL17" s="268">
        <v>0.283784757850155</v>
      </c>
      <c r="AM17" s="268">
        <v>3.3451694717660303E-2</v>
      </c>
      <c r="AN17" s="268">
        <v>0.43909351390132101</v>
      </c>
      <c r="AO17" s="20">
        <v>1.6422547046964999</v>
      </c>
    </row>
    <row r="18" spans="1:41" x14ac:dyDescent="0.2">
      <c r="A18" s="1">
        <v>16</v>
      </c>
      <c r="B18" s="3">
        <v>12</v>
      </c>
      <c r="C18" s="3" t="s">
        <v>75</v>
      </c>
      <c r="D18" s="3" t="s">
        <v>22</v>
      </c>
      <c r="E18" s="3" t="s">
        <v>23</v>
      </c>
      <c r="F18" s="22">
        <v>0.83408000000000004</v>
      </c>
      <c r="G18" s="268">
        <v>16.877431743568302</v>
      </c>
      <c r="H18" s="268">
        <v>14.290393554923901</v>
      </c>
      <c r="I18" s="268">
        <v>8.7363083914714004</v>
      </c>
      <c r="J18" s="268">
        <v>7.2629281051407704</v>
      </c>
      <c r="K18" s="268">
        <v>6.3243671651126796</v>
      </c>
      <c r="L18" s="268">
        <v>3.84276727869144</v>
      </c>
      <c r="M18" s="268">
        <v>22.407492917045499</v>
      </c>
      <c r="N18" s="268">
        <v>1.9555555555555599</v>
      </c>
      <c r="O18" s="268">
        <v>78.372130148837599</v>
      </c>
      <c r="P18" s="268">
        <v>7.8177889328544401</v>
      </c>
      <c r="Q18" s="268">
        <v>83.540798416092201</v>
      </c>
      <c r="R18" s="268">
        <v>83.905797319355798</v>
      </c>
      <c r="S18" s="268">
        <v>84.653802643006401</v>
      </c>
      <c r="T18" s="268">
        <v>0.89425004560947496</v>
      </c>
      <c r="U18" s="268">
        <v>0.72015061609961295</v>
      </c>
      <c r="V18" s="268">
        <v>8.5152629534039098E-2</v>
      </c>
      <c r="W18" s="268"/>
      <c r="X18" s="272" t="s">
        <v>23</v>
      </c>
      <c r="Y18" s="268">
        <v>16.804962178665601</v>
      </c>
      <c r="Z18" s="268">
        <v>13.2272293297308</v>
      </c>
      <c r="AA18" s="268">
        <v>9.2548919059029409</v>
      </c>
      <c r="AB18" s="268">
        <v>8.7100255026404305</v>
      </c>
      <c r="AC18" s="268">
        <v>7.2660466314732002</v>
      </c>
      <c r="AD18" s="268">
        <v>4.6056302686653803</v>
      </c>
      <c r="AE18" s="268">
        <v>29.6219278866667</v>
      </c>
      <c r="AF18" s="268">
        <v>2.2333333333333298</v>
      </c>
      <c r="AG18" s="268">
        <v>73.831144939570507</v>
      </c>
      <c r="AH18" s="268">
        <v>5.1613918858541901</v>
      </c>
      <c r="AI18" s="268">
        <v>78.594928140502404</v>
      </c>
      <c r="AJ18" s="268">
        <v>78.764222179934606</v>
      </c>
      <c r="AK18" s="268">
        <v>86.2427353285061</v>
      </c>
      <c r="AL18" s="268">
        <v>0.83176707255154303</v>
      </c>
      <c r="AM18" s="268">
        <v>0.68660000619647299</v>
      </c>
      <c r="AN18" s="268">
        <v>8.6014138428096507E-2</v>
      </c>
      <c r="AO18" s="20">
        <v>3.4746202141176301</v>
      </c>
    </row>
    <row r="19" spans="1:41" x14ac:dyDescent="0.2">
      <c r="A19" s="1">
        <v>9</v>
      </c>
      <c r="B19" s="35">
        <v>13</v>
      </c>
      <c r="C19" s="36" t="s">
        <v>76</v>
      </c>
      <c r="D19" s="36" t="s">
        <v>24</v>
      </c>
      <c r="E19" s="37" t="s">
        <v>25</v>
      </c>
      <c r="F19" s="22">
        <v>0.52568999999999999</v>
      </c>
      <c r="G19" s="268">
        <v>15.3155527303481</v>
      </c>
      <c r="H19" s="268">
        <v>12.951818739345599</v>
      </c>
      <c r="I19" s="268">
        <v>7.5657675689533299</v>
      </c>
      <c r="J19" s="268">
        <v>4.9646182995458696</v>
      </c>
      <c r="K19" s="268">
        <v>4.3484176959275302</v>
      </c>
      <c r="L19" s="268">
        <v>2.5347953339163301</v>
      </c>
      <c r="M19" s="268">
        <v>16.2048203813954</v>
      </c>
      <c r="N19" s="268">
        <v>2</v>
      </c>
      <c r="O19" s="268">
        <v>34.434499464600897</v>
      </c>
      <c r="P19" s="268">
        <v>58.375249836888003</v>
      </c>
      <c r="Q19" s="268">
        <v>44.390632238518499</v>
      </c>
      <c r="R19" s="268">
        <v>73.336198592881104</v>
      </c>
      <c r="S19" s="268">
        <v>37.250659692572</v>
      </c>
      <c r="T19" s="268">
        <v>0.56149175144604402</v>
      </c>
      <c r="U19" s="268">
        <v>1.3601302865466601E-3</v>
      </c>
      <c r="V19" s="268">
        <v>4.0504889153999801E-2</v>
      </c>
      <c r="W19" s="268"/>
      <c r="X19" s="274" t="s">
        <v>25</v>
      </c>
      <c r="Y19" s="268">
        <v>15.7794267131382</v>
      </c>
      <c r="Z19" s="268">
        <v>13.2894055692819</v>
      </c>
      <c r="AA19" s="268">
        <v>8.0503083019550594</v>
      </c>
      <c r="AB19" s="268">
        <v>6.8176767131694298</v>
      </c>
      <c r="AC19" s="268">
        <v>5.7184401037077599</v>
      </c>
      <c r="AD19" s="268">
        <v>3.6048566487090299</v>
      </c>
      <c r="AE19" s="268">
        <v>32.581684197674399</v>
      </c>
      <c r="AF19" s="268">
        <v>1.86666666666667</v>
      </c>
      <c r="AG19" s="268">
        <v>34.990816617774399</v>
      </c>
      <c r="AH19" s="268">
        <v>58.689237534847301</v>
      </c>
      <c r="AI19" s="268">
        <v>44.5230154552927</v>
      </c>
      <c r="AJ19" s="268">
        <v>73.666311891216296</v>
      </c>
      <c r="AK19" s="268">
        <v>37.184796674501598</v>
      </c>
      <c r="AL19" s="268">
        <v>0.56344969844458503</v>
      </c>
      <c r="AM19" s="268">
        <v>7.9757330171788699E-3</v>
      </c>
      <c r="AN19" s="268">
        <v>4.0475059047040497E-2</v>
      </c>
      <c r="AO19" s="20">
        <v>0.155059114019166</v>
      </c>
    </row>
    <row r="20" spans="1:41" x14ac:dyDescent="0.2">
      <c r="A20" s="1">
        <v>4</v>
      </c>
      <c r="B20" s="50">
        <v>14</v>
      </c>
      <c r="C20" s="51" t="s">
        <v>77</v>
      </c>
      <c r="D20" s="51" t="s">
        <v>26</v>
      </c>
      <c r="E20" s="52" t="s">
        <v>27</v>
      </c>
      <c r="F20" s="22">
        <v>0.67444999999999999</v>
      </c>
      <c r="G20" s="268">
        <v>19.123786256049801</v>
      </c>
      <c r="H20" s="268">
        <v>16.913375653663302</v>
      </c>
      <c r="I20" s="268">
        <v>9.7241967720135403</v>
      </c>
      <c r="J20" s="268">
        <v>9.5291842727266101</v>
      </c>
      <c r="K20" s="268">
        <v>8.3741821315915708</v>
      </c>
      <c r="L20" s="268">
        <v>4.9632042070437299</v>
      </c>
      <c r="M20" s="268">
        <v>20.255428468292699</v>
      </c>
      <c r="N20" s="268">
        <v>1.5444444444444401</v>
      </c>
      <c r="O20" s="268">
        <v>65.333873387921997</v>
      </c>
      <c r="P20" s="268">
        <v>-25.902903025033002</v>
      </c>
      <c r="Q20" s="268">
        <v>-43.614415218110999</v>
      </c>
      <c r="R20" s="268">
        <v>50.726498005894904</v>
      </c>
      <c r="S20" s="268">
        <v>239.29363050297201</v>
      </c>
      <c r="T20" s="268">
        <v>0.108525954077328</v>
      </c>
      <c r="U20" s="268">
        <v>0.68118433882704599</v>
      </c>
      <c r="V20" s="268">
        <v>0.91255006476540002</v>
      </c>
      <c r="W20" s="268"/>
      <c r="X20" s="273" t="s">
        <v>27</v>
      </c>
      <c r="Y20" s="268">
        <v>16.654992250368299</v>
      </c>
      <c r="Z20" s="268">
        <v>13.5828111235202</v>
      </c>
      <c r="AA20" s="268">
        <v>9.4440810641836705</v>
      </c>
      <c r="AB20" s="268">
        <v>10.847561570930299</v>
      </c>
      <c r="AC20" s="268">
        <v>9.7931518424713797</v>
      </c>
      <c r="AD20" s="268">
        <v>5.6880858947278599</v>
      </c>
      <c r="AE20" s="268">
        <v>28.995281173170699</v>
      </c>
      <c r="AF20" s="268">
        <v>1.5777777777777799</v>
      </c>
      <c r="AG20" s="268">
        <v>63.308047590959497</v>
      </c>
      <c r="AH20" s="268">
        <v>-26.223354987330001</v>
      </c>
      <c r="AI20" s="268">
        <v>-42.656525755919397</v>
      </c>
      <c r="AJ20" s="268">
        <v>50.072382970625</v>
      </c>
      <c r="AK20" s="268">
        <v>238.418629164782</v>
      </c>
      <c r="AL20" s="268">
        <v>0.12340053480797</v>
      </c>
      <c r="AM20" s="268">
        <v>0.66267657423763304</v>
      </c>
      <c r="AN20" s="268">
        <v>0.88807301744931799</v>
      </c>
      <c r="AO20" s="20">
        <v>1.4213713469278699</v>
      </c>
    </row>
    <row r="21" spans="1:41" x14ac:dyDescent="0.2">
      <c r="A21" s="1">
        <v>5</v>
      </c>
      <c r="B21" s="2">
        <v>15</v>
      </c>
      <c r="C21" s="2" t="s">
        <v>78</v>
      </c>
      <c r="D21" s="2" t="s">
        <v>28</v>
      </c>
      <c r="E21" s="2" t="s">
        <v>29</v>
      </c>
      <c r="F21" s="22">
        <v>0.2394</v>
      </c>
      <c r="G21" s="268">
        <v>15.125826216278901</v>
      </c>
      <c r="H21" s="268">
        <v>13.6495709766793</v>
      </c>
      <c r="I21" s="268">
        <v>7.5088268830451197</v>
      </c>
      <c r="J21" s="268">
        <v>8.4295984517832494</v>
      </c>
      <c r="K21" s="268">
        <v>7.7005569918286403</v>
      </c>
      <c r="L21" s="268">
        <v>4.1351506150819199</v>
      </c>
      <c r="M21" s="268">
        <v>16.779394050000001</v>
      </c>
      <c r="N21" s="268">
        <v>2.2222222222222201</v>
      </c>
      <c r="O21" s="268">
        <v>63.1228652991893</v>
      </c>
      <c r="P21" s="268">
        <v>-19.971624401423998</v>
      </c>
      <c r="Q21" s="268">
        <v>-52.133235443407301</v>
      </c>
      <c r="R21" s="268">
        <v>55.8277710376234</v>
      </c>
      <c r="S21" s="268">
        <v>249.03875605683501</v>
      </c>
      <c r="T21" s="268">
        <v>7.2485952521058203E-2</v>
      </c>
      <c r="U21" s="268">
        <v>0.64894402885261704</v>
      </c>
      <c r="V21" s="268">
        <v>0.94589542106552005</v>
      </c>
      <c r="W21" s="268"/>
      <c r="X21" s="273" t="s">
        <v>29</v>
      </c>
      <c r="Y21" s="268">
        <v>18.350895035664202</v>
      </c>
      <c r="Z21" s="268">
        <v>15.717108516327301</v>
      </c>
      <c r="AA21" s="268">
        <v>9.8497008839117797</v>
      </c>
      <c r="AB21" s="268">
        <v>10.8246514184086</v>
      </c>
      <c r="AC21" s="268">
        <v>9.7426018600698203</v>
      </c>
      <c r="AD21" s="268">
        <v>5.4231333430151798</v>
      </c>
      <c r="AE21" s="268">
        <v>22.9754091534091</v>
      </c>
      <c r="AF21" s="268">
        <v>2.1555555555555599</v>
      </c>
      <c r="AG21" s="268">
        <v>63.254603089019902</v>
      </c>
      <c r="AH21" s="268">
        <v>-20.7678938703094</v>
      </c>
      <c r="AI21" s="268">
        <v>-47.0735383562671</v>
      </c>
      <c r="AJ21" s="268">
        <v>51.451175197340099</v>
      </c>
      <c r="AK21" s="268">
        <v>246.19389717426901</v>
      </c>
      <c r="AL21" s="268">
        <v>0.142698403694895</v>
      </c>
      <c r="AM21" s="268">
        <v>0.65717374719420696</v>
      </c>
      <c r="AN21" s="268">
        <v>0.91852110220621397</v>
      </c>
      <c r="AO21" s="20">
        <v>1.70320957875095</v>
      </c>
    </row>
    <row r="22" spans="1:41" x14ac:dyDescent="0.2">
      <c r="A22" s="1">
        <v>13</v>
      </c>
      <c r="B22" s="6">
        <v>16</v>
      </c>
      <c r="C22" s="6" t="s">
        <v>79</v>
      </c>
      <c r="D22" s="6" t="s">
        <v>30</v>
      </c>
      <c r="E22" s="6" t="s">
        <v>31</v>
      </c>
      <c r="F22" s="22">
        <v>0.15087999999999999</v>
      </c>
      <c r="G22" s="268">
        <v>24.9159006798773</v>
      </c>
      <c r="H22" s="268">
        <v>20.243760981571501</v>
      </c>
      <c r="I22" s="268">
        <v>13.034341611983001</v>
      </c>
      <c r="J22" s="268">
        <v>10.644008200386899</v>
      </c>
      <c r="K22" s="268">
        <v>9.0182232744066404</v>
      </c>
      <c r="L22" s="268">
        <v>5.1958370386356103</v>
      </c>
      <c r="M22" s="268">
        <v>20.366666080952399</v>
      </c>
      <c r="N22" s="268">
        <v>1.6111111111111101</v>
      </c>
      <c r="O22" s="268">
        <v>48.677864880990199</v>
      </c>
      <c r="P22" s="268">
        <v>-67.856858121147297</v>
      </c>
      <c r="Q22" s="268">
        <v>51.6391423538929</v>
      </c>
      <c r="R22" s="268">
        <v>85.271063187456093</v>
      </c>
      <c r="S22" s="268">
        <v>142.72882598588899</v>
      </c>
      <c r="T22" s="268">
        <v>0.197478675976516</v>
      </c>
      <c r="U22" s="268">
        <v>0.53593476002045104</v>
      </c>
      <c r="V22" s="268">
        <v>8.6749696474178198E-2</v>
      </c>
      <c r="W22" s="268"/>
      <c r="X22" s="270" t="s">
        <v>31</v>
      </c>
      <c r="Y22" s="268">
        <v>22.481354999369799</v>
      </c>
      <c r="Z22" s="268">
        <v>16.504794355993901</v>
      </c>
      <c r="AA22" s="268">
        <v>13.445141211629</v>
      </c>
      <c r="AB22" s="268">
        <v>12.4761184049325</v>
      </c>
      <c r="AC22" s="268">
        <v>9.9680691244589799</v>
      </c>
      <c r="AD22" s="268">
        <v>6.1134888127856399</v>
      </c>
      <c r="AE22" s="268">
        <v>27.9327635215909</v>
      </c>
      <c r="AF22" s="268">
        <v>1.7</v>
      </c>
      <c r="AG22" s="268">
        <v>46.778705676812699</v>
      </c>
      <c r="AH22" s="268">
        <v>-62.464663583358103</v>
      </c>
      <c r="AI22" s="268">
        <v>47.527592708743299</v>
      </c>
      <c r="AJ22" s="268">
        <v>78.490166678828501</v>
      </c>
      <c r="AK22" s="268">
        <v>142.73352183012801</v>
      </c>
      <c r="AL22" s="268">
        <v>0.21937502793001201</v>
      </c>
      <c r="AM22" s="268">
        <v>0.53100825694838005</v>
      </c>
      <c r="AN22" s="268">
        <v>0.115765977135148</v>
      </c>
      <c r="AO22" s="20">
        <v>1.13027990980618</v>
      </c>
    </row>
    <row r="23" spans="1:41" x14ac:dyDescent="0.2">
      <c r="A23" s="1">
        <v>17</v>
      </c>
      <c r="B23" s="38">
        <v>17</v>
      </c>
      <c r="C23" s="39" t="s">
        <v>80</v>
      </c>
      <c r="D23" s="39" t="s">
        <v>32</v>
      </c>
      <c r="E23" s="40" t="s">
        <v>33</v>
      </c>
      <c r="F23" s="22">
        <v>0.63493999999999995</v>
      </c>
      <c r="G23" s="268">
        <v>14.0123363406134</v>
      </c>
      <c r="H23" s="268">
        <v>12.2378652587325</v>
      </c>
      <c r="I23" s="268">
        <v>7.6941763974758501</v>
      </c>
      <c r="J23" s="268">
        <v>6.0909151543087399</v>
      </c>
      <c r="K23" s="268">
        <v>5.5272969008899304</v>
      </c>
      <c r="L23" s="268">
        <v>3.2146638505398801</v>
      </c>
      <c r="M23" s="268">
        <v>19.623495818181802</v>
      </c>
      <c r="N23" s="268">
        <v>2.2111111111111099</v>
      </c>
      <c r="O23" s="268">
        <v>78.033776611849305</v>
      </c>
      <c r="P23" s="268">
        <v>18.317687409943701</v>
      </c>
      <c r="Q23" s="268">
        <v>86.5257887623155</v>
      </c>
      <c r="R23" s="268">
        <v>88.443483609530304</v>
      </c>
      <c r="S23" s="268">
        <v>78.046851291028304</v>
      </c>
      <c r="T23" s="268">
        <v>0.93809998501341296</v>
      </c>
      <c r="U23" s="268">
        <v>0.69068379261579904</v>
      </c>
      <c r="V23" s="268">
        <v>4.2902890417637E-2</v>
      </c>
      <c r="W23" s="268"/>
      <c r="X23" s="272" t="s">
        <v>33</v>
      </c>
      <c r="Y23" s="268">
        <v>16.672605987582202</v>
      </c>
      <c r="Z23" s="268">
        <v>13.791690369565799</v>
      </c>
      <c r="AA23" s="268">
        <v>9.6271491886183398</v>
      </c>
      <c r="AB23" s="268">
        <v>8.1591243717684705</v>
      </c>
      <c r="AC23" s="268">
        <v>6.9528865239096804</v>
      </c>
      <c r="AD23" s="268">
        <v>4.3826038634339497</v>
      </c>
      <c r="AE23" s="268">
        <v>32.9021358888889</v>
      </c>
      <c r="AF23" s="268">
        <v>2.18888888888889</v>
      </c>
      <c r="AG23" s="268">
        <v>74.214239678626399</v>
      </c>
      <c r="AH23" s="268">
        <v>16.368329923656098</v>
      </c>
      <c r="AI23" s="268">
        <v>81.981679294553103</v>
      </c>
      <c r="AJ23" s="268">
        <v>83.599748590797901</v>
      </c>
      <c r="AK23" s="268">
        <v>78.708888889360907</v>
      </c>
      <c r="AL23" s="268">
        <v>0.87900299859946196</v>
      </c>
      <c r="AM23" s="268">
        <v>0.65626701599528903</v>
      </c>
      <c r="AN23" s="268">
        <v>5.7440613912697502E-2</v>
      </c>
      <c r="AO23" s="20">
        <v>3.13762085368813</v>
      </c>
    </row>
    <row r="24" spans="1:41" x14ac:dyDescent="0.2">
      <c r="A24" s="1">
        <v>14</v>
      </c>
      <c r="B24" s="41">
        <v>18</v>
      </c>
      <c r="C24" s="42" t="s">
        <v>81</v>
      </c>
      <c r="D24" s="42" t="s">
        <v>34</v>
      </c>
      <c r="E24" s="43" t="s">
        <v>35</v>
      </c>
      <c r="F24" s="22">
        <v>0.64248000000000005</v>
      </c>
      <c r="G24" s="268">
        <v>18.421541449689101</v>
      </c>
      <c r="H24" s="268">
        <v>15.1466707612514</v>
      </c>
      <c r="I24" s="268">
        <v>9.6067952563342498</v>
      </c>
      <c r="J24" s="268">
        <v>10.8289504523205</v>
      </c>
      <c r="K24" s="268">
        <v>9.3249144508046093</v>
      </c>
      <c r="L24" s="268">
        <v>5.0857028802329598</v>
      </c>
      <c r="M24" s="268">
        <v>19.684767743181801</v>
      </c>
      <c r="N24" s="268">
        <v>1.9222222222222201</v>
      </c>
      <c r="O24" s="268">
        <v>51.831925682729903</v>
      </c>
      <c r="P24" s="268">
        <v>-79.964715758564793</v>
      </c>
      <c r="Q24" s="268">
        <v>49.819388212707501</v>
      </c>
      <c r="R24" s="268">
        <v>94.214262233679406</v>
      </c>
      <c r="S24" s="268">
        <v>148.07638648800099</v>
      </c>
      <c r="T24" s="268">
        <v>0.11911508597577999</v>
      </c>
      <c r="U24" s="268">
        <v>0.58390731801612605</v>
      </c>
      <c r="V24" s="268">
        <v>0.14259035702534001</v>
      </c>
      <c r="W24" s="268"/>
      <c r="X24" s="270" t="s">
        <v>35</v>
      </c>
      <c r="Y24" s="268">
        <v>17.799903822084602</v>
      </c>
      <c r="Z24" s="268">
        <v>15.1716619693936</v>
      </c>
      <c r="AA24" s="268">
        <v>8.6270726703608993</v>
      </c>
      <c r="AB24" s="268">
        <v>9.9955253886554107</v>
      </c>
      <c r="AC24" s="268">
        <v>8.7204331488212006</v>
      </c>
      <c r="AD24" s="268">
        <v>4.5762681939992698</v>
      </c>
      <c r="AE24" s="268">
        <v>33.886328747619103</v>
      </c>
      <c r="AF24" s="268">
        <v>1.7333333333333301</v>
      </c>
      <c r="AG24" s="268">
        <v>47.429489542661301</v>
      </c>
      <c r="AH24" s="268">
        <v>-77.228427457092295</v>
      </c>
      <c r="AI24" s="268">
        <v>48.752282964873402</v>
      </c>
      <c r="AJ24" s="268">
        <v>91.329158004344094</v>
      </c>
      <c r="AK24" s="268">
        <v>147.73685557410201</v>
      </c>
      <c r="AL24" s="268">
        <v>9.6201054466560895E-2</v>
      </c>
      <c r="AM24" s="268">
        <v>0.52934182333663105</v>
      </c>
      <c r="AN24" s="268">
        <v>0.10612353320202</v>
      </c>
      <c r="AO24" s="20">
        <v>4.85304785485559</v>
      </c>
    </row>
    <row r="25" spans="1:41" x14ac:dyDescent="0.2">
      <c r="A25" s="1">
        <v>10</v>
      </c>
      <c r="B25" s="4">
        <v>19</v>
      </c>
      <c r="C25" s="4" t="s">
        <v>82</v>
      </c>
      <c r="D25" s="4" t="s">
        <v>36</v>
      </c>
      <c r="E25" s="4" t="s">
        <v>37</v>
      </c>
      <c r="F25" s="22">
        <v>3.7859999999999998E-2</v>
      </c>
      <c r="G25" s="268">
        <v>15.178964055247199</v>
      </c>
      <c r="H25" s="268">
        <v>12.9781864284714</v>
      </c>
      <c r="I25" s="268">
        <v>8.3047046414292307</v>
      </c>
      <c r="J25" s="268">
        <v>6.3554460309046199</v>
      </c>
      <c r="K25" s="268">
        <v>5.6149418086762903</v>
      </c>
      <c r="L25" s="268">
        <v>3.3065089387446802</v>
      </c>
      <c r="M25" s="268">
        <v>19.040772845454502</v>
      </c>
      <c r="N25" s="268">
        <v>1.8888888888888899</v>
      </c>
      <c r="O25" s="268">
        <v>49.729140923295198</v>
      </c>
      <c r="P25" s="268">
        <v>75.939783201408005</v>
      </c>
      <c r="Q25" s="268">
        <v>52.659571471562202</v>
      </c>
      <c r="R25" s="268">
        <v>92.411477318812601</v>
      </c>
      <c r="S25" s="268">
        <v>34.738929818771503</v>
      </c>
      <c r="T25" s="268">
        <v>0.79674165543568998</v>
      </c>
      <c r="U25" s="268">
        <v>1.4516424636413099E-2</v>
      </c>
      <c r="V25" s="268">
        <v>0.120191352062058</v>
      </c>
      <c r="W25" s="268"/>
      <c r="X25" s="274" t="s">
        <v>37</v>
      </c>
      <c r="Y25" s="268">
        <v>14.474323963378399</v>
      </c>
      <c r="Z25" s="268">
        <v>12.470985353440099</v>
      </c>
      <c r="AA25" s="268">
        <v>7.8788219051047497</v>
      </c>
      <c r="AB25" s="268">
        <v>9.9901685702140792</v>
      </c>
      <c r="AC25" s="268">
        <v>8.5891941434147903</v>
      </c>
      <c r="AD25" s="268">
        <v>5.3184056991186504</v>
      </c>
      <c r="AE25" s="268">
        <v>31.505194446590899</v>
      </c>
      <c r="AF25" s="268">
        <v>1.8</v>
      </c>
      <c r="AG25" s="268">
        <v>46.683876235272699</v>
      </c>
      <c r="AH25" s="268">
        <v>72.490502503276005</v>
      </c>
      <c r="AI25" s="268">
        <v>51.079980694932502</v>
      </c>
      <c r="AJ25" s="268">
        <v>88.679407874501095</v>
      </c>
      <c r="AK25" s="268">
        <v>35.170200162442903</v>
      </c>
      <c r="AL25" s="268">
        <v>0.75015649761865899</v>
      </c>
      <c r="AM25" s="268">
        <v>8.9078301062432402E-3</v>
      </c>
      <c r="AN25" s="268">
        <v>0.102765119500956</v>
      </c>
      <c r="AO25" s="20">
        <v>2.9994513505640601</v>
      </c>
    </row>
    <row r="26" spans="1:41" x14ac:dyDescent="0.2">
      <c r="A26" s="1">
        <v>6</v>
      </c>
      <c r="B26" s="2">
        <v>20</v>
      </c>
      <c r="C26" s="2" t="s">
        <v>83</v>
      </c>
      <c r="D26" s="2" t="s">
        <v>38</v>
      </c>
      <c r="E26" s="2" t="s">
        <v>39</v>
      </c>
      <c r="F26" s="22">
        <v>0.15842999999999999</v>
      </c>
      <c r="G26" s="268">
        <v>19.9790844800408</v>
      </c>
      <c r="H26" s="268">
        <v>18.4903237086994</v>
      </c>
      <c r="I26" s="268">
        <v>9.2145920168157804</v>
      </c>
      <c r="J26" s="268">
        <v>9.5061814912937503</v>
      </c>
      <c r="K26" s="268">
        <v>8.7550815137658997</v>
      </c>
      <c r="L26" s="268">
        <v>4.2346543284412999</v>
      </c>
      <c r="M26" s="268">
        <v>14.427874763953501</v>
      </c>
      <c r="N26" s="268">
        <v>2.2000000000000002</v>
      </c>
      <c r="O26" s="268">
        <v>46.987109906926101</v>
      </c>
      <c r="P26" s="268">
        <v>15.654973817200601</v>
      </c>
      <c r="Q26" s="268">
        <v>-71.758112733398903</v>
      </c>
      <c r="R26" s="268">
        <v>73.445932142470696</v>
      </c>
      <c r="S26" s="268">
        <v>282.30699321203798</v>
      </c>
      <c r="T26" s="268">
        <v>0</v>
      </c>
      <c r="U26" s="268">
        <v>0.43086493143364502</v>
      </c>
      <c r="V26" s="268">
        <v>0.90039327380193601</v>
      </c>
      <c r="W26" s="268"/>
      <c r="X26" s="273" t="s">
        <v>39</v>
      </c>
      <c r="Y26" s="268">
        <v>22.047022161290599</v>
      </c>
      <c r="Z26" s="268">
        <v>19.7316431566319</v>
      </c>
      <c r="AA26" s="268">
        <v>11.125738212748599</v>
      </c>
      <c r="AB26" s="268">
        <v>10.480125360399001</v>
      </c>
      <c r="AC26" s="268">
        <v>9.5403377519054793</v>
      </c>
      <c r="AD26" s="268">
        <v>4.5050220916168104</v>
      </c>
      <c r="AE26" s="268">
        <v>27.3700512766667</v>
      </c>
      <c r="AF26" s="268">
        <v>2.0222222222222199</v>
      </c>
      <c r="AG26" s="268">
        <v>43.988998385941102</v>
      </c>
      <c r="AH26" s="268">
        <v>15.9121873026925</v>
      </c>
      <c r="AI26" s="268">
        <v>-68.986691841561395</v>
      </c>
      <c r="AJ26" s="268">
        <v>70.798032147783005</v>
      </c>
      <c r="AK26" s="268">
        <v>282.98845142934499</v>
      </c>
      <c r="AL26" s="268">
        <v>2.4253811491114301E-3</v>
      </c>
      <c r="AM26" s="268">
        <v>0.40466753605846301</v>
      </c>
      <c r="AN26" s="268">
        <v>0.85522041196547804</v>
      </c>
      <c r="AO26" s="20">
        <v>2.5357839763533301</v>
      </c>
    </row>
    <row r="27" spans="1:41" x14ac:dyDescent="0.2">
      <c r="B27" s="8">
        <v>21</v>
      </c>
      <c r="E27" s="8" t="s">
        <v>59</v>
      </c>
      <c r="F27" s="20"/>
      <c r="G27" s="268">
        <v>13.481396307099001</v>
      </c>
      <c r="H27" s="268">
        <v>9.8746575930385596</v>
      </c>
      <c r="I27" s="268">
        <v>9.3478220969883807</v>
      </c>
      <c r="J27" s="268">
        <v>6.8787147671973301</v>
      </c>
      <c r="K27" s="268">
        <v>5.48826122457643</v>
      </c>
      <c r="L27" s="268">
        <v>4.4171663706976796</v>
      </c>
      <c r="M27" s="268">
        <v>22.3528181595238</v>
      </c>
      <c r="N27" s="268">
        <v>1.4</v>
      </c>
      <c r="O27" s="268">
        <v>83.321736996381603</v>
      </c>
      <c r="P27" s="268">
        <v>12.5730886310409</v>
      </c>
      <c r="Q27" s="268">
        <v>15.4571896917072</v>
      </c>
      <c r="R27" s="268">
        <v>19.925041302075901</v>
      </c>
      <c r="S27" s="268">
        <v>50.874624079091902</v>
      </c>
      <c r="T27" s="268">
        <v>0.90994134881150801</v>
      </c>
      <c r="U27" s="268">
        <v>0.78191695577473597</v>
      </c>
      <c r="V27" s="268">
        <v>0.71023267380609101</v>
      </c>
      <c r="W27" s="268"/>
      <c r="X27" s="268" t="s">
        <v>59</v>
      </c>
      <c r="Y27" s="268">
        <v>20.1208700140205</v>
      </c>
      <c r="Z27" s="268">
        <v>11.4875104981126</v>
      </c>
      <c r="AA27" s="268">
        <v>14.5207051806325</v>
      </c>
      <c r="AB27" s="268">
        <v>8.5806868739869895</v>
      </c>
      <c r="AC27" s="268">
        <v>6.6375502942164797</v>
      </c>
      <c r="AD27" s="268">
        <v>5.6234445362781402</v>
      </c>
      <c r="AE27" s="268">
        <v>31.720284110227301</v>
      </c>
      <c r="AF27" s="268">
        <v>1.63333333333333</v>
      </c>
      <c r="AG27" s="268">
        <v>64.886606029760003</v>
      </c>
      <c r="AH27" s="268">
        <v>16.326214345057199</v>
      </c>
      <c r="AI27" s="268">
        <v>31.265975867982199</v>
      </c>
      <c r="AJ27" s="268">
        <v>35.2718942193072</v>
      </c>
      <c r="AK27" s="268">
        <v>62.427701056712003</v>
      </c>
      <c r="AL27" s="268">
        <v>0.74633811587120402</v>
      </c>
      <c r="AM27" s="268">
        <v>0.57805801131499202</v>
      </c>
      <c r="AN27" s="268">
        <v>0.41986621476965402</v>
      </c>
    </row>
    <row r="28" spans="1:41" x14ac:dyDescent="0.2">
      <c r="B28" s="8">
        <v>22</v>
      </c>
      <c r="E28" s="8" t="s">
        <v>60</v>
      </c>
      <c r="F28" s="20"/>
      <c r="G28" s="268">
        <v>14.2768294602862</v>
      </c>
      <c r="H28" s="268">
        <v>10.040719464212801</v>
      </c>
      <c r="I28" s="268">
        <v>9.9100169677594305</v>
      </c>
      <c r="J28" s="268">
        <v>6.0697016382421296</v>
      </c>
      <c r="K28" s="268">
        <v>4.8409610304547099</v>
      </c>
      <c r="L28" s="268">
        <v>4.34476989612733</v>
      </c>
      <c r="M28" s="268">
        <v>20.830311045121999</v>
      </c>
      <c r="N28" s="268">
        <v>1.2777777777777799</v>
      </c>
      <c r="O28" s="268">
        <v>83.4184531189685</v>
      </c>
      <c r="P28" s="268">
        <v>11.435083917945899</v>
      </c>
      <c r="Q28" s="268">
        <v>14.051771012589599</v>
      </c>
      <c r="R28" s="268">
        <v>18.116661193517999</v>
      </c>
      <c r="S28" s="268">
        <v>50.861910384550498</v>
      </c>
      <c r="T28" s="268">
        <v>0.89607068939559298</v>
      </c>
      <c r="U28" s="268">
        <v>0.78436632825438002</v>
      </c>
      <c r="V28" s="268">
        <v>0.71974454696484702</v>
      </c>
      <c r="W28" s="268"/>
      <c r="X28" s="268" t="s">
        <v>60</v>
      </c>
      <c r="Y28" s="268">
        <v>11.357970070207401</v>
      </c>
      <c r="Z28" s="268">
        <v>7.75462211490896</v>
      </c>
      <c r="AA28" s="268">
        <v>8.7691257063803505</v>
      </c>
      <c r="AB28" s="268">
        <v>6.4914816097939303</v>
      </c>
      <c r="AC28" s="268">
        <v>4.6070410629178902</v>
      </c>
      <c r="AD28" s="268">
        <v>4.6624611916549803</v>
      </c>
      <c r="AE28" s="268">
        <v>32.224439461627902</v>
      </c>
      <c r="AF28" s="268">
        <v>1.48888888888889</v>
      </c>
      <c r="AG28" s="268">
        <v>84.600052921865498</v>
      </c>
      <c r="AH28" s="268">
        <v>8.7745890532395396</v>
      </c>
      <c r="AI28" s="268">
        <v>9.6679881249355599</v>
      </c>
      <c r="AJ28" s="268">
        <v>13.0561635803603</v>
      </c>
      <c r="AK28" s="268">
        <v>47.773365780879502</v>
      </c>
      <c r="AL28" s="268">
        <v>0.898095408900493</v>
      </c>
      <c r="AM28" s="268">
        <v>0.80966036552584597</v>
      </c>
      <c r="AN28" s="268">
        <v>0.76393432968443498</v>
      </c>
    </row>
    <row r="29" spans="1:41" x14ac:dyDescent="0.2">
      <c r="B29" s="8">
        <v>23</v>
      </c>
      <c r="E29" s="8" t="s">
        <v>61</v>
      </c>
      <c r="F29" s="20"/>
      <c r="G29" s="268">
        <v>16.236777619510999</v>
      </c>
      <c r="H29" s="268">
        <v>11.4385159094766</v>
      </c>
      <c r="I29" s="268">
        <v>10.483362401731</v>
      </c>
      <c r="J29" s="268">
        <v>5.9703577622999298</v>
      </c>
      <c r="K29" s="268">
        <v>4.3905597338777502</v>
      </c>
      <c r="L29" s="268">
        <v>3.76223928847006</v>
      </c>
      <c r="M29" s="268">
        <v>22.902904265116302</v>
      </c>
      <c r="N29" s="268">
        <v>1.5333333333333301</v>
      </c>
      <c r="O29" s="268">
        <v>78.202419367660895</v>
      </c>
      <c r="P29" s="268">
        <v>15.315595753322301</v>
      </c>
      <c r="Q29" s="268">
        <v>21.382540542959401</v>
      </c>
      <c r="R29" s="268">
        <v>26.301720729839801</v>
      </c>
      <c r="S29" s="268">
        <v>54.387246417919798</v>
      </c>
      <c r="T29" s="268">
        <v>0.86258377803432795</v>
      </c>
      <c r="U29" s="268">
        <v>0.71170887300516805</v>
      </c>
      <c r="V29" s="268">
        <v>0.61007445611268796</v>
      </c>
      <c r="W29" s="268"/>
      <c r="X29" s="268" t="s">
        <v>61</v>
      </c>
      <c r="Y29" s="268">
        <v>12.0550653681439</v>
      </c>
      <c r="Z29" s="268">
        <v>9.8091142603832608</v>
      </c>
      <c r="AA29" s="268">
        <v>8.5032270547280007</v>
      </c>
      <c r="AB29" s="268">
        <v>3.84289690422513</v>
      </c>
      <c r="AC29" s="268">
        <v>3.1051670433114098</v>
      </c>
      <c r="AD29" s="268">
        <v>2.6228001545521602</v>
      </c>
      <c r="AE29" s="268">
        <v>33.074572132926797</v>
      </c>
      <c r="AF29" s="268">
        <v>1.05555555555556</v>
      </c>
      <c r="AG29" s="268">
        <v>9.1051703608742294</v>
      </c>
      <c r="AH29" s="268">
        <v>9.6577575354480807</v>
      </c>
      <c r="AI29" s="268">
        <v>8.5422642739110799</v>
      </c>
      <c r="AJ29" s="268">
        <v>12.8935084262912</v>
      </c>
      <c r="AK29" s="268">
        <v>41.492685256060199</v>
      </c>
      <c r="AL29" s="268">
        <v>0.14452910155787399</v>
      </c>
      <c r="AM29" s="268">
        <v>8.2136392148945095E-2</v>
      </c>
      <c r="AN29" s="268">
        <v>4.8202741773512102E-2</v>
      </c>
    </row>
    <row r="30" spans="1:41" x14ac:dyDescent="0.2">
      <c r="B30" s="8">
        <v>24</v>
      </c>
      <c r="E30" s="8" t="s">
        <v>62</v>
      </c>
      <c r="F30" s="20"/>
      <c r="G30" s="268">
        <v>18.858195930350099</v>
      </c>
      <c r="H30" s="268">
        <v>12.846448512801899</v>
      </c>
      <c r="I30" s="268">
        <v>12.480944280794001</v>
      </c>
      <c r="J30" s="268">
        <v>7.9364863188982202</v>
      </c>
      <c r="K30" s="268">
        <v>6.4077037741384499</v>
      </c>
      <c r="L30" s="268">
        <v>5.1256812540243102</v>
      </c>
      <c r="M30" s="268">
        <v>23.1732402744186</v>
      </c>
      <c r="N30" s="268">
        <v>1.24444444444444</v>
      </c>
      <c r="O30" s="268">
        <v>70.727683296022306</v>
      </c>
      <c r="P30" s="268">
        <v>15.366318640335001</v>
      </c>
      <c r="Q30" s="268">
        <v>25.930702263886801</v>
      </c>
      <c r="R30" s="268">
        <v>30.141749591798</v>
      </c>
      <c r="S30" s="268">
        <v>59.349370377808498</v>
      </c>
      <c r="T30" s="268">
        <v>0.78366566441345997</v>
      </c>
      <c r="U30" s="268">
        <v>0.62813904467738202</v>
      </c>
      <c r="V30" s="268">
        <v>0.50203389773792295</v>
      </c>
      <c r="W30" s="268"/>
      <c r="X30" s="268" t="s">
        <v>48</v>
      </c>
      <c r="Y30" s="268">
        <v>17.309653088600999</v>
      </c>
      <c r="Z30" s="268">
        <v>14.587932990865999</v>
      </c>
      <c r="AA30" s="268">
        <v>9.2659049722641207</v>
      </c>
      <c r="AB30" s="268">
        <v>5.0424807881278202</v>
      </c>
      <c r="AC30" s="268">
        <v>4.2683829144196102</v>
      </c>
      <c r="AD30" s="268">
        <v>2.7673296194740402</v>
      </c>
      <c r="AE30" s="268">
        <v>24.725757626744201</v>
      </c>
      <c r="AF30" s="268">
        <v>2.1555555555555599</v>
      </c>
      <c r="AG30" s="268">
        <v>43.9040461746837</v>
      </c>
      <c r="AH30" s="268">
        <v>69.364580784699896</v>
      </c>
      <c r="AI30" s="268">
        <v>53.693598961804803</v>
      </c>
      <c r="AJ30" s="268">
        <v>87.718000643586706</v>
      </c>
      <c r="AK30" s="276">
        <v>37.742667316729801</v>
      </c>
      <c r="AL30" s="268">
        <v>0.71236798144360203</v>
      </c>
      <c r="AM30" s="268">
        <v>8.2919939570050901E-4</v>
      </c>
      <c r="AN30" s="268">
        <v>5.0685666163840903E-2</v>
      </c>
    </row>
    <row r="31" spans="1:41" x14ac:dyDescent="0.2">
      <c r="B31" s="8">
        <v>25</v>
      </c>
      <c r="E31" s="8" t="s">
        <v>63</v>
      </c>
      <c r="F31" s="20"/>
      <c r="G31" s="268">
        <v>14.1738539697094</v>
      </c>
      <c r="H31" s="268">
        <v>9.3557077226966001</v>
      </c>
      <c r="I31" s="268">
        <v>9.8735201725191004</v>
      </c>
      <c r="J31" s="268">
        <v>5.7975750698040898</v>
      </c>
      <c r="K31" s="268">
        <v>4.1402175697171897</v>
      </c>
      <c r="L31" s="268">
        <v>4.1349431039841003</v>
      </c>
      <c r="M31" s="268">
        <v>19.844352886842099</v>
      </c>
      <c r="N31" s="268">
        <v>1.17777777777778</v>
      </c>
      <c r="O31" s="268">
        <v>13.347135700472901</v>
      </c>
      <c r="P31" s="268">
        <v>10.077838390544899</v>
      </c>
      <c r="Q31" s="268">
        <v>9.5903720548254903</v>
      </c>
      <c r="R31" s="268">
        <v>13.911795814197401</v>
      </c>
      <c r="S31" s="268">
        <v>43.580244650773999</v>
      </c>
      <c r="T31" s="268">
        <v>0.19510852886084001</v>
      </c>
      <c r="U31" s="268">
        <v>0.124303495854326</v>
      </c>
      <c r="V31" s="268">
        <v>8.2143006086379505E-2</v>
      </c>
      <c r="W31" s="268"/>
      <c r="X31" s="268" t="s">
        <v>49</v>
      </c>
      <c r="Y31" s="268">
        <v>17.1151434659747</v>
      </c>
      <c r="Z31" s="268">
        <v>13.7436441255755</v>
      </c>
      <c r="AA31" s="268">
        <v>8.8645498031530199</v>
      </c>
      <c r="AB31" s="268">
        <v>8.6079682505461008</v>
      </c>
      <c r="AC31" s="268">
        <v>7.2803388157201399</v>
      </c>
      <c r="AD31" s="268">
        <v>3.91018880996636</v>
      </c>
      <c r="AE31" s="268">
        <v>29.6008830255814</v>
      </c>
      <c r="AF31" s="268">
        <v>2.0222222222222199</v>
      </c>
      <c r="AG31" s="268">
        <v>51.504750631272302</v>
      </c>
      <c r="AH31" s="268">
        <v>-83.210576052866301</v>
      </c>
      <c r="AI31" s="268">
        <v>53.498054501096902</v>
      </c>
      <c r="AJ31" s="268">
        <v>98.924424701143394</v>
      </c>
      <c r="AK31" s="276">
        <v>147.26207399489701</v>
      </c>
      <c r="AL31" s="268">
        <v>0.107492884095801</v>
      </c>
      <c r="AM31" s="268">
        <v>0.58970341294234596</v>
      </c>
      <c r="AN31" s="268">
        <v>9.9995545470730501E-2</v>
      </c>
    </row>
    <row r="32" spans="1:41" x14ac:dyDescent="0.2">
      <c r="B32" s="8">
        <v>26</v>
      </c>
      <c r="E32" s="8" t="s">
        <v>64</v>
      </c>
      <c r="F32" s="20"/>
      <c r="G32" s="268">
        <v>10.644390177958</v>
      </c>
      <c r="H32" s="268">
        <v>8.3263596405986906</v>
      </c>
      <c r="I32" s="268">
        <v>7.8826425839337597</v>
      </c>
      <c r="J32" s="268">
        <v>4.0571190083958797</v>
      </c>
      <c r="K32" s="268">
        <v>3.4503057449197501</v>
      </c>
      <c r="L32" s="268">
        <v>2.85421567415024</v>
      </c>
      <c r="M32" s="268">
        <v>19.276608077500001</v>
      </c>
      <c r="N32" s="268">
        <v>1.5333333333333301</v>
      </c>
      <c r="O32" s="268">
        <v>8.1815659940852807</v>
      </c>
      <c r="P32" s="268">
        <v>9.2040173052710799</v>
      </c>
      <c r="Q32" s="268">
        <v>7.0678243479838203</v>
      </c>
      <c r="R32" s="268">
        <v>11.6046574947166</v>
      </c>
      <c r="S32" s="268">
        <v>37.520891372595599</v>
      </c>
      <c r="T32" s="268">
        <v>0.149251336997546</v>
      </c>
      <c r="U32" s="268">
        <v>8.3995124956210199E-2</v>
      </c>
      <c r="V32" s="268">
        <v>5.7929822749546299E-2</v>
      </c>
      <c r="W32" s="268"/>
      <c r="X32" s="268" t="s">
        <v>50</v>
      </c>
      <c r="Y32" s="268">
        <v>18.246868800011601</v>
      </c>
      <c r="Z32" s="268">
        <v>16.956588536561501</v>
      </c>
      <c r="AA32" s="268">
        <v>8.8336676659081999</v>
      </c>
      <c r="AB32" s="268">
        <v>8.6262125880690697</v>
      </c>
      <c r="AC32" s="268">
        <v>7.8334514522794896</v>
      </c>
      <c r="AD32" s="268">
        <v>4.1616642888873203</v>
      </c>
      <c r="AE32" s="268">
        <v>20.094835780487799</v>
      </c>
      <c r="AF32" s="268">
        <v>2.1555555555555599</v>
      </c>
      <c r="AG32" s="268">
        <v>53.322087844952797</v>
      </c>
      <c r="AH32" s="268">
        <v>3.0307229368063502</v>
      </c>
      <c r="AI32" s="268">
        <v>-66.8341665503782</v>
      </c>
      <c r="AJ32" s="268">
        <v>66.902848220411201</v>
      </c>
      <c r="AK32" s="276">
        <v>272.596407831916</v>
      </c>
      <c r="AL32" s="268">
        <v>2.1236819241832699E-3</v>
      </c>
      <c r="AM32" s="268">
        <v>0.51515301931275403</v>
      </c>
      <c r="AN32" s="268">
        <v>0.939616157805509</v>
      </c>
    </row>
    <row r="33" spans="1:40" x14ac:dyDescent="0.2"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 t="s">
        <v>51</v>
      </c>
      <c r="Y33" s="268">
        <v>15.1656833635752</v>
      </c>
      <c r="Z33" s="268">
        <v>13.2488425542951</v>
      </c>
      <c r="AA33" s="268">
        <v>7.9099502290764097</v>
      </c>
      <c r="AB33" s="268">
        <v>6.6922434092401399</v>
      </c>
      <c r="AC33" s="268">
        <v>6.0320020288020197</v>
      </c>
      <c r="AD33" s="268">
        <v>3.3037413920348699</v>
      </c>
      <c r="AE33" s="268">
        <v>25.403507399999999</v>
      </c>
      <c r="AF33" s="268">
        <v>2.1555555555555599</v>
      </c>
      <c r="AG33" s="268">
        <v>83.263507651073297</v>
      </c>
      <c r="AH33" s="268">
        <v>4.0326161483470697</v>
      </c>
      <c r="AI33" s="268">
        <v>90.273949626977299</v>
      </c>
      <c r="AJ33" s="268">
        <v>90.363974980375502</v>
      </c>
      <c r="AK33" s="276">
        <v>87.442247919880998</v>
      </c>
      <c r="AL33" s="268">
        <v>0.94185362477488699</v>
      </c>
      <c r="AM33" s="268">
        <v>0.78892337542191004</v>
      </c>
      <c r="AN33" s="268">
        <v>5.3169115697361803E-2</v>
      </c>
    </row>
    <row r="34" spans="1:40" x14ac:dyDescent="0.2">
      <c r="E34" s="18" t="s">
        <v>55</v>
      </c>
      <c r="F34" s="18"/>
      <c r="G34" s="276">
        <f>AVERAGE(G7:G26)</f>
        <v>19.205616610807219</v>
      </c>
      <c r="H34" s="276">
        <f t="shared" ref="H34:L34" si="0">AVERAGE(H7:H26)</f>
        <v>16.555207100780926</v>
      </c>
      <c r="I34" s="276">
        <f t="shared" si="0"/>
        <v>9.8763897737523667</v>
      </c>
      <c r="J34" s="277">
        <f t="shared" si="0"/>
        <v>8.2382112928024931</v>
      </c>
      <c r="K34" s="276">
        <f t="shared" si="0"/>
        <v>7.2934501045429041</v>
      </c>
      <c r="L34" s="278">
        <f t="shared" si="0"/>
        <v>4.0798366309592264</v>
      </c>
      <c r="M34" s="276">
        <f t="shared" ref="M34:N34" si="1">AVERAGE(M7:M26)</f>
        <v>20.40966797589931</v>
      </c>
      <c r="N34" s="276">
        <f t="shared" si="1"/>
        <v>1.7616666666666656</v>
      </c>
      <c r="O34" s="276"/>
      <c r="P34" s="276"/>
      <c r="Q34" s="276"/>
      <c r="R34" s="276"/>
      <c r="S34" s="276"/>
      <c r="T34" s="276"/>
      <c r="U34" s="276"/>
      <c r="V34" s="276"/>
      <c r="W34" s="276"/>
      <c r="X34" s="276"/>
      <c r="Y34" s="276">
        <f>AVERAGE(Y7:Y26)</f>
        <v>20.135881345680588</v>
      </c>
      <c r="Z34" s="276">
        <f t="shared" ref="Z34:AD34" si="2">AVERAGE(Z7:Z26)</f>
        <v>16.993801544884427</v>
      </c>
      <c r="AA34" s="276">
        <f t="shared" si="2"/>
        <v>10.687500139682411</v>
      </c>
      <c r="AB34" s="277">
        <f t="shared" si="2"/>
        <v>9.723311522229535</v>
      </c>
      <c r="AC34" s="276">
        <f t="shared" si="2"/>
        <v>8.4120090569177002</v>
      </c>
      <c r="AD34" s="278">
        <f t="shared" si="2"/>
        <v>4.8656678125154755</v>
      </c>
      <c r="AE34" s="276">
        <f>AVERAGE(AE7:AE26)</f>
        <v>31.647696440713155</v>
      </c>
      <c r="AF34" s="276">
        <f t="shared" ref="AF34" si="3">AVERAGE(AF7:AF26)</f>
        <v>1.7055555555555553</v>
      </c>
      <c r="AG34" s="268"/>
      <c r="AH34" s="268"/>
      <c r="AI34" s="268"/>
      <c r="AJ34" s="268"/>
      <c r="AK34" s="268"/>
      <c r="AL34" s="268"/>
      <c r="AM34" s="268"/>
      <c r="AN34" s="268"/>
    </row>
    <row r="35" spans="1:40" x14ac:dyDescent="0.2">
      <c r="E35" s="8" t="s">
        <v>56</v>
      </c>
      <c r="G35" s="268">
        <f t="shared" ref="G35:M35" si="4">_xlfn.T.TEST(G7:G26,Y7:Y26,2,2)</f>
        <v>0.65069537876413674</v>
      </c>
      <c r="H35" s="268">
        <f t="shared" si="4"/>
        <v>0.80612521822500649</v>
      </c>
      <c r="I35" s="268">
        <f t="shared" si="4"/>
        <v>0.47792492947710807</v>
      </c>
      <c r="J35" s="279">
        <f t="shared" si="4"/>
        <v>3.118021173582082E-2</v>
      </c>
      <c r="K35" s="268">
        <f t="shared" si="4"/>
        <v>7.8633582422355824E-2</v>
      </c>
      <c r="L35" s="280">
        <f t="shared" si="4"/>
        <v>1.4849884138292694E-2</v>
      </c>
      <c r="M35" s="268">
        <f t="shared" si="4"/>
        <v>1.8041882820405952E-11</v>
      </c>
      <c r="N35" s="268">
        <f>_xlfn.T.TEST(N7:N26,AF7:AF26,1,1)</f>
        <v>8.2282729894786674E-2</v>
      </c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  <c r="AB35" s="268"/>
      <c r="AC35" s="268"/>
      <c r="AD35" s="268"/>
      <c r="AE35" s="268"/>
      <c r="AF35" s="268"/>
      <c r="AG35" s="268"/>
      <c r="AH35" s="268"/>
      <c r="AI35" s="268"/>
      <c r="AJ35" s="268"/>
      <c r="AK35" s="268"/>
      <c r="AL35" s="268"/>
      <c r="AM35" s="268"/>
      <c r="AN35" s="268"/>
    </row>
    <row r="36" spans="1:40" x14ac:dyDescent="0.2">
      <c r="E36" s="8" t="s">
        <v>87</v>
      </c>
      <c r="G36" s="268">
        <f>PEARSON($F7:$F26,G7:G26)</f>
        <v>-0.51439498274159978</v>
      </c>
      <c r="H36" s="268">
        <f t="shared" ref="H36:L36" si="5">PEARSON($F7:$F26,H7:H26)</f>
        <v>-0.53025237843672546</v>
      </c>
      <c r="I36" s="281">
        <f t="shared" si="5"/>
        <v>-0.59896253525793186</v>
      </c>
      <c r="J36" s="268">
        <f t="shared" si="5"/>
        <v>-0.14914596021470516</v>
      </c>
      <c r="K36" s="268">
        <f t="shared" si="5"/>
        <v>-0.15840275814164564</v>
      </c>
      <c r="L36" s="281">
        <f t="shared" si="5"/>
        <v>-0.2768607234939745</v>
      </c>
      <c r="M36" s="280">
        <f>PEARSON($F7:$F26,M7:M26)</f>
        <v>-0.25878387852241685</v>
      </c>
      <c r="N36" s="280">
        <f>PEARSON($F7:$F26,N7:N26)</f>
        <v>0.66058518246293785</v>
      </c>
      <c r="O36" s="280"/>
      <c r="P36" s="280"/>
      <c r="Q36" s="280"/>
      <c r="R36" s="280"/>
      <c r="S36" s="280"/>
      <c r="T36" s="280"/>
      <c r="U36" s="280"/>
      <c r="V36" s="280"/>
      <c r="W36" s="280"/>
      <c r="X36" s="268"/>
      <c r="Y36" s="268">
        <f>PEARSON($F7:$F26,Y7:Y26)</f>
        <v>-0.62984594259359505</v>
      </c>
      <c r="Z36" s="268">
        <f t="shared" ref="Z36:AD36" si="6">PEARSON($F7:$F26,Z7:Z26)</f>
        <v>-0.61277532994366202</v>
      </c>
      <c r="AA36" s="281">
        <f t="shared" si="6"/>
        <v>-0.75273078221611223</v>
      </c>
      <c r="AB36" s="268">
        <f t="shared" si="6"/>
        <v>-5.3435861050324752E-2</v>
      </c>
      <c r="AC36" s="268">
        <f t="shared" si="6"/>
        <v>-1.407985206521173E-2</v>
      </c>
      <c r="AD36" s="281">
        <f t="shared" si="6"/>
        <v>-0.25625533347016372</v>
      </c>
      <c r="AE36" s="280">
        <f>PEARSON($F7:$F26,AE7:AE26)</f>
        <v>-0.43734478156473955</v>
      </c>
      <c r="AF36" s="280">
        <f>PEARSON($F7:$F26,AF7:AF26)</f>
        <v>0.76845845202911545</v>
      </c>
      <c r="AG36" s="268"/>
      <c r="AH36" s="268"/>
      <c r="AI36" s="268"/>
      <c r="AJ36" s="268"/>
      <c r="AK36" s="268"/>
      <c r="AL36" s="268"/>
      <c r="AM36" s="268"/>
      <c r="AN36" s="268"/>
    </row>
    <row r="37" spans="1:40" x14ac:dyDescent="0.2"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268"/>
      <c r="AE37" s="268"/>
      <c r="AF37" s="268"/>
      <c r="AG37" s="268"/>
      <c r="AH37" s="268"/>
      <c r="AI37" s="268"/>
      <c r="AJ37" s="268"/>
      <c r="AK37" s="268"/>
      <c r="AL37" s="268"/>
      <c r="AM37" s="268"/>
      <c r="AN37" s="268"/>
    </row>
    <row r="38" spans="1:40" x14ac:dyDescent="0.2">
      <c r="E38" s="25" t="s">
        <v>95</v>
      </c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  <c r="AA38" s="268"/>
      <c r="AB38" s="268"/>
      <c r="AC38" s="268"/>
      <c r="AD38" s="268"/>
      <c r="AE38" s="268"/>
      <c r="AF38" s="268"/>
      <c r="AG38" s="268"/>
      <c r="AH38" s="268"/>
      <c r="AI38" s="268"/>
      <c r="AJ38" s="268"/>
      <c r="AK38" s="268"/>
      <c r="AL38" s="268"/>
      <c r="AM38" s="268"/>
      <c r="AN38" s="268"/>
    </row>
    <row r="39" spans="1:40" x14ac:dyDescent="0.2">
      <c r="F39" s="8" t="s">
        <v>85</v>
      </c>
      <c r="G39" s="268" t="s">
        <v>43</v>
      </c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 t="s">
        <v>52</v>
      </c>
      <c r="Z39" s="268"/>
      <c r="AA39" s="268"/>
      <c r="AB39" s="268"/>
      <c r="AC39" s="268"/>
      <c r="AD39" s="268"/>
      <c r="AE39" s="268"/>
      <c r="AF39" s="268"/>
      <c r="AG39" s="268"/>
      <c r="AH39" s="268"/>
      <c r="AI39" s="268"/>
      <c r="AJ39" s="268"/>
      <c r="AK39" s="268"/>
      <c r="AL39" s="268"/>
      <c r="AM39" s="268"/>
      <c r="AN39" s="268"/>
    </row>
    <row r="40" spans="1:40" x14ac:dyDescent="0.2">
      <c r="F40" s="8" t="s">
        <v>88</v>
      </c>
      <c r="G40" s="312" t="s">
        <v>156</v>
      </c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268"/>
      <c r="X40" s="268"/>
      <c r="Y40" s="312" t="s">
        <v>158</v>
      </c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  <c r="AK40" s="312"/>
      <c r="AL40" s="312"/>
      <c r="AM40" s="312"/>
      <c r="AN40" s="312"/>
    </row>
    <row r="41" spans="1:40" x14ac:dyDescent="0.2"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  <c r="AA41" s="268"/>
      <c r="AB41" s="268"/>
      <c r="AC41" s="268"/>
      <c r="AD41" s="268"/>
      <c r="AE41" s="268"/>
      <c r="AF41" s="268"/>
      <c r="AG41" s="268"/>
      <c r="AH41" s="268"/>
      <c r="AI41" s="268"/>
      <c r="AJ41" s="268"/>
      <c r="AK41" s="268"/>
      <c r="AL41" s="268"/>
      <c r="AM41" s="268"/>
      <c r="AN41" s="268"/>
    </row>
    <row r="42" spans="1:40" x14ac:dyDescent="0.2">
      <c r="C42" s="18" t="s">
        <v>100</v>
      </c>
      <c r="G42" s="314" t="s">
        <v>89</v>
      </c>
      <c r="H42" s="314"/>
      <c r="I42" s="314"/>
      <c r="J42" s="314" t="s">
        <v>90</v>
      </c>
      <c r="K42" s="314"/>
      <c r="L42" s="314"/>
      <c r="M42" s="268"/>
      <c r="N42" s="268"/>
      <c r="O42" s="314" t="s">
        <v>147</v>
      </c>
      <c r="P42" s="314"/>
      <c r="Q42" s="314"/>
      <c r="R42" s="314"/>
      <c r="S42" s="314"/>
      <c r="T42" s="268"/>
      <c r="U42" s="268"/>
      <c r="V42" s="268"/>
      <c r="W42" s="268"/>
      <c r="X42" s="268"/>
      <c r="Y42" s="314" t="s">
        <v>89</v>
      </c>
      <c r="Z42" s="314"/>
      <c r="AA42" s="314"/>
      <c r="AB42" s="314" t="s">
        <v>90</v>
      </c>
      <c r="AC42" s="314"/>
      <c r="AD42" s="314"/>
      <c r="AE42" s="268"/>
      <c r="AF42" s="268"/>
      <c r="AG42" s="314" t="s">
        <v>147</v>
      </c>
      <c r="AH42" s="314"/>
      <c r="AI42" s="314"/>
      <c r="AJ42" s="314"/>
      <c r="AK42" s="314"/>
      <c r="AL42" s="268"/>
      <c r="AM42" s="268"/>
      <c r="AN42" s="268"/>
    </row>
    <row r="43" spans="1:40" ht="38.25" x14ac:dyDescent="0.2">
      <c r="A43" s="1" t="s">
        <v>46</v>
      </c>
      <c r="B43" s="1" t="s">
        <v>47</v>
      </c>
      <c r="C43" s="57" t="s">
        <v>99</v>
      </c>
      <c r="D43" s="1"/>
      <c r="E43" s="1"/>
      <c r="F43" s="1" t="s">
        <v>86</v>
      </c>
      <c r="G43" s="269" t="s">
        <v>91</v>
      </c>
      <c r="H43" s="269" t="s">
        <v>92</v>
      </c>
      <c r="I43" s="282" t="s">
        <v>93</v>
      </c>
      <c r="J43" s="269" t="s">
        <v>91</v>
      </c>
      <c r="K43" s="269" t="s">
        <v>92</v>
      </c>
      <c r="L43" s="282" t="s">
        <v>93</v>
      </c>
      <c r="M43" s="269" t="s">
        <v>41</v>
      </c>
      <c r="N43" s="269" t="s">
        <v>40</v>
      </c>
      <c r="O43" s="269" t="s">
        <v>148</v>
      </c>
      <c r="P43" s="269" t="s">
        <v>149</v>
      </c>
      <c r="Q43" s="269" t="s">
        <v>150</v>
      </c>
      <c r="R43" s="269" t="s">
        <v>151</v>
      </c>
      <c r="S43" s="269" t="s">
        <v>152</v>
      </c>
      <c r="T43" s="269" t="s">
        <v>153</v>
      </c>
      <c r="U43" s="269" t="s">
        <v>154</v>
      </c>
      <c r="V43" s="269" t="s">
        <v>155</v>
      </c>
      <c r="W43" s="283" t="s">
        <v>183</v>
      </c>
      <c r="X43" s="269"/>
      <c r="Y43" s="269" t="s">
        <v>91</v>
      </c>
      <c r="Z43" s="269" t="s">
        <v>92</v>
      </c>
      <c r="AA43" s="282" t="s">
        <v>93</v>
      </c>
      <c r="AB43" s="269" t="s">
        <v>91</v>
      </c>
      <c r="AC43" s="269" t="s">
        <v>92</v>
      </c>
      <c r="AD43" s="282" t="s">
        <v>93</v>
      </c>
      <c r="AE43" s="269" t="s">
        <v>41</v>
      </c>
      <c r="AF43" s="269" t="s">
        <v>40</v>
      </c>
      <c r="AG43" s="269" t="s">
        <v>148</v>
      </c>
      <c r="AH43" s="269" t="s">
        <v>149</v>
      </c>
      <c r="AI43" s="269" t="s">
        <v>150</v>
      </c>
      <c r="AJ43" s="269" t="s">
        <v>151</v>
      </c>
      <c r="AK43" s="269" t="s">
        <v>152</v>
      </c>
      <c r="AL43" s="269" t="s">
        <v>153</v>
      </c>
      <c r="AM43" s="269" t="s">
        <v>154</v>
      </c>
      <c r="AN43" s="269" t="s">
        <v>155</v>
      </c>
    </row>
    <row r="44" spans="1:40" x14ac:dyDescent="0.2">
      <c r="A44" s="1">
        <v>2</v>
      </c>
      <c r="B44" s="1">
        <v>1</v>
      </c>
      <c r="C44" s="57" t="s">
        <v>65</v>
      </c>
      <c r="D44" s="1" t="s">
        <v>0</v>
      </c>
      <c r="E44" s="1" t="s">
        <v>1</v>
      </c>
      <c r="F44" s="22">
        <v>-2.35514</v>
      </c>
      <c r="G44" s="268">
        <v>22.801542298246499</v>
      </c>
      <c r="H44" s="268">
        <v>18.297379193143701</v>
      </c>
      <c r="I44" s="268">
        <v>14.2948313303476</v>
      </c>
      <c r="J44" s="268">
        <v>8.0884146464249103</v>
      </c>
      <c r="K44" s="268">
        <v>6.7049789528382702</v>
      </c>
      <c r="L44" s="268">
        <v>5.4310745663320299</v>
      </c>
      <c r="M44" s="268">
        <v>38.625817053225802</v>
      </c>
      <c r="N44" s="268">
        <v>0.31578947368421101</v>
      </c>
      <c r="O44" s="268">
        <v>25.820015171291999</v>
      </c>
      <c r="P44" s="268">
        <v>-19.085014950587901</v>
      </c>
      <c r="Q44" s="268">
        <v>16.182055834688299</v>
      </c>
      <c r="R44" s="268">
        <v>25.0219249199803</v>
      </c>
      <c r="S44" s="268">
        <v>139.705612624949</v>
      </c>
      <c r="T44" s="268">
        <v>0.17513109050222</v>
      </c>
      <c r="U44" s="268">
        <v>0.266514154180161</v>
      </c>
      <c r="V44" s="268">
        <v>0.147622117315372</v>
      </c>
      <c r="W44" s="268">
        <v>3.3550372206610799</v>
      </c>
      <c r="X44" s="269" t="s">
        <v>1</v>
      </c>
      <c r="Y44" s="268">
        <v>23.054496303246701</v>
      </c>
      <c r="Z44" s="268">
        <v>19.2112219941896</v>
      </c>
      <c r="AA44" s="268">
        <v>14.4075408683145</v>
      </c>
      <c r="AB44" s="268">
        <v>6.9683479818242802</v>
      </c>
      <c r="AC44" s="268">
        <v>5.2609230340068596</v>
      </c>
      <c r="AD44" s="268">
        <v>5.0045024473984903</v>
      </c>
      <c r="AE44" s="268">
        <v>24.668638874999999</v>
      </c>
      <c r="AF44" s="268">
        <v>0.47435897435897401</v>
      </c>
      <c r="AG44" s="268">
        <v>22.238638155220599</v>
      </c>
      <c r="AH44" s="268">
        <v>-19.113960889464099</v>
      </c>
      <c r="AI44" s="268">
        <v>13.3187121097465</v>
      </c>
      <c r="AJ44" s="268">
        <v>23.2966004632923</v>
      </c>
      <c r="AK44" s="268">
        <v>145.13100603496</v>
      </c>
      <c r="AL44" s="268">
        <v>0.15238357336365599</v>
      </c>
      <c r="AM44" s="268">
        <v>0.24685113006512399</v>
      </c>
      <c r="AN44" s="268">
        <v>0.13304996688661599</v>
      </c>
    </row>
    <row r="45" spans="1:40" x14ac:dyDescent="0.2">
      <c r="A45" s="1">
        <v>11</v>
      </c>
      <c r="B45" s="6">
        <v>2</v>
      </c>
      <c r="C45" s="58" t="s">
        <v>66</v>
      </c>
      <c r="D45" s="6" t="s">
        <v>2</v>
      </c>
      <c r="E45" s="6" t="s">
        <v>3</v>
      </c>
      <c r="F45" s="22">
        <v>0.56233999999999995</v>
      </c>
      <c r="G45" s="268">
        <v>18.916684498983901</v>
      </c>
      <c r="H45" s="268">
        <v>14.6678384962999</v>
      </c>
      <c r="I45" s="268">
        <v>10.2754873730442</v>
      </c>
      <c r="J45" s="268">
        <v>11.1053462593757</v>
      </c>
      <c r="K45" s="268">
        <v>9.7552716331708709</v>
      </c>
      <c r="L45" s="268">
        <v>5.3210504268844998</v>
      </c>
      <c r="M45" s="268">
        <v>34.920580487499997</v>
      </c>
      <c r="N45" s="268">
        <v>1.3947368421052599</v>
      </c>
      <c r="O45" s="268">
        <v>69.235675564823794</v>
      </c>
      <c r="P45" s="268">
        <v>-38.257146081620697</v>
      </c>
      <c r="Q45" s="268">
        <v>38.388948270039897</v>
      </c>
      <c r="R45" s="268">
        <v>54.197053200245698</v>
      </c>
      <c r="S45" s="268">
        <v>134.90147310509201</v>
      </c>
      <c r="T45" s="268">
        <v>0.54539193934968999</v>
      </c>
      <c r="U45" s="268">
        <v>0.71961569869248498</v>
      </c>
      <c r="V45" s="268">
        <v>0.39581499449319701</v>
      </c>
      <c r="W45" s="268">
        <v>7.0451344872786796</v>
      </c>
      <c r="X45" s="270" t="s">
        <v>3</v>
      </c>
      <c r="Y45" s="268">
        <v>21.501883122755299</v>
      </c>
      <c r="Z45" s="268">
        <v>17.748864055811602</v>
      </c>
      <c r="AA45" s="268">
        <v>10.7888712606909</v>
      </c>
      <c r="AB45" s="268">
        <v>10.712655208998701</v>
      </c>
      <c r="AC45" s="268">
        <v>9.0478623766252699</v>
      </c>
      <c r="AD45" s="268">
        <v>5.3882475435633301</v>
      </c>
      <c r="AE45" s="268">
        <v>22.065990750000001</v>
      </c>
      <c r="AF45" s="268">
        <v>1.3974358974359</v>
      </c>
      <c r="AG45" s="268">
        <v>69.337520654400606</v>
      </c>
      <c r="AH45" s="268">
        <v>-40.196250411240001</v>
      </c>
      <c r="AI45" s="268">
        <v>42.094653342222998</v>
      </c>
      <c r="AJ45" s="268">
        <v>58.203937900498097</v>
      </c>
      <c r="AK45" s="268">
        <v>133.678454347268</v>
      </c>
      <c r="AL45" s="268">
        <v>0.54042408954688304</v>
      </c>
      <c r="AM45" s="268">
        <v>0.72738929289277299</v>
      </c>
      <c r="AN45" s="268">
        <v>0.37305489712994</v>
      </c>
    </row>
    <row r="46" spans="1:40" x14ac:dyDescent="0.2">
      <c r="A46" s="1">
        <v>12</v>
      </c>
      <c r="B46" s="6">
        <v>3</v>
      </c>
      <c r="C46" s="58" t="s">
        <v>67</v>
      </c>
      <c r="D46" s="6" t="s">
        <v>4</v>
      </c>
      <c r="E46" s="6" t="s">
        <v>5</v>
      </c>
      <c r="F46" s="22">
        <v>0.52093</v>
      </c>
      <c r="G46" s="268">
        <v>19.719531188020898</v>
      </c>
      <c r="H46" s="268">
        <v>15.9961813724292</v>
      </c>
      <c r="I46" s="268">
        <v>10.2772096940736</v>
      </c>
      <c r="J46" s="268">
        <v>9.3285291526925995</v>
      </c>
      <c r="K46" s="268">
        <v>8.7722909423026394</v>
      </c>
      <c r="L46" s="268">
        <v>4.0854139022812799</v>
      </c>
      <c r="M46" s="268">
        <v>33.526339490540501</v>
      </c>
      <c r="N46" s="268">
        <v>1.4736842105263199</v>
      </c>
      <c r="O46" s="268">
        <v>25.584676165183499</v>
      </c>
      <c r="P46" s="268">
        <v>-40.794697421753803</v>
      </c>
      <c r="Q46" s="268">
        <v>28.525802764376699</v>
      </c>
      <c r="R46" s="268">
        <v>49.778798308964497</v>
      </c>
      <c r="S46" s="268">
        <v>145.03672580304399</v>
      </c>
      <c r="T46" s="268">
        <v>0.102933731431272</v>
      </c>
      <c r="U46" s="268">
        <v>0.29531292038621199</v>
      </c>
      <c r="V46" s="268">
        <v>5.9239536272156099E-2</v>
      </c>
      <c r="W46" s="268">
        <v>6.5153340501106802</v>
      </c>
      <c r="X46" s="270" t="s">
        <v>5</v>
      </c>
      <c r="Y46" s="268">
        <v>20.673767763174599</v>
      </c>
      <c r="Z46" s="268">
        <v>17.240061830583301</v>
      </c>
      <c r="AA46" s="268">
        <v>10.200089166837</v>
      </c>
      <c r="AB46" s="268">
        <v>7.8558817846723699</v>
      </c>
      <c r="AC46" s="268">
        <v>7.2465315763925799</v>
      </c>
      <c r="AD46" s="268">
        <v>3.6283800610024302</v>
      </c>
      <c r="AE46" s="268">
        <v>24.659982858108101</v>
      </c>
      <c r="AF46" s="268">
        <v>1.2307692307692299</v>
      </c>
      <c r="AG46" s="268">
        <v>23.708103078800299</v>
      </c>
      <c r="AH46" s="268">
        <v>-41.701238525263499</v>
      </c>
      <c r="AI46" s="268">
        <v>27.411046582895199</v>
      </c>
      <c r="AJ46" s="268">
        <v>49.903494560106402</v>
      </c>
      <c r="AK46" s="268">
        <v>146.682292334175</v>
      </c>
      <c r="AL46" s="268">
        <v>6.9985026593763405E-2</v>
      </c>
      <c r="AM46" s="268">
        <v>0.27568988286187102</v>
      </c>
      <c r="AN46" s="268">
        <v>4.1849938479094302E-2</v>
      </c>
    </row>
    <row r="47" spans="1:40" x14ac:dyDescent="0.2">
      <c r="A47" s="1">
        <v>18</v>
      </c>
      <c r="B47" s="5">
        <v>4</v>
      </c>
      <c r="C47" s="59" t="s">
        <v>68</v>
      </c>
      <c r="D47" s="5" t="s">
        <v>6</v>
      </c>
      <c r="E47" s="5" t="s">
        <v>7</v>
      </c>
      <c r="F47" s="22">
        <v>0.74853999999999998</v>
      </c>
      <c r="G47" s="268">
        <v>16.844103142198101</v>
      </c>
      <c r="H47" s="268">
        <v>14.064148008579201</v>
      </c>
      <c r="I47" s="268">
        <v>9.2274403588561107</v>
      </c>
      <c r="J47" s="268">
        <v>11.057586978636399</v>
      </c>
      <c r="K47" s="268">
        <v>9.6745644447419394</v>
      </c>
      <c r="L47" s="268">
        <v>5.8179474579557899</v>
      </c>
      <c r="M47" s="268">
        <v>29.734623713157902</v>
      </c>
      <c r="N47" s="268">
        <v>1.9605263157894699</v>
      </c>
      <c r="O47" s="268">
        <v>58.131974725084902</v>
      </c>
      <c r="P47" s="268">
        <v>47.312592258511103</v>
      </c>
      <c r="Q47" s="268">
        <v>61.7859073202197</v>
      </c>
      <c r="R47" s="268">
        <v>77.820175594783294</v>
      </c>
      <c r="S47" s="268">
        <v>52.556893755648403</v>
      </c>
      <c r="T47" s="268">
        <v>0.79991121040224999</v>
      </c>
      <c r="U47" s="268">
        <v>0.38769500391151002</v>
      </c>
      <c r="V47" s="268">
        <v>0.11146758743480099</v>
      </c>
      <c r="W47" s="268">
        <v>3.2430915394497899</v>
      </c>
      <c r="X47" s="271" t="s">
        <v>7</v>
      </c>
      <c r="Y47" s="268">
        <v>17.222377930137199</v>
      </c>
      <c r="Z47" s="268">
        <v>15.218768137452701</v>
      </c>
      <c r="AA47" s="268">
        <v>8.8334997139649101</v>
      </c>
      <c r="AB47" s="268">
        <v>8.1934538211833008</v>
      </c>
      <c r="AC47" s="268">
        <v>6.8311764648862603</v>
      </c>
      <c r="AD47" s="268">
        <v>4.8619991488796801</v>
      </c>
      <c r="AE47" s="268">
        <v>20.198454121794899</v>
      </c>
      <c r="AF47" s="268">
        <v>1.8333333333333299</v>
      </c>
      <c r="AG47" s="268">
        <v>57.166040145060997</v>
      </c>
      <c r="AH47" s="268">
        <v>49.754087383492497</v>
      </c>
      <c r="AI47" s="268">
        <v>62.206609954731903</v>
      </c>
      <c r="AJ47" s="268">
        <v>79.656333919057303</v>
      </c>
      <c r="AK47" s="268">
        <v>51.346482763771903</v>
      </c>
      <c r="AL47" s="268">
        <v>0.79716157591300996</v>
      </c>
      <c r="AM47" s="268">
        <v>0.370295431505894</v>
      </c>
      <c r="AN47" s="268">
        <v>9.7101582747494405E-2</v>
      </c>
    </row>
    <row r="48" spans="1:40" x14ac:dyDescent="0.2">
      <c r="A48" s="1">
        <v>15</v>
      </c>
      <c r="B48" s="3">
        <v>5</v>
      </c>
      <c r="C48" s="60" t="s">
        <v>84</v>
      </c>
      <c r="D48" s="3" t="s">
        <v>8</v>
      </c>
      <c r="E48" s="3" t="s">
        <v>9</v>
      </c>
      <c r="F48" s="22">
        <v>0.56233999999999995</v>
      </c>
      <c r="G48" s="268">
        <v>15.609791395749999</v>
      </c>
      <c r="H48" s="268">
        <v>13.5166169340061</v>
      </c>
      <c r="I48" s="268">
        <v>6.7926903892994099</v>
      </c>
      <c r="J48" s="268">
        <v>7.8419366499660699</v>
      </c>
      <c r="K48" s="268">
        <v>6.9830481291013902</v>
      </c>
      <c r="L48" s="268">
        <v>3.5082134835530998</v>
      </c>
      <c r="M48" s="268">
        <v>29.886750844736898</v>
      </c>
      <c r="N48" s="268">
        <v>2.1578947368421102</v>
      </c>
      <c r="O48" s="268">
        <v>79.960960028916901</v>
      </c>
      <c r="P48" s="268">
        <v>8.57256868515279</v>
      </c>
      <c r="Q48" s="268">
        <v>80.004767503200597</v>
      </c>
      <c r="R48" s="268">
        <v>80.462735207690102</v>
      </c>
      <c r="S48" s="268">
        <v>83.884050865932906</v>
      </c>
      <c r="T48" s="268">
        <v>0.91846780652675097</v>
      </c>
      <c r="U48" s="268">
        <v>0.74245963978406104</v>
      </c>
      <c r="V48" s="268">
        <v>0.13721882698506899</v>
      </c>
      <c r="W48" s="268">
        <v>2.1341445553513898</v>
      </c>
      <c r="X48" s="272" t="s">
        <v>9</v>
      </c>
      <c r="Y48" s="268">
        <v>14.793498583213401</v>
      </c>
      <c r="Z48" s="268">
        <v>12.3282410654672</v>
      </c>
      <c r="AA48" s="268">
        <v>7.4537107588169196</v>
      </c>
      <c r="AB48" s="268">
        <v>7.1987213831861503</v>
      </c>
      <c r="AC48" s="268">
        <v>6.3454838884501799</v>
      </c>
      <c r="AD48" s="268">
        <v>3.6913361225427699</v>
      </c>
      <c r="AE48" s="268">
        <v>21.7731033846154</v>
      </c>
      <c r="AF48" s="268">
        <v>1.94871794871795</v>
      </c>
      <c r="AG48" s="268">
        <v>79.080703519057295</v>
      </c>
      <c r="AH48" s="268">
        <v>8.5204178673043494</v>
      </c>
      <c r="AI48" s="268">
        <v>82.372668774208705</v>
      </c>
      <c r="AJ48" s="268">
        <v>82.812161435497998</v>
      </c>
      <c r="AK48" s="268">
        <v>84.094473242668897</v>
      </c>
      <c r="AL48" s="268">
        <v>0.915201466324992</v>
      </c>
      <c r="AM48" s="268">
        <v>0.73659751290144504</v>
      </c>
      <c r="AN48" s="268">
        <v>0.10649679930636601</v>
      </c>
    </row>
    <row r="49" spans="1:40" x14ac:dyDescent="0.2">
      <c r="A49" s="1">
        <v>3</v>
      </c>
      <c r="B49" s="2">
        <v>6</v>
      </c>
      <c r="C49" s="61" t="s">
        <v>69</v>
      </c>
      <c r="D49" s="2" t="s">
        <v>10</v>
      </c>
      <c r="E49" s="2" t="s">
        <v>11</v>
      </c>
      <c r="F49" s="22">
        <v>-2.2364700000000002</v>
      </c>
      <c r="G49" s="268">
        <v>32.6949822186643</v>
      </c>
      <c r="H49" s="268">
        <v>26.611624454609402</v>
      </c>
      <c r="I49" s="268">
        <v>16.991509043564299</v>
      </c>
      <c r="J49" s="268">
        <v>11.9041259683348</v>
      </c>
      <c r="K49" s="268">
        <v>10.153387734115</v>
      </c>
      <c r="L49" s="268">
        <v>5.5654027284960303</v>
      </c>
      <c r="M49" s="268">
        <v>47.365477467741997</v>
      </c>
      <c r="N49" s="268">
        <v>0.73684210526315796</v>
      </c>
      <c r="O49" s="268">
        <v>33.562018857159103</v>
      </c>
      <c r="P49" s="268">
        <v>16.607700079736901</v>
      </c>
      <c r="Q49" s="268">
        <v>-51.411048993307098</v>
      </c>
      <c r="R49" s="268">
        <v>54.0269530931619</v>
      </c>
      <c r="S49" s="268">
        <v>287.90240556270697</v>
      </c>
      <c r="T49" s="268">
        <v>9.1467513891971303E-2</v>
      </c>
      <c r="U49" s="268">
        <v>0.30038787064404598</v>
      </c>
      <c r="V49" s="268">
        <v>0.62677940763242002</v>
      </c>
      <c r="W49" s="268">
        <v>4.5985628004736299</v>
      </c>
      <c r="X49" s="273" t="s">
        <v>11</v>
      </c>
      <c r="Y49" s="268">
        <v>33.138224669395697</v>
      </c>
      <c r="Z49" s="268">
        <v>27.6796171692969</v>
      </c>
      <c r="AA49" s="268">
        <v>17.669337730281999</v>
      </c>
      <c r="AB49" s="268">
        <v>11.515476813194301</v>
      </c>
      <c r="AC49" s="268">
        <v>10.2039173746766</v>
      </c>
      <c r="AD49" s="268">
        <v>5.5549576776796403</v>
      </c>
      <c r="AE49" s="268">
        <v>24.0719083319444</v>
      </c>
      <c r="AF49" s="268">
        <v>0.67948717948717996</v>
      </c>
      <c r="AG49" s="268">
        <v>35.866972935443698</v>
      </c>
      <c r="AH49" s="268">
        <v>13.162328833902899</v>
      </c>
      <c r="AI49" s="268">
        <v>-50.846837440506398</v>
      </c>
      <c r="AJ49" s="268">
        <v>52.522831016930901</v>
      </c>
      <c r="AK49" s="268">
        <v>284.513140925274</v>
      </c>
      <c r="AL49" s="268">
        <v>6.4897018663919795E-2</v>
      </c>
      <c r="AM49" s="268">
        <v>0.30549917469846999</v>
      </c>
      <c r="AN49" s="268">
        <v>0.63240374642465602</v>
      </c>
    </row>
    <row r="50" spans="1:40" x14ac:dyDescent="0.2">
      <c r="A50" s="1">
        <v>20</v>
      </c>
      <c r="B50" s="1">
        <v>7</v>
      </c>
      <c r="C50" s="1" t="s">
        <v>70</v>
      </c>
      <c r="D50" s="1" t="s">
        <v>12</v>
      </c>
      <c r="E50" s="1" t="s">
        <v>13</v>
      </c>
      <c r="F50" s="22">
        <v>-0.98294000000000004</v>
      </c>
      <c r="G50" s="268">
        <v>18.523251648703599</v>
      </c>
      <c r="H50" s="268">
        <v>16.466477857960001</v>
      </c>
      <c r="I50" s="268">
        <v>8.6643117845137301</v>
      </c>
      <c r="J50" s="268">
        <v>9.6680161362149803</v>
      </c>
      <c r="K50" s="268">
        <v>8.9457780221558902</v>
      </c>
      <c r="L50" s="268">
        <v>3.7749427332324701</v>
      </c>
      <c r="M50" s="268">
        <v>30.3763022594595</v>
      </c>
      <c r="N50" s="268">
        <v>1.98684210526316</v>
      </c>
      <c r="O50" s="268">
        <v>62.083567045748801</v>
      </c>
      <c r="P50" s="268">
        <v>69.198167869120994</v>
      </c>
      <c r="Q50" s="268">
        <v>-1.4338630056905499</v>
      </c>
      <c r="R50" s="268">
        <v>69.213021893009</v>
      </c>
      <c r="S50" s="268">
        <v>358.81293759448602</v>
      </c>
      <c r="T50" s="268">
        <v>0.87322448639303796</v>
      </c>
      <c r="U50" s="268">
        <v>0.31250018084363901</v>
      </c>
      <c r="V50" s="268">
        <v>0.59965992239162302</v>
      </c>
      <c r="W50" s="268">
        <v>5.7876786064614603</v>
      </c>
      <c r="X50" s="269" t="s">
        <v>13</v>
      </c>
      <c r="Y50" s="268">
        <v>19.772236247622001</v>
      </c>
      <c r="Z50" s="268">
        <v>18.0028107282047</v>
      </c>
      <c r="AA50" s="268">
        <v>8.6472946136009803</v>
      </c>
      <c r="AB50" s="268">
        <v>6.2050329186741999</v>
      </c>
      <c r="AC50" s="268">
        <v>5.2018724428913599</v>
      </c>
      <c r="AD50" s="268">
        <v>3.0713544540153501</v>
      </c>
      <c r="AE50" s="268">
        <v>22.644126001351399</v>
      </c>
      <c r="AF50" s="268">
        <v>1.9358974358974399</v>
      </c>
      <c r="AG50" s="268">
        <v>61.669920107421198</v>
      </c>
      <c r="AH50" s="268">
        <v>73.865839288728594</v>
      </c>
      <c r="AI50" s="268">
        <v>0.396003246974379</v>
      </c>
      <c r="AJ50" s="268">
        <v>73.8669007905428</v>
      </c>
      <c r="AK50" s="268">
        <v>0.30716631086792801</v>
      </c>
      <c r="AL50" s="268">
        <v>0.88984411227186799</v>
      </c>
      <c r="AM50" s="268">
        <v>0.26140855192175</v>
      </c>
      <c r="AN50" s="268">
        <v>0.57944422428203801</v>
      </c>
    </row>
    <row r="51" spans="1:40" x14ac:dyDescent="0.2">
      <c r="A51" s="1">
        <v>19</v>
      </c>
      <c r="B51" s="5">
        <v>8</v>
      </c>
      <c r="C51" s="5" t="s">
        <v>71</v>
      </c>
      <c r="D51" s="5" t="s">
        <v>14</v>
      </c>
      <c r="E51" s="5" t="s">
        <v>15</v>
      </c>
      <c r="F51" s="22">
        <v>-0.38529999999999998</v>
      </c>
      <c r="G51" s="268">
        <v>17.418429367046802</v>
      </c>
      <c r="H51" s="268">
        <v>14.1462353351271</v>
      </c>
      <c r="I51" s="268">
        <v>9.6377513093348792</v>
      </c>
      <c r="J51" s="268">
        <v>8.6043800566767299</v>
      </c>
      <c r="K51" s="268">
        <v>7.7020795428043201</v>
      </c>
      <c r="L51" s="268">
        <v>4.2602275112654704</v>
      </c>
      <c r="M51" s="268">
        <v>27.872928868421099</v>
      </c>
      <c r="N51" s="268">
        <v>2.0394736842105301</v>
      </c>
      <c r="O51" s="268">
        <v>63.587216172749201</v>
      </c>
      <c r="P51" s="268">
        <v>45.413298196126398</v>
      </c>
      <c r="Q51" s="268">
        <v>68.882946626824094</v>
      </c>
      <c r="R51" s="268">
        <v>82.505926993423898</v>
      </c>
      <c r="S51" s="268">
        <v>56.603847552285899</v>
      </c>
      <c r="T51" s="268">
        <v>0.86971429729546101</v>
      </c>
      <c r="U51" s="268">
        <v>0.45749676276960799</v>
      </c>
      <c r="V51" s="268">
        <v>0.100854550199976</v>
      </c>
      <c r="W51" s="268">
        <v>2.6753658591979899</v>
      </c>
      <c r="X51" s="271" t="s">
        <v>15</v>
      </c>
      <c r="Y51" s="268">
        <v>15.590780031940101</v>
      </c>
      <c r="Z51" s="268">
        <v>13.253239308037699</v>
      </c>
      <c r="AA51" s="268">
        <v>8.5613215788339492</v>
      </c>
      <c r="AB51" s="268">
        <v>8.1705143490924996</v>
      </c>
      <c r="AC51" s="268">
        <v>7.0717785739996204</v>
      </c>
      <c r="AD51" s="268">
        <v>4.4259290547961996</v>
      </c>
      <c r="AE51" s="268">
        <v>17.749738996153798</v>
      </c>
      <c r="AF51" s="268">
        <v>2.0769230769230802</v>
      </c>
      <c r="AG51" s="268">
        <v>61.7888812067659</v>
      </c>
      <c r="AH51" s="268">
        <v>48.921365463851998</v>
      </c>
      <c r="AI51" s="268">
        <v>69.631999391630302</v>
      </c>
      <c r="AJ51" s="268">
        <v>85.099443817946096</v>
      </c>
      <c r="AK51" s="268">
        <v>54.909267050471797</v>
      </c>
      <c r="AL51" s="268">
        <v>0.84985884341685503</v>
      </c>
      <c r="AM51" s="268">
        <v>0.41378215568034998</v>
      </c>
      <c r="AN51" s="268">
        <v>6.0133312963521098E-2</v>
      </c>
    </row>
    <row r="52" spans="1:40" x14ac:dyDescent="0.2">
      <c r="A52" s="1">
        <v>7</v>
      </c>
      <c r="B52" s="4">
        <v>9</v>
      </c>
      <c r="C52" s="4" t="s">
        <v>72</v>
      </c>
      <c r="D52" s="4" t="s">
        <v>16</v>
      </c>
      <c r="E52" s="4" t="s">
        <v>17</v>
      </c>
      <c r="F52" s="22">
        <v>-1.6199300000000001</v>
      </c>
      <c r="G52" s="268">
        <v>19.2206658770823</v>
      </c>
      <c r="H52" s="268">
        <v>15.3648819159905</v>
      </c>
      <c r="I52" s="268">
        <v>11.032252040314599</v>
      </c>
      <c r="J52" s="268">
        <v>7.2886900154451499</v>
      </c>
      <c r="K52" s="268">
        <v>6.2151614149046903</v>
      </c>
      <c r="L52" s="268">
        <v>3.6567984382290901</v>
      </c>
      <c r="M52" s="268">
        <v>35.747162025000002</v>
      </c>
      <c r="N52" s="268">
        <v>1.6184210526315801</v>
      </c>
      <c r="O52" s="268">
        <v>39.499531613649303</v>
      </c>
      <c r="P52" s="268">
        <v>63.533406872111598</v>
      </c>
      <c r="Q52" s="268">
        <v>45.0264210298199</v>
      </c>
      <c r="R52" s="268">
        <v>77.870869903526099</v>
      </c>
      <c r="S52" s="268">
        <v>35.325377903237197</v>
      </c>
      <c r="T52" s="268">
        <v>0.63642504925781296</v>
      </c>
      <c r="U52" s="268">
        <v>1.6799302049571599E-2</v>
      </c>
      <c r="V52" s="268">
        <v>8.3910060548718801E-2</v>
      </c>
      <c r="W52" s="268">
        <v>3.1492480942588599</v>
      </c>
      <c r="X52" s="274" t="s">
        <v>17</v>
      </c>
      <c r="Y52" s="268">
        <v>19.3940779708261</v>
      </c>
      <c r="Z52" s="268">
        <v>16.223276775628602</v>
      </c>
      <c r="AA52" s="268">
        <v>10.336735252970399</v>
      </c>
      <c r="AB52" s="268">
        <v>6.3935321441496402</v>
      </c>
      <c r="AC52" s="268">
        <v>5.6191422492418699</v>
      </c>
      <c r="AD52" s="268">
        <v>3.15464973347658</v>
      </c>
      <c r="AE52" s="268">
        <v>20.095763948611101</v>
      </c>
      <c r="AF52" s="268">
        <v>1.6410256410256401</v>
      </c>
      <c r="AG52" s="268">
        <v>37.852840290127801</v>
      </c>
      <c r="AH52" s="268">
        <v>61.931260216918702</v>
      </c>
      <c r="AI52" s="268">
        <v>45.119596649930301</v>
      </c>
      <c r="AJ52" s="268">
        <v>76.624141064732996</v>
      </c>
      <c r="AK52" s="268">
        <v>36.074953878887897</v>
      </c>
      <c r="AL52" s="268">
        <v>0.61131972699221604</v>
      </c>
      <c r="AM52" s="268">
        <v>1.00864963832638E-2</v>
      </c>
      <c r="AN52" s="268">
        <v>6.8252633126789197E-2</v>
      </c>
    </row>
    <row r="53" spans="1:40" x14ac:dyDescent="0.2">
      <c r="A53" s="1">
        <v>8</v>
      </c>
      <c r="B53" s="4">
        <v>10</v>
      </c>
      <c r="C53" s="62" t="s">
        <v>73</v>
      </c>
      <c r="D53" s="4" t="s">
        <v>18</v>
      </c>
      <c r="E53" s="4" t="s">
        <v>19</v>
      </c>
      <c r="F53" s="22">
        <v>0.83131999999999995</v>
      </c>
      <c r="G53" s="268">
        <v>18.7607682629613</v>
      </c>
      <c r="H53" s="268">
        <v>15.329176161135001</v>
      </c>
      <c r="I53" s="268">
        <v>10.4855832818309</v>
      </c>
      <c r="J53" s="268">
        <v>7.7413247421837301</v>
      </c>
      <c r="K53" s="268">
        <v>6.47102678102054</v>
      </c>
      <c r="L53" s="268">
        <v>4.3412605441080903</v>
      </c>
      <c r="M53" s="268">
        <v>38.881370502702701</v>
      </c>
      <c r="N53" s="268">
        <v>1.2763157894736801</v>
      </c>
      <c r="O53" s="268">
        <v>43.979111519614399</v>
      </c>
      <c r="P53" s="268">
        <v>66.970279489102793</v>
      </c>
      <c r="Q53" s="268">
        <v>42.839579237956599</v>
      </c>
      <c r="R53" s="268">
        <v>79.499986692663697</v>
      </c>
      <c r="S53" s="268">
        <v>32.606252926099003</v>
      </c>
      <c r="T53" s="268">
        <v>0.69020491718721499</v>
      </c>
      <c r="U53" s="268">
        <v>4.9503185649649097E-2</v>
      </c>
      <c r="V53" s="268">
        <v>0.145887222514438</v>
      </c>
      <c r="W53" s="268">
        <v>3.85010497001729</v>
      </c>
      <c r="X53" s="274" t="s">
        <v>19</v>
      </c>
      <c r="Y53" s="268">
        <v>20.565298118689</v>
      </c>
      <c r="Z53" s="268">
        <v>16.854180997799499</v>
      </c>
      <c r="AA53" s="268">
        <v>11.6316909805969</v>
      </c>
      <c r="AB53" s="268">
        <v>9.35883617653265</v>
      </c>
      <c r="AC53" s="268">
        <v>7.9523178236691203</v>
      </c>
      <c r="AD53" s="268">
        <v>5.0945581491151302</v>
      </c>
      <c r="AE53" s="268">
        <v>20.362757178378398</v>
      </c>
      <c r="AF53" s="268">
        <v>1.2692307692307701</v>
      </c>
      <c r="AG53" s="268">
        <v>42.365938692822901</v>
      </c>
      <c r="AH53" s="268">
        <v>65.235946362017899</v>
      </c>
      <c r="AI53" s="268">
        <v>40.479206290991399</v>
      </c>
      <c r="AJ53" s="268">
        <v>76.774311066246099</v>
      </c>
      <c r="AK53" s="268">
        <v>31.819792789132801</v>
      </c>
      <c r="AL53" s="268">
        <v>0.68368022744795798</v>
      </c>
      <c r="AM53" s="268">
        <v>4.9666226206749403E-2</v>
      </c>
      <c r="AN53" s="268">
        <v>0.15029451566760799</v>
      </c>
    </row>
    <row r="54" spans="1:40" x14ac:dyDescent="0.2">
      <c r="A54" s="1">
        <v>1</v>
      </c>
      <c r="B54" s="7">
        <v>11</v>
      </c>
      <c r="C54" s="7" t="s">
        <v>74</v>
      </c>
      <c r="D54" s="7" t="s">
        <v>20</v>
      </c>
      <c r="E54" s="7" t="s">
        <v>21</v>
      </c>
      <c r="F54" s="22">
        <v>0.45610000000000001</v>
      </c>
      <c r="G54" s="268">
        <v>26.774924683107699</v>
      </c>
      <c r="H54" s="268">
        <v>24.3426602528797</v>
      </c>
      <c r="I54" s="268">
        <v>11.038750889813601</v>
      </c>
      <c r="J54" s="268">
        <v>8.4405857109263902</v>
      </c>
      <c r="K54" s="268">
        <v>8.0417110989259903</v>
      </c>
      <c r="L54" s="268">
        <v>3.4119929879945099</v>
      </c>
      <c r="M54" s="268">
        <v>44.277455096052599</v>
      </c>
      <c r="N54" s="268">
        <v>1.3815789473684199</v>
      </c>
      <c r="O54" s="268">
        <v>15.4031137744921</v>
      </c>
      <c r="P54" s="268">
        <v>35.624660569385497</v>
      </c>
      <c r="Q54" s="268">
        <v>-37.131264618231803</v>
      </c>
      <c r="R54" s="268">
        <v>51.457237127862598</v>
      </c>
      <c r="S54" s="268">
        <v>313.81370874115601</v>
      </c>
      <c r="T54" s="268">
        <v>0.19777304424378001</v>
      </c>
      <c r="U54" s="268">
        <v>4.3191219327266397E-2</v>
      </c>
      <c r="V54" s="268">
        <v>0.361024689143774</v>
      </c>
      <c r="W54" s="268">
        <v>6.6836625085783501</v>
      </c>
      <c r="X54" s="275" t="s">
        <v>21</v>
      </c>
      <c r="Y54" s="268">
        <v>28.7959723598258</v>
      </c>
      <c r="Z54" s="268">
        <v>25.179993503453598</v>
      </c>
      <c r="AA54" s="268">
        <v>12.3308782901029</v>
      </c>
      <c r="AB54" s="268">
        <v>8.2664891727324807</v>
      </c>
      <c r="AC54" s="268">
        <v>7.53362020549232</v>
      </c>
      <c r="AD54" s="268">
        <v>3.76112206210711</v>
      </c>
      <c r="AE54" s="268">
        <v>26.639600732894699</v>
      </c>
      <c r="AF54" s="268">
        <v>1.5384615384615401</v>
      </c>
      <c r="AG54" s="268">
        <v>16.843807007598802</v>
      </c>
      <c r="AH54" s="268">
        <v>36.496930303974402</v>
      </c>
      <c r="AI54" s="268">
        <v>-38.075331240275801</v>
      </c>
      <c r="AJ54" s="268">
        <v>52.7423622022174</v>
      </c>
      <c r="AK54" s="268">
        <v>313.78745516553897</v>
      </c>
      <c r="AL54" s="268">
        <v>0.21858707141994499</v>
      </c>
      <c r="AM54" s="268">
        <v>5.46329631790178E-2</v>
      </c>
      <c r="AN54" s="268">
        <v>0.39231741177068302</v>
      </c>
    </row>
    <row r="55" spans="1:40" x14ac:dyDescent="0.2">
      <c r="A55" s="1">
        <v>16</v>
      </c>
      <c r="B55" s="3">
        <v>12</v>
      </c>
      <c r="C55" s="3" t="s">
        <v>75</v>
      </c>
      <c r="D55" s="3" t="s">
        <v>22</v>
      </c>
      <c r="E55" s="3" t="s">
        <v>23</v>
      </c>
      <c r="F55" s="22">
        <v>0.83408000000000004</v>
      </c>
      <c r="G55" s="268">
        <v>19.258993630897599</v>
      </c>
      <c r="H55" s="268">
        <v>15.1618277579453</v>
      </c>
      <c r="I55" s="268">
        <v>9.2840196198185101</v>
      </c>
      <c r="J55" s="268">
        <v>9.2952480452381092</v>
      </c>
      <c r="K55" s="268">
        <v>7.6404836744289204</v>
      </c>
      <c r="L55" s="268">
        <v>4.5343571987591798</v>
      </c>
      <c r="M55" s="268">
        <v>30.992557059210501</v>
      </c>
      <c r="N55" s="268">
        <v>1.9736842105263199</v>
      </c>
      <c r="O55" s="268">
        <v>77.287850201022806</v>
      </c>
      <c r="P55" s="268">
        <v>3.4524192395696098</v>
      </c>
      <c r="Q55" s="268">
        <v>73.751309878783601</v>
      </c>
      <c r="R55" s="268">
        <v>73.832072349637599</v>
      </c>
      <c r="S55" s="268">
        <v>87.319847561990599</v>
      </c>
      <c r="T55" s="268">
        <v>0.861522051148913</v>
      </c>
      <c r="U55" s="268">
        <v>0.72731248711556895</v>
      </c>
      <c r="V55" s="268">
        <v>0.17983264831759599</v>
      </c>
      <c r="W55" s="268">
        <v>3.27401213973882</v>
      </c>
      <c r="X55" s="272" t="s">
        <v>23</v>
      </c>
      <c r="Y55" s="268">
        <v>19.4600437840061</v>
      </c>
      <c r="Z55" s="268">
        <v>15.174767322563101</v>
      </c>
      <c r="AA55" s="268">
        <v>10.0996752726604</v>
      </c>
      <c r="AB55" s="268">
        <v>7.2463221027296196</v>
      </c>
      <c r="AC55" s="268">
        <v>6.2913447210045303</v>
      </c>
      <c r="AD55" s="268">
        <v>3.7792342900332598</v>
      </c>
      <c r="AE55" s="268">
        <v>23.939349703846201</v>
      </c>
      <c r="AF55" s="268">
        <v>1.8333333333333299</v>
      </c>
      <c r="AG55" s="268">
        <v>75.884545708903303</v>
      </c>
      <c r="AH55" s="268">
        <v>6.5439630292572097</v>
      </c>
      <c r="AI55" s="268">
        <v>75.655492580218507</v>
      </c>
      <c r="AJ55" s="268">
        <v>75.937981337956202</v>
      </c>
      <c r="AK55" s="268">
        <v>85.056398975810197</v>
      </c>
      <c r="AL55" s="268">
        <v>0.86492489882153301</v>
      </c>
      <c r="AM55" s="268">
        <v>0.70873457457137101</v>
      </c>
      <c r="AN55" s="268">
        <v>0.145924372998647</v>
      </c>
    </row>
    <row r="56" spans="1:40" x14ac:dyDescent="0.2">
      <c r="A56" s="1">
        <v>9</v>
      </c>
      <c r="B56" s="4">
        <v>13</v>
      </c>
      <c r="C56" s="63" t="s">
        <v>76</v>
      </c>
      <c r="D56" s="4" t="s">
        <v>24</v>
      </c>
      <c r="E56" s="4" t="s">
        <v>25</v>
      </c>
      <c r="F56" s="22">
        <v>0.52568999999999999</v>
      </c>
      <c r="G56" s="268">
        <v>15.174207483979201</v>
      </c>
      <c r="H56" s="268">
        <v>12.6407197620129</v>
      </c>
      <c r="I56" s="268">
        <v>7.6882823808715202</v>
      </c>
      <c r="J56" s="268">
        <v>7.4849484162845501</v>
      </c>
      <c r="K56" s="268">
        <v>6.6328688032594103</v>
      </c>
      <c r="L56" s="268">
        <v>3.61673318440159</v>
      </c>
      <c r="M56" s="268">
        <v>30.559508455714301</v>
      </c>
      <c r="N56" s="268">
        <v>1.8684210526315801</v>
      </c>
      <c r="O56" s="268">
        <v>29.512920703247399</v>
      </c>
      <c r="P56" s="268">
        <v>52.504037337466301</v>
      </c>
      <c r="Q56" s="268">
        <v>36.120028226484301</v>
      </c>
      <c r="R56" s="268">
        <v>63.728567972425701</v>
      </c>
      <c r="S56" s="268">
        <v>34.525935157769503</v>
      </c>
      <c r="T56" s="268">
        <v>0.47756489910774103</v>
      </c>
      <c r="U56" s="268">
        <v>5.5864167961522599E-3</v>
      </c>
      <c r="V56" s="268">
        <v>5.5995190407425802E-2</v>
      </c>
      <c r="W56" s="268">
        <v>5.4682859514101496</v>
      </c>
      <c r="X56" s="274" t="s">
        <v>25</v>
      </c>
      <c r="Y56" s="268">
        <v>16.155397374584801</v>
      </c>
      <c r="Z56" s="268">
        <v>13.691697326535801</v>
      </c>
      <c r="AA56" s="268">
        <v>7.7809815445303103</v>
      </c>
      <c r="AB56" s="268">
        <v>5.4562328527622501</v>
      </c>
      <c r="AC56" s="268">
        <v>4.8442778926826904</v>
      </c>
      <c r="AD56" s="268">
        <v>2.5955464618633299</v>
      </c>
      <c r="AE56" s="268">
        <v>17.450670656756799</v>
      </c>
      <c r="AF56" s="268">
        <v>1.6410256410256401</v>
      </c>
      <c r="AG56" s="268">
        <v>27.849838431962201</v>
      </c>
      <c r="AH56" s="268">
        <v>50.478853826546498</v>
      </c>
      <c r="AI56" s="268">
        <v>37.077478206886497</v>
      </c>
      <c r="AJ56" s="268">
        <v>62.632691733822099</v>
      </c>
      <c r="AK56" s="268">
        <v>36.2978425634602</v>
      </c>
      <c r="AL56" s="268">
        <v>0.44594316073294099</v>
      </c>
      <c r="AM56" s="268">
        <v>5.3701663148093401E-3</v>
      </c>
      <c r="AN56" s="268">
        <v>2.6037418562147498E-2</v>
      </c>
    </row>
    <row r="57" spans="1:40" x14ac:dyDescent="0.2">
      <c r="A57" s="1">
        <v>4</v>
      </c>
      <c r="B57" s="2">
        <v>14</v>
      </c>
      <c r="C57" s="64" t="s">
        <v>77</v>
      </c>
      <c r="D57" s="2" t="s">
        <v>26</v>
      </c>
      <c r="E57" s="2" t="s">
        <v>27</v>
      </c>
      <c r="F57" s="22">
        <v>0.67444999999999999</v>
      </c>
      <c r="G57" s="268">
        <v>17.811023461882801</v>
      </c>
      <c r="H57" s="268">
        <v>15.274396155908599</v>
      </c>
      <c r="I57" s="268">
        <v>9.2112321272802706</v>
      </c>
      <c r="J57" s="268">
        <v>10.108600761717</v>
      </c>
      <c r="K57" s="268">
        <v>8.9606037844784492</v>
      </c>
      <c r="L57" s="268">
        <v>5.4636882577222101</v>
      </c>
      <c r="M57" s="268">
        <v>39.262169143055601</v>
      </c>
      <c r="N57" s="268">
        <v>1.6052631578947401</v>
      </c>
      <c r="O57" s="268">
        <v>66.231148895013007</v>
      </c>
      <c r="P57" s="268">
        <v>-19.108017029515501</v>
      </c>
      <c r="Q57" s="268">
        <v>-37.136279603515298</v>
      </c>
      <c r="R57" s="268">
        <v>41.763854917748198</v>
      </c>
      <c r="S57" s="268">
        <v>242.77247040655899</v>
      </c>
      <c r="T57" s="268">
        <v>0.31275158550104498</v>
      </c>
      <c r="U57" s="268">
        <v>0.67842547848779799</v>
      </c>
      <c r="V57" s="268">
        <v>0.88101608906409801</v>
      </c>
      <c r="W57" s="268">
        <v>3.4599265770234702</v>
      </c>
      <c r="X57" s="273" t="s">
        <v>27</v>
      </c>
      <c r="Y57" s="268">
        <v>19.9386845108999</v>
      </c>
      <c r="Z57" s="268">
        <v>16.595250121102399</v>
      </c>
      <c r="AA57" s="268">
        <v>10.373804729743901</v>
      </c>
      <c r="AB57" s="268">
        <v>7.2817706364893597</v>
      </c>
      <c r="AC57" s="268">
        <v>6.3308518183905704</v>
      </c>
      <c r="AD57" s="268">
        <v>3.9641827724140302</v>
      </c>
      <c r="AE57" s="268">
        <v>23.210944980555599</v>
      </c>
      <c r="AF57" s="268">
        <v>1.3974358974359</v>
      </c>
      <c r="AG57" s="268">
        <v>66.897024337178195</v>
      </c>
      <c r="AH57" s="268">
        <v>-19.803953872982898</v>
      </c>
      <c r="AI57" s="268">
        <v>-40.435341945371498</v>
      </c>
      <c r="AJ57" s="268">
        <v>45.024587363376803</v>
      </c>
      <c r="AK57" s="268">
        <v>243.90584617167301</v>
      </c>
      <c r="AL57" s="268">
        <v>0.27336918043510999</v>
      </c>
      <c r="AM57" s="268">
        <v>0.688840274995693</v>
      </c>
      <c r="AN57" s="268">
        <v>0.91095867330866198</v>
      </c>
    </row>
    <row r="58" spans="1:40" x14ac:dyDescent="0.2">
      <c r="A58" s="1">
        <v>5</v>
      </c>
      <c r="B58" s="2">
        <v>15</v>
      </c>
      <c r="C58" s="64" t="s">
        <v>78</v>
      </c>
      <c r="D58" s="2" t="s">
        <v>28</v>
      </c>
      <c r="E58" s="2" t="s">
        <v>29</v>
      </c>
      <c r="F58" s="22">
        <v>0.2394</v>
      </c>
      <c r="G58" s="268">
        <v>17.890767137788</v>
      </c>
      <c r="H58" s="268">
        <v>15.610128767868799</v>
      </c>
      <c r="I58" s="268">
        <v>8.9182498855614494</v>
      </c>
      <c r="J58" s="268">
        <v>10.2060138998581</v>
      </c>
      <c r="K58" s="268">
        <v>9.0639664078986595</v>
      </c>
      <c r="L58" s="268">
        <v>5.13104609632743</v>
      </c>
      <c r="M58" s="268">
        <v>31.377759152631601</v>
      </c>
      <c r="N58" s="268">
        <v>2.1052631578947398</v>
      </c>
      <c r="O58" s="268">
        <v>63.2227832547565</v>
      </c>
      <c r="P58" s="268">
        <v>-14.316029685244301</v>
      </c>
      <c r="Q58" s="268">
        <v>-47.082696715046197</v>
      </c>
      <c r="R58" s="268">
        <v>49.211066193589197</v>
      </c>
      <c r="S58" s="268">
        <v>253.08750900232701</v>
      </c>
      <c r="T58" s="268">
        <v>0.22057829134346399</v>
      </c>
      <c r="U58" s="268">
        <v>0.64286013325494695</v>
      </c>
      <c r="V58" s="268">
        <v>0.91784367498726604</v>
      </c>
      <c r="W58" s="268">
        <v>1.9770122662103899</v>
      </c>
      <c r="X58" s="273" t="s">
        <v>29</v>
      </c>
      <c r="Y58" s="268">
        <v>16.855831134660601</v>
      </c>
      <c r="Z58" s="268">
        <v>14.460830528697899</v>
      </c>
      <c r="AA58" s="268">
        <v>8.3450137110771099</v>
      </c>
      <c r="AB58" s="268">
        <v>8.7843198070561606</v>
      </c>
      <c r="AC58" s="268">
        <v>7.8877413848166196</v>
      </c>
      <c r="AD58" s="268">
        <v>4.5704158388784899</v>
      </c>
      <c r="AE58" s="268">
        <v>17.884919682894701</v>
      </c>
      <c r="AF58" s="268">
        <v>1.92307692307692</v>
      </c>
      <c r="AG58" s="268">
        <v>63.502213203660901</v>
      </c>
      <c r="AH58" s="268">
        <v>-15.8807740709107</v>
      </c>
      <c r="AI58" s="268">
        <v>-47.918246909357698</v>
      </c>
      <c r="AJ58" s="268">
        <v>50.481257630505503</v>
      </c>
      <c r="AK58" s="268">
        <v>251.66408493442199</v>
      </c>
      <c r="AL58" s="268">
        <v>0.210075315113185</v>
      </c>
      <c r="AM58" s="268">
        <v>0.65019493532295103</v>
      </c>
      <c r="AN58" s="268">
        <v>0.92454894470011395</v>
      </c>
    </row>
    <row r="59" spans="1:40" x14ac:dyDescent="0.2">
      <c r="A59" s="1">
        <v>13</v>
      </c>
      <c r="B59" s="6">
        <v>16</v>
      </c>
      <c r="C59" s="65" t="s">
        <v>79</v>
      </c>
      <c r="D59" s="6" t="s">
        <v>30</v>
      </c>
      <c r="E59" s="6" t="s">
        <v>31</v>
      </c>
      <c r="F59" s="22">
        <v>0.15087999999999999</v>
      </c>
      <c r="G59" s="268">
        <v>22.976188634275399</v>
      </c>
      <c r="H59" s="268">
        <v>18.609986413753301</v>
      </c>
      <c r="I59" s="268">
        <v>12.3292292051348</v>
      </c>
      <c r="J59" s="268">
        <v>10.0001997742031</v>
      </c>
      <c r="K59" s="268">
        <v>8.7530691750390393</v>
      </c>
      <c r="L59" s="268">
        <v>4.9508852409799404</v>
      </c>
      <c r="M59" s="268">
        <v>38.490745102702697</v>
      </c>
      <c r="N59" s="268">
        <v>1.2763157894736801</v>
      </c>
      <c r="O59" s="268">
        <v>42.4866139644542</v>
      </c>
      <c r="P59" s="268">
        <v>-48.443280742807602</v>
      </c>
      <c r="Q59" s="268">
        <v>39.251732470880697</v>
      </c>
      <c r="R59" s="268">
        <v>62.349418209732001</v>
      </c>
      <c r="S59" s="268">
        <v>140.983476432777</v>
      </c>
      <c r="T59" s="268">
        <v>0.23845223110497701</v>
      </c>
      <c r="U59" s="268">
        <v>0.46200775026223401</v>
      </c>
      <c r="V59" s="268">
        <v>0.137173887110589</v>
      </c>
      <c r="W59" s="268">
        <v>7.2287906102197796</v>
      </c>
      <c r="X59" s="270" t="s">
        <v>31</v>
      </c>
      <c r="Y59" s="268">
        <v>24.671930668946299</v>
      </c>
      <c r="Z59" s="268">
        <v>20.4150222581628</v>
      </c>
      <c r="AA59" s="268">
        <v>13.398217435486799</v>
      </c>
      <c r="AB59" s="268">
        <v>10.042839423054</v>
      </c>
      <c r="AC59" s="268">
        <v>8.5478604374051397</v>
      </c>
      <c r="AD59" s="268">
        <v>5.0737523734858101</v>
      </c>
      <c r="AE59" s="268">
        <v>21.827281718421101</v>
      </c>
      <c r="AF59" s="268">
        <v>1.55128205128205</v>
      </c>
      <c r="AG59" s="268">
        <v>44.372232556671797</v>
      </c>
      <c r="AH59" s="268">
        <v>-51.7392656394181</v>
      </c>
      <c r="AI59" s="268">
        <v>38.693734671567803</v>
      </c>
      <c r="AJ59" s="268">
        <v>64.607714026577</v>
      </c>
      <c r="AK59" s="268">
        <v>143.20864998874001</v>
      </c>
      <c r="AL59" s="268">
        <v>0.23196720600118501</v>
      </c>
      <c r="AM59" s="268">
        <v>0.48410959137570703</v>
      </c>
      <c r="AN59" s="268">
        <v>0.15797197240591099</v>
      </c>
    </row>
    <row r="60" spans="1:40" x14ac:dyDescent="0.2">
      <c r="A60" s="1">
        <v>17</v>
      </c>
      <c r="B60" s="3">
        <v>17</v>
      </c>
      <c r="C60" s="3" t="s">
        <v>80</v>
      </c>
      <c r="D60" s="3" t="s">
        <v>32</v>
      </c>
      <c r="E60" s="3" t="s">
        <v>33</v>
      </c>
      <c r="F60" s="22">
        <v>0.63493999999999995</v>
      </c>
      <c r="G60" s="268">
        <v>15.8644884177814</v>
      </c>
      <c r="H60" s="268">
        <v>12.9236620767498</v>
      </c>
      <c r="I60" s="268">
        <v>8.3395284326077306</v>
      </c>
      <c r="J60" s="268">
        <v>8.4593072231234903</v>
      </c>
      <c r="K60" s="268">
        <v>7.3218793703454104</v>
      </c>
      <c r="L60" s="268">
        <v>4.3395823050890199</v>
      </c>
      <c r="M60" s="268">
        <v>26.237158656578998</v>
      </c>
      <c r="N60" s="268">
        <v>2.2763157894736801</v>
      </c>
      <c r="O60" s="268">
        <v>75.085631774142101</v>
      </c>
      <c r="P60" s="268">
        <v>10.966576455771801</v>
      </c>
      <c r="Q60" s="268">
        <v>79.9219527757202</v>
      </c>
      <c r="R60" s="268">
        <v>80.670839431883607</v>
      </c>
      <c r="S60" s="268">
        <v>82.186890099217507</v>
      </c>
      <c r="T60" s="268">
        <v>0.86560220320413095</v>
      </c>
      <c r="U60" s="268">
        <v>0.68006137506342801</v>
      </c>
      <c r="V60" s="268">
        <v>8.6306624738093807E-2</v>
      </c>
      <c r="W60" s="268">
        <v>4.6454673700280296</v>
      </c>
      <c r="X60" s="272" t="s">
        <v>33</v>
      </c>
      <c r="Y60" s="268">
        <v>15.631650360489701</v>
      </c>
      <c r="Z60" s="268">
        <v>13.2157215657422</v>
      </c>
      <c r="AA60" s="268">
        <v>8.3743746488869508</v>
      </c>
      <c r="AB60" s="268">
        <v>5.8821465649636702</v>
      </c>
      <c r="AC60" s="268">
        <v>4.95409564939348</v>
      </c>
      <c r="AD60" s="268">
        <v>3.2574299111921299</v>
      </c>
      <c r="AE60" s="268">
        <v>22.4761891730769</v>
      </c>
      <c r="AF60" s="268">
        <v>2.1410256410256401</v>
      </c>
      <c r="AG60" s="268">
        <v>73.243517586006405</v>
      </c>
      <c r="AH60" s="268">
        <v>17.869616408311099</v>
      </c>
      <c r="AI60" s="268">
        <v>80.971955801763301</v>
      </c>
      <c r="AJ60" s="268">
        <v>82.920328128528894</v>
      </c>
      <c r="AK60" s="268">
        <v>77.554934990886096</v>
      </c>
      <c r="AL60" s="268">
        <v>0.87312780374633103</v>
      </c>
      <c r="AM60" s="268">
        <v>0.64023210341784897</v>
      </c>
      <c r="AN60" s="268">
        <v>4.5742582242970599E-2</v>
      </c>
    </row>
    <row r="61" spans="1:40" x14ac:dyDescent="0.2">
      <c r="A61" s="1">
        <v>14</v>
      </c>
      <c r="B61" s="6">
        <v>18</v>
      </c>
      <c r="C61" s="6" t="s">
        <v>81</v>
      </c>
      <c r="D61" s="6" t="s">
        <v>34</v>
      </c>
      <c r="E61" s="6" t="s">
        <v>35</v>
      </c>
      <c r="F61" s="22">
        <v>0.64248000000000005</v>
      </c>
      <c r="G61" s="268">
        <v>21.087268962134502</v>
      </c>
      <c r="H61" s="268">
        <v>17.910445918287699</v>
      </c>
      <c r="I61" s="268">
        <v>10.190498141789099</v>
      </c>
      <c r="J61" s="268">
        <v>12.5337954840438</v>
      </c>
      <c r="K61" s="268">
        <v>11.084128863611999</v>
      </c>
      <c r="L61" s="268">
        <v>5.3976718670926296</v>
      </c>
      <c r="M61" s="268">
        <v>31.682437043243201</v>
      </c>
      <c r="N61" s="268">
        <v>1.90789473684211</v>
      </c>
      <c r="O61" s="268">
        <v>55.491927511919599</v>
      </c>
      <c r="P61" s="268">
        <v>-70.171712710571995</v>
      </c>
      <c r="Q61" s="268">
        <v>44.381783577324804</v>
      </c>
      <c r="R61" s="268">
        <v>83.028982760476794</v>
      </c>
      <c r="S61" s="268">
        <v>147.68771110146901</v>
      </c>
      <c r="T61" s="268">
        <v>0.235264853579366</v>
      </c>
      <c r="U61" s="268">
        <v>0.61738577592987398</v>
      </c>
      <c r="V61" s="268">
        <v>0.210118392182226</v>
      </c>
      <c r="W61" s="268">
        <v>4.30988851618749</v>
      </c>
      <c r="X61" s="270" t="s">
        <v>35</v>
      </c>
      <c r="Y61" s="268">
        <v>21.082787694397901</v>
      </c>
      <c r="Z61" s="268">
        <v>16.875034958634998</v>
      </c>
      <c r="AA61" s="268">
        <v>11.187036022275599</v>
      </c>
      <c r="AB61" s="268">
        <v>11.0023471613471</v>
      </c>
      <c r="AC61" s="268">
        <v>9.6858853234589102</v>
      </c>
      <c r="AD61" s="268">
        <v>4.9552815984847802</v>
      </c>
      <c r="AE61" s="268">
        <v>23.297450679487198</v>
      </c>
      <c r="AF61" s="268">
        <v>1.87179487179487</v>
      </c>
      <c r="AG61" s="268">
        <v>50.755964952839101</v>
      </c>
      <c r="AH61" s="268">
        <v>-73.1940103328688</v>
      </c>
      <c r="AI61" s="268">
        <v>46.888307022482699</v>
      </c>
      <c r="AJ61" s="268">
        <v>86.924544773284296</v>
      </c>
      <c r="AK61" s="268">
        <v>147.35625114304</v>
      </c>
      <c r="AL61" s="268">
        <v>0.167187638351459</v>
      </c>
      <c r="AM61" s="268">
        <v>0.57478878817241397</v>
      </c>
      <c r="AN61" s="268">
        <v>0.160450865084897</v>
      </c>
    </row>
    <row r="62" spans="1:40" x14ac:dyDescent="0.2">
      <c r="A62" s="1">
        <v>10</v>
      </c>
      <c r="B62" s="4">
        <v>19</v>
      </c>
      <c r="C62" s="4" t="s">
        <v>82</v>
      </c>
      <c r="D62" s="4" t="s">
        <v>36</v>
      </c>
      <c r="E62" s="4" t="s">
        <v>37</v>
      </c>
      <c r="F62" s="22">
        <v>3.7859999999999998E-2</v>
      </c>
      <c r="G62" s="268">
        <v>17.331843817923101</v>
      </c>
      <c r="H62" s="268">
        <v>14.968282313656699</v>
      </c>
      <c r="I62" s="268">
        <v>9.3559723145051805</v>
      </c>
      <c r="J62" s="268">
        <v>6.3009425974250899</v>
      </c>
      <c r="K62" s="268">
        <v>5.3976001381606</v>
      </c>
      <c r="L62" s="268">
        <v>3.37024503285893</v>
      </c>
      <c r="M62" s="268">
        <v>33.482742013513501</v>
      </c>
      <c r="N62" s="268">
        <v>2.0394736842105301</v>
      </c>
      <c r="O62" s="268">
        <v>47.867777376320298</v>
      </c>
      <c r="P62" s="268">
        <v>73.351213734882904</v>
      </c>
      <c r="Q62" s="268">
        <v>46.7406045350874</v>
      </c>
      <c r="R62" s="268">
        <v>86.977495185167896</v>
      </c>
      <c r="S62" s="268">
        <v>32.505960056167801</v>
      </c>
      <c r="T62" s="268">
        <v>0.76809388724616001</v>
      </c>
      <c r="U62" s="268">
        <v>2.61138890274881E-2</v>
      </c>
      <c r="V62" s="268">
        <v>0.15138875111846101</v>
      </c>
      <c r="W62" s="268">
        <v>2.7227734475822598</v>
      </c>
      <c r="X62" s="274" t="s">
        <v>37</v>
      </c>
      <c r="Y62" s="268">
        <v>17.972386419063799</v>
      </c>
      <c r="Z62" s="268">
        <v>15.4244557079234</v>
      </c>
      <c r="AA62" s="268">
        <v>9.8158112774231299</v>
      </c>
      <c r="AB62" s="268">
        <v>6.8028550191594501</v>
      </c>
      <c r="AC62" s="268">
        <v>5.9159556011514702</v>
      </c>
      <c r="AD62" s="268">
        <v>3.5277009521671499</v>
      </c>
      <c r="AE62" s="268">
        <v>20.921926386842099</v>
      </c>
      <c r="AF62" s="268">
        <v>2.0512820512820502</v>
      </c>
      <c r="AG62" s="268">
        <v>46.7667115229251</v>
      </c>
      <c r="AH62" s="268">
        <v>71.905345673509501</v>
      </c>
      <c r="AI62" s="268">
        <v>46.924076803981301</v>
      </c>
      <c r="AJ62" s="268">
        <v>85.861794299518493</v>
      </c>
      <c r="AK62" s="268">
        <v>33.127711146410299</v>
      </c>
      <c r="AL62" s="268">
        <v>0.75183830341443503</v>
      </c>
      <c r="AM62" s="268">
        <v>2.0537368339872599E-2</v>
      </c>
      <c r="AN62" s="268">
        <v>0.138896843456427</v>
      </c>
    </row>
    <row r="63" spans="1:40" x14ac:dyDescent="0.2">
      <c r="A63" s="1">
        <v>6</v>
      </c>
      <c r="B63" s="2">
        <v>20</v>
      </c>
      <c r="C63" s="2" t="s">
        <v>83</v>
      </c>
      <c r="D63" s="2" t="s">
        <v>38</v>
      </c>
      <c r="E63" s="2" t="s">
        <v>39</v>
      </c>
      <c r="F63" s="22">
        <v>0.15842999999999999</v>
      </c>
      <c r="G63" s="268">
        <v>16.366939901949898</v>
      </c>
      <c r="H63" s="268">
        <v>14.1226690348354</v>
      </c>
      <c r="I63" s="268">
        <v>8.8123968319373205</v>
      </c>
      <c r="J63" s="268">
        <v>8.8862564883434594</v>
      </c>
      <c r="K63" s="268">
        <v>8.3122724809208695</v>
      </c>
      <c r="L63" s="268">
        <v>3.9973561234577999</v>
      </c>
      <c r="M63" s="268">
        <v>28.116625089189199</v>
      </c>
      <c r="N63" s="268">
        <v>1.8947368421052599</v>
      </c>
      <c r="O63" s="268">
        <v>51.413339182777001</v>
      </c>
      <c r="P63" s="268">
        <v>0.41971188831556799</v>
      </c>
      <c r="Q63" s="268">
        <v>-61.164443228349498</v>
      </c>
      <c r="R63" s="268">
        <v>61.165883247960899</v>
      </c>
      <c r="S63" s="268">
        <v>270.39315885349998</v>
      </c>
      <c r="T63" s="268">
        <v>3.4610276579575799E-2</v>
      </c>
      <c r="U63" s="268">
        <v>0.49754592644182699</v>
      </c>
      <c r="V63" s="268">
        <v>0.87492714801927995</v>
      </c>
      <c r="W63" s="268">
        <v>7.7303569997238597</v>
      </c>
      <c r="X63" s="273" t="s">
        <v>39</v>
      </c>
      <c r="Y63" s="268">
        <v>18.256601526665499</v>
      </c>
      <c r="Z63" s="268">
        <v>16.238405394338098</v>
      </c>
      <c r="AA63" s="268">
        <v>9.2865994402042205</v>
      </c>
      <c r="AB63" s="268">
        <v>7.78132717360449</v>
      </c>
      <c r="AC63" s="268">
        <v>7.1681739723563203</v>
      </c>
      <c r="AD63" s="268">
        <v>3.60158794976839</v>
      </c>
      <c r="AE63" s="268">
        <v>18.4619209118421</v>
      </c>
      <c r="AF63" s="268">
        <v>1.8974358974359</v>
      </c>
      <c r="AG63" s="268">
        <v>48.958270055064801</v>
      </c>
      <c r="AH63" s="268">
        <v>8.3082708105640695</v>
      </c>
      <c r="AI63" s="268">
        <v>-66.911666128282107</v>
      </c>
      <c r="AJ63" s="268">
        <v>67.425502800678998</v>
      </c>
      <c r="AK63" s="268">
        <v>277.078060556911</v>
      </c>
      <c r="AL63" s="268">
        <v>1.6371141534978401E-2</v>
      </c>
      <c r="AM63" s="268">
        <v>0.46609176769361998</v>
      </c>
      <c r="AN63" s="268">
        <v>0.89427901733091197</v>
      </c>
    </row>
    <row r="64" spans="1:40" x14ac:dyDescent="0.2">
      <c r="B64" s="8">
        <v>21</v>
      </c>
      <c r="E64" s="8" t="s">
        <v>59</v>
      </c>
      <c r="F64" s="20"/>
      <c r="G64" s="268">
        <v>13.6377165900174</v>
      </c>
      <c r="H64" s="268">
        <v>9.3171298830956104</v>
      </c>
      <c r="I64" s="268">
        <v>9.5677677639882894</v>
      </c>
      <c r="J64" s="268">
        <v>5.3323224991201297</v>
      </c>
      <c r="K64" s="268">
        <v>3.71099569720199</v>
      </c>
      <c r="L64" s="268">
        <v>3.5965921775555798</v>
      </c>
      <c r="M64" s="268">
        <v>31.492243278124999</v>
      </c>
      <c r="N64" s="268">
        <v>1.0526315789473699</v>
      </c>
      <c r="O64" s="268">
        <v>85.9260146831014</v>
      </c>
      <c r="P64" s="268">
        <v>8.8272447656217103</v>
      </c>
      <c r="Q64" s="268">
        <v>12.5059890798955</v>
      </c>
      <c r="R64" s="268">
        <v>15.3075149197595</v>
      </c>
      <c r="S64" s="268">
        <v>54.783973384576797</v>
      </c>
      <c r="T64" s="268">
        <v>0.91737678775208797</v>
      </c>
      <c r="U64" s="268">
        <v>0.82228466377440701</v>
      </c>
      <c r="V64" s="268">
        <v>0.75826946650779203</v>
      </c>
      <c r="W64" s="268"/>
      <c r="X64" s="268" t="s">
        <v>59</v>
      </c>
      <c r="Y64" s="268">
        <v>16.282303237136698</v>
      </c>
      <c r="Z64" s="268">
        <v>11.332604532922</v>
      </c>
      <c r="AA64" s="268">
        <v>10.897015934873099</v>
      </c>
      <c r="AB64" s="268">
        <v>6.6023565784685099</v>
      </c>
      <c r="AC64" s="268">
        <v>4.4269618669332802</v>
      </c>
      <c r="AD64" s="268">
        <v>4.5964552520775603</v>
      </c>
      <c r="AE64" s="268">
        <v>22.530860509459501</v>
      </c>
      <c r="AF64" s="268">
        <v>1.32051282051282</v>
      </c>
      <c r="AG64" s="268">
        <v>73.419533557815001</v>
      </c>
      <c r="AH64" s="268">
        <v>13.3821565681148</v>
      </c>
      <c r="AI64" s="268">
        <v>20.8143304810886</v>
      </c>
      <c r="AJ64" s="268">
        <v>24.745069565259101</v>
      </c>
      <c r="AK64" s="268">
        <v>57.261821901482399</v>
      </c>
      <c r="AL64" s="268">
        <v>0.81035179480548603</v>
      </c>
      <c r="AM64" s="268">
        <v>0.67344399393856302</v>
      </c>
      <c r="AN64" s="268">
        <v>0.568942078269562</v>
      </c>
    </row>
    <row r="65" spans="2:45" x14ac:dyDescent="0.2">
      <c r="B65" s="8">
        <v>22</v>
      </c>
      <c r="E65" s="8" t="s">
        <v>60</v>
      </c>
      <c r="F65" s="20"/>
      <c r="G65" s="268">
        <v>12.2142965333975</v>
      </c>
      <c r="H65" s="268">
        <v>9.1059265395600004</v>
      </c>
      <c r="I65" s="268">
        <v>8.5864102952854395</v>
      </c>
      <c r="J65" s="268">
        <v>6.2405004935083896</v>
      </c>
      <c r="K65" s="268">
        <v>4.2853362869365696</v>
      </c>
      <c r="L65" s="268">
        <v>4.7194939155993403</v>
      </c>
      <c r="M65" s="268">
        <v>31.397449200000001</v>
      </c>
      <c r="N65" s="268">
        <v>1.09210526315789</v>
      </c>
      <c r="O65" s="268">
        <v>86.222022918178098</v>
      </c>
      <c r="P65" s="268">
        <v>9.3430873090021507</v>
      </c>
      <c r="Q65" s="268">
        <v>12.0175345705205</v>
      </c>
      <c r="R65" s="268">
        <v>15.2221686239935</v>
      </c>
      <c r="S65" s="268">
        <v>52.136556162745002</v>
      </c>
      <c r="T65" s="268">
        <v>0.90987939535802298</v>
      </c>
      <c r="U65" s="268">
        <v>0.81670195916660804</v>
      </c>
      <c r="V65" s="268">
        <v>0.76201515372112805</v>
      </c>
      <c r="W65" s="268"/>
      <c r="X65" s="268" t="s">
        <v>60</v>
      </c>
      <c r="Y65" s="268">
        <v>10.5723948775666</v>
      </c>
      <c r="Z65" s="268">
        <v>7.5426651475762396</v>
      </c>
      <c r="AA65" s="268">
        <v>7.6722413200945203</v>
      </c>
      <c r="AB65" s="268">
        <v>4.1796577292604198</v>
      </c>
      <c r="AC65" s="268">
        <v>3.0276454552407599</v>
      </c>
      <c r="AD65" s="268">
        <v>3.1764381384083502</v>
      </c>
      <c r="AE65" s="268">
        <v>18.9788353514286</v>
      </c>
      <c r="AF65" s="268">
        <v>1.2564102564102599</v>
      </c>
      <c r="AG65" s="268">
        <v>87.562704652960505</v>
      </c>
      <c r="AH65" s="268">
        <v>9.3312351286682809</v>
      </c>
      <c r="AI65" s="268">
        <v>7.49879737201932</v>
      </c>
      <c r="AJ65" s="268">
        <v>11.970961158282</v>
      </c>
      <c r="AK65" s="268">
        <v>38.786167731386399</v>
      </c>
      <c r="AL65" s="268">
        <v>0.91883101201668005</v>
      </c>
      <c r="AM65" s="268">
        <v>0.83163238444879894</v>
      </c>
      <c r="AN65" s="268">
        <v>0.80574767035550598</v>
      </c>
    </row>
    <row r="66" spans="2:45" x14ac:dyDescent="0.2">
      <c r="B66" s="8">
        <v>23</v>
      </c>
      <c r="E66" s="8" t="s">
        <v>61</v>
      </c>
      <c r="F66" s="20"/>
      <c r="G66" s="268">
        <v>13.5213052558576</v>
      </c>
      <c r="H66" s="268">
        <v>9.7095369254348807</v>
      </c>
      <c r="I66" s="268">
        <v>9.5225795510798008</v>
      </c>
      <c r="J66" s="268">
        <v>5.4248127305645504</v>
      </c>
      <c r="K66" s="268">
        <v>3.9602600483936001</v>
      </c>
      <c r="L66" s="268">
        <v>3.6804820434404002</v>
      </c>
      <c r="M66" s="268">
        <v>29.649484848648701</v>
      </c>
      <c r="N66" s="268">
        <v>1.48684210526316</v>
      </c>
      <c r="O66" s="268">
        <v>80.480341916794202</v>
      </c>
      <c r="P66" s="268">
        <v>10.0107513655195</v>
      </c>
      <c r="Q66" s="268">
        <v>13.336448111415001</v>
      </c>
      <c r="R66" s="268">
        <v>16.675610667400299</v>
      </c>
      <c r="S66" s="268">
        <v>53.1069710799934</v>
      </c>
      <c r="T66" s="268">
        <v>0.85708085890701602</v>
      </c>
      <c r="U66" s="268">
        <v>0.752905960584353</v>
      </c>
      <c r="V66" s="268">
        <v>0.68919822395660402</v>
      </c>
      <c r="W66" s="268"/>
      <c r="X66" s="268" t="s">
        <v>61</v>
      </c>
      <c r="Y66" s="268">
        <v>14.0126796546769</v>
      </c>
      <c r="Z66" s="268">
        <v>11.093660546509801</v>
      </c>
      <c r="AA66" s="268">
        <v>9.3022735246391104</v>
      </c>
      <c r="AB66" s="268">
        <v>4.25660330584933</v>
      </c>
      <c r="AC66" s="268">
        <v>3.2260254520334302</v>
      </c>
      <c r="AD66" s="268">
        <v>2.9666650009927702</v>
      </c>
      <c r="AE66" s="268">
        <v>24.656256467142899</v>
      </c>
      <c r="AF66" s="268">
        <v>1.1153846153846201</v>
      </c>
      <c r="AG66" s="268">
        <v>12.3916897767311</v>
      </c>
      <c r="AH66" s="268">
        <v>10.346687807109801</v>
      </c>
      <c r="AI66" s="268">
        <v>10.2792437683649</v>
      </c>
      <c r="AJ66" s="268">
        <v>14.584814055285801</v>
      </c>
      <c r="AK66" s="268">
        <v>44.812651128648497</v>
      </c>
      <c r="AL66" s="268">
        <v>0.183834313766712</v>
      </c>
      <c r="AM66" s="268">
        <v>0.117905068430932</v>
      </c>
      <c r="AN66" s="268">
        <v>7.5202064811835195E-2</v>
      </c>
    </row>
    <row r="67" spans="2:45" x14ac:dyDescent="0.2">
      <c r="B67" s="8">
        <v>24</v>
      </c>
      <c r="E67" s="8" t="s">
        <v>62</v>
      </c>
      <c r="F67" s="20"/>
      <c r="G67" s="268">
        <v>17.6237244812332</v>
      </c>
      <c r="H67" s="268">
        <v>11.492339094251999</v>
      </c>
      <c r="I67" s="268">
        <v>12.7312797184885</v>
      </c>
      <c r="J67" s="268">
        <v>8.1609150659437404</v>
      </c>
      <c r="K67" s="268">
        <v>4.92213248849027</v>
      </c>
      <c r="L67" s="268">
        <v>5.6462363799668998</v>
      </c>
      <c r="M67" s="268">
        <v>34.510411380000001</v>
      </c>
      <c r="N67" s="268">
        <v>1.0526315789473699</v>
      </c>
      <c r="O67" s="268">
        <v>70.926634379313597</v>
      </c>
      <c r="P67" s="268">
        <v>11.1223061808666</v>
      </c>
      <c r="Q67" s="268">
        <v>18.148627707031601</v>
      </c>
      <c r="R67" s="268">
        <v>21.285637938041202</v>
      </c>
      <c r="S67" s="268">
        <v>58.498134500047399</v>
      </c>
      <c r="T67" s="268">
        <v>0.76782619596011503</v>
      </c>
      <c r="U67" s="268">
        <v>0.65179699539288405</v>
      </c>
      <c r="V67" s="268">
        <v>0.56064864870890396</v>
      </c>
      <c r="W67" s="268"/>
      <c r="X67" s="268" t="s">
        <v>48</v>
      </c>
      <c r="Y67" s="268">
        <v>22.784156736220499</v>
      </c>
      <c r="Z67" s="268">
        <v>19.4999668386004</v>
      </c>
      <c r="AA67" s="268">
        <v>11.962837027497701</v>
      </c>
      <c r="AB67" s="268">
        <v>5.73487980137467</v>
      </c>
      <c r="AC67" s="268">
        <v>4.9698607617277597</v>
      </c>
      <c r="AD67" s="268">
        <v>2.9775124555696402</v>
      </c>
      <c r="AE67" s="268">
        <v>24.256869611538502</v>
      </c>
      <c r="AF67" s="268">
        <v>1.8076923076923099</v>
      </c>
      <c r="AG67" s="268">
        <v>44.020944202565097</v>
      </c>
      <c r="AH67" s="268">
        <v>69.384835607819895</v>
      </c>
      <c r="AI67" s="268">
        <v>50.821931899363697</v>
      </c>
      <c r="AJ67" s="268">
        <v>86.006535648796799</v>
      </c>
      <c r="AK67" s="276">
        <v>36.221454222029102</v>
      </c>
      <c r="AL67" s="268">
        <v>0.71351322209954904</v>
      </c>
      <c r="AM67" s="268">
        <v>8.2629163577991101E-3</v>
      </c>
      <c r="AN67" s="268">
        <v>7.0439829652961902E-2</v>
      </c>
    </row>
    <row r="68" spans="2:45" x14ac:dyDescent="0.2">
      <c r="B68" s="8">
        <v>25</v>
      </c>
      <c r="E68" s="8" t="s">
        <v>63</v>
      </c>
      <c r="F68" s="20"/>
      <c r="G68" s="268">
        <v>15.9258682372883</v>
      </c>
      <c r="H68" s="268">
        <v>9.9515784742610407</v>
      </c>
      <c r="I68" s="268">
        <v>11.260894805503799</v>
      </c>
      <c r="J68" s="268">
        <v>5.2475980573443604</v>
      </c>
      <c r="K68" s="268">
        <v>3.03788122457197</v>
      </c>
      <c r="L68" s="268">
        <v>3.7873155853060401</v>
      </c>
      <c r="M68" s="268">
        <v>48.8862057609375</v>
      </c>
      <c r="N68" s="268">
        <v>0.78947368421052599</v>
      </c>
      <c r="O68" s="268">
        <v>19.029766932214301</v>
      </c>
      <c r="P68" s="268">
        <v>8.5188046465091407</v>
      </c>
      <c r="Q68" s="268">
        <v>11.5842216247063</v>
      </c>
      <c r="R68" s="268">
        <v>14.3792984271034</v>
      </c>
      <c r="S68" s="268">
        <v>53.6699810934266</v>
      </c>
      <c r="T68" s="268">
        <v>0.233872036745321</v>
      </c>
      <c r="U68" s="268">
        <v>0.17325866568356399</v>
      </c>
      <c r="V68" s="268">
        <v>0.12158376833708399</v>
      </c>
      <c r="W68" s="268"/>
      <c r="X68" s="268" t="s">
        <v>49</v>
      </c>
      <c r="Y68" s="268">
        <v>19.002049103068899</v>
      </c>
      <c r="Z68" s="268">
        <v>17.101700122995702</v>
      </c>
      <c r="AA68" s="268">
        <v>7.7484694101348897</v>
      </c>
      <c r="AB68" s="268">
        <v>9.0253668718430298</v>
      </c>
      <c r="AC68" s="268">
        <v>8.2542505891571096</v>
      </c>
      <c r="AD68" s="268">
        <v>3.65543724493183</v>
      </c>
      <c r="AE68" s="268">
        <v>22.211696140789499</v>
      </c>
      <c r="AF68" s="268">
        <v>2</v>
      </c>
      <c r="AG68" s="268">
        <v>51.581067380317201</v>
      </c>
      <c r="AH68" s="268">
        <v>-80.204217542083995</v>
      </c>
      <c r="AI68" s="268">
        <v>49.821457881260798</v>
      </c>
      <c r="AJ68" s="268">
        <v>94.418717301985097</v>
      </c>
      <c r="AK68" s="276">
        <v>148.15217250883401</v>
      </c>
      <c r="AL68" s="268">
        <v>0.108677909137896</v>
      </c>
      <c r="AM68" s="268">
        <v>0.58053438591866102</v>
      </c>
      <c r="AN68" s="268">
        <v>0.13311710483647099</v>
      </c>
    </row>
    <row r="69" spans="2:45" x14ac:dyDescent="0.2">
      <c r="B69" s="8">
        <v>26</v>
      </c>
      <c r="E69" s="8" t="s">
        <v>212</v>
      </c>
      <c r="F69" s="20"/>
      <c r="G69" s="268">
        <v>11.2661673719421</v>
      </c>
      <c r="H69" s="268">
        <v>8.6313021007639001</v>
      </c>
      <c r="I69" s="268">
        <v>8.0122742987490607</v>
      </c>
      <c r="J69" s="268">
        <v>4.6015029321918099</v>
      </c>
      <c r="K69" s="268">
        <v>3.3600272085760201</v>
      </c>
      <c r="L69" s="268">
        <v>3.33731652168427</v>
      </c>
      <c r="M69" s="268">
        <v>37.50896255</v>
      </c>
      <c r="N69" s="268">
        <v>1.1315789473684199</v>
      </c>
      <c r="O69" s="268">
        <v>13.1784277199333</v>
      </c>
      <c r="P69" s="268">
        <v>9.0239239480817304</v>
      </c>
      <c r="Q69" s="268">
        <v>9.7769695096742009</v>
      </c>
      <c r="R69" s="268">
        <v>13.304898955417199</v>
      </c>
      <c r="S69" s="268">
        <v>47.293682559505498</v>
      </c>
      <c r="T69" s="268">
        <v>0.188520975875869</v>
      </c>
      <c r="U69" s="268">
        <v>0.131693746485991</v>
      </c>
      <c r="V69" s="268">
        <v>8.9089346806216302E-2</v>
      </c>
      <c r="W69" s="268"/>
      <c r="X69" s="268" t="s">
        <v>50</v>
      </c>
      <c r="Y69" s="268">
        <v>13.666416899782501</v>
      </c>
      <c r="Z69" s="268">
        <v>12.6105471982021</v>
      </c>
      <c r="AA69" s="268">
        <v>6.5535498108587502</v>
      </c>
      <c r="AB69" s="268">
        <v>5.79084734140159</v>
      </c>
      <c r="AC69" s="268">
        <v>5.4103646893900104</v>
      </c>
      <c r="AD69" s="268">
        <v>2.7849870883365502</v>
      </c>
      <c r="AE69" s="268">
        <v>17.0413084554054</v>
      </c>
      <c r="AF69" s="268">
        <v>2.0128205128205101</v>
      </c>
      <c r="AG69" s="268">
        <v>54.882527769368401</v>
      </c>
      <c r="AH69" s="268">
        <v>0.34554841353622601</v>
      </c>
      <c r="AI69" s="268">
        <v>-66.115208269150102</v>
      </c>
      <c r="AJ69" s="268">
        <v>66.116111260260894</v>
      </c>
      <c r="AK69" s="276">
        <v>270.29945130573702</v>
      </c>
      <c r="AL69" s="268">
        <v>5.3654286314292598E-3</v>
      </c>
      <c r="AM69" s="268">
        <v>0.53805085537623898</v>
      </c>
      <c r="AN69" s="268">
        <v>0.95362502016147399</v>
      </c>
    </row>
    <row r="70" spans="2:45" x14ac:dyDescent="0.2"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 t="s">
        <v>51</v>
      </c>
      <c r="Y70" s="268">
        <v>20.755816215256299</v>
      </c>
      <c r="Z70" s="268">
        <v>17.137145815462699</v>
      </c>
      <c r="AA70" s="268">
        <v>10.915127351302999</v>
      </c>
      <c r="AB70" s="268">
        <v>6.4826450569784599</v>
      </c>
      <c r="AC70" s="268">
        <v>5.8342735290385503</v>
      </c>
      <c r="AD70" s="268">
        <v>3.3453726001875101</v>
      </c>
      <c r="AE70" s="268">
        <v>26.182411043589699</v>
      </c>
      <c r="AF70" s="268">
        <v>2.0512820512820502</v>
      </c>
      <c r="AG70" s="268">
        <v>79.153847677981602</v>
      </c>
      <c r="AH70" s="268">
        <v>4.72571816341837</v>
      </c>
      <c r="AI70" s="268">
        <v>85.281148050293595</v>
      </c>
      <c r="AJ70" s="268">
        <v>85.411981741065802</v>
      </c>
      <c r="AK70" s="276">
        <v>86.828289934051398</v>
      </c>
      <c r="AL70" s="268">
        <v>0.89226964781328499</v>
      </c>
      <c r="AM70" s="268">
        <v>0.739939613080979</v>
      </c>
      <c r="AN70" s="268">
        <v>6.1238908174493401E-2</v>
      </c>
    </row>
    <row r="71" spans="2:45" x14ac:dyDescent="0.2">
      <c r="E71" s="18" t="s">
        <v>55</v>
      </c>
      <c r="F71" s="18"/>
      <c r="G71" s="21">
        <f t="shared" ref="G71:N71" si="7">AVERAGE(G44:G63)</f>
        <v>19.552319801468862</v>
      </c>
      <c r="H71" s="21">
        <f t="shared" ref="H71:L71" si="8">AVERAGE(H44:H63)</f>
        <v>16.301266909158912</v>
      </c>
      <c r="I71" s="21">
        <f t="shared" si="8"/>
        <v>10.142361321724941</v>
      </c>
      <c r="J71" s="30">
        <f t="shared" si="8"/>
        <v>9.2172124503557082</v>
      </c>
      <c r="K71" s="21">
        <f t="shared" si="8"/>
        <v>8.1293085697112453</v>
      </c>
      <c r="L71" s="27">
        <f t="shared" si="8"/>
        <v>4.4987945043510553</v>
      </c>
      <c r="M71" s="26">
        <f t="shared" si="7"/>
        <v>34.070825476218928</v>
      </c>
      <c r="N71" s="21">
        <f t="shared" si="7"/>
        <v>1.664473684210527</v>
      </c>
      <c r="O71" s="21"/>
      <c r="P71" s="21"/>
      <c r="Q71" s="21"/>
      <c r="R71" s="21"/>
      <c r="S71" s="21"/>
      <c r="T71" s="21"/>
      <c r="U71" s="21"/>
      <c r="V71" s="21"/>
      <c r="W71" s="21"/>
      <c r="X71" s="18"/>
      <c r="Y71" s="21">
        <f t="shared" ref="Y71:AF71" si="9">AVERAGE(Y44:Y63)</f>
        <v>20.226396328727027</v>
      </c>
      <c r="Z71" s="21">
        <f t="shared" ref="Z71:AD71" si="10">AVERAGE(Z44:Z63)</f>
        <v>17.051573037481308</v>
      </c>
      <c r="AA71" s="21">
        <f t="shared" si="10"/>
        <v>10.47612421486499</v>
      </c>
      <c r="AB71" s="30">
        <f t="shared" si="10"/>
        <v>8.0559551247703336</v>
      </c>
      <c r="AC71" s="21">
        <f t="shared" si="10"/>
        <v>6.9970406405495895</v>
      </c>
      <c r="AD71" s="27">
        <f t="shared" si="10"/>
        <v>4.1481084301432034</v>
      </c>
      <c r="AE71" s="21">
        <f t="shared" si="9"/>
        <v>21.720035953628742</v>
      </c>
      <c r="AF71" s="21">
        <f t="shared" si="9"/>
        <v>1.6166666666666667</v>
      </c>
    </row>
    <row r="72" spans="2:45" x14ac:dyDescent="0.2">
      <c r="E72" s="8" t="s">
        <v>56</v>
      </c>
      <c r="G72" s="19">
        <f t="shared" ref="G72:M72" si="11">_xlfn.T.TEST(G44:G63,Y44:Y63,2,2)</f>
        <v>0.62789680897328304</v>
      </c>
      <c r="H72" s="19">
        <f t="shared" si="11"/>
        <v>0.52355338098093362</v>
      </c>
      <c r="I72" s="19">
        <f t="shared" si="11"/>
        <v>0.66212261752875023</v>
      </c>
      <c r="J72" s="31">
        <f t="shared" si="11"/>
        <v>3.4458126131392285E-2</v>
      </c>
      <c r="K72" s="19">
        <f t="shared" si="11"/>
        <v>2.3303193737323539E-2</v>
      </c>
      <c r="L72" s="28">
        <f t="shared" si="11"/>
        <v>0.19615238889221015</v>
      </c>
      <c r="M72" s="19">
        <f t="shared" si="11"/>
        <v>6.4015216533551961E-11</v>
      </c>
      <c r="N72" s="19">
        <f>_xlfn.T.TEST(N44:N63,AF44:AF63,1,1)</f>
        <v>7.2005096774642341E-2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spans="2:45" x14ac:dyDescent="0.2">
      <c r="E73" s="8" t="s">
        <v>87</v>
      </c>
      <c r="G73" s="8">
        <f t="shared" ref="G73:N73" si="12">PEARSON($F44:$F63,G44:G63)</f>
        <v>-0.52933056502227605</v>
      </c>
      <c r="H73" s="8">
        <f t="shared" ref="H73:K73" si="13">PEARSON($F44:$F63,H44:H63)</f>
        <v>-0.47369916950112878</v>
      </c>
      <c r="I73" s="24">
        <f t="shared" si="13"/>
        <v>-0.70156791772369098</v>
      </c>
      <c r="J73" s="8">
        <f t="shared" si="13"/>
        <v>4.238332060597657E-2</v>
      </c>
      <c r="K73" s="8">
        <f t="shared" si="13"/>
        <v>9.3659447296135623E-2</v>
      </c>
      <c r="L73" s="24">
        <f>PEARSON($F44:$F63,L44:L63)</f>
        <v>-0.10104573048065274</v>
      </c>
      <c r="M73" s="29">
        <f t="shared" si="12"/>
        <v>-0.39741993350556487</v>
      </c>
      <c r="N73" s="29">
        <f t="shared" si="12"/>
        <v>0.5949519629017368</v>
      </c>
      <c r="O73" s="29"/>
      <c r="P73" s="29"/>
      <c r="Q73" s="29"/>
      <c r="R73" s="29"/>
      <c r="S73" s="268">
        <f>358.812937594486-360</f>
        <v>-1.1870624055139842</v>
      </c>
      <c r="T73" s="29"/>
      <c r="U73" s="29"/>
      <c r="V73" s="29"/>
      <c r="W73" s="29"/>
      <c r="Y73" s="8">
        <f t="shared" ref="Y73:AF73" si="14">PEARSON($F44:$F63,Y44:Y63)</f>
        <v>-0.44126241329438676</v>
      </c>
      <c r="Z73" s="8">
        <f t="shared" ref="Z73:AD73" si="15">PEARSON($F44:$F63,Z44:Z63)</f>
        <v>-0.46134712450129373</v>
      </c>
      <c r="AA73" s="24">
        <f t="shared" si="15"/>
        <v>-0.56186872687604561</v>
      </c>
      <c r="AB73" s="8">
        <f t="shared" si="15"/>
        <v>-5.671952129939704E-3</v>
      </c>
      <c r="AC73" s="8">
        <f t="shared" si="15"/>
        <v>4.7848794624200434E-2</v>
      </c>
      <c r="AD73" s="24">
        <f t="shared" si="15"/>
        <v>-0.14902578696358851</v>
      </c>
      <c r="AE73" s="29">
        <f t="shared" si="14"/>
        <v>-0.13463635223971587</v>
      </c>
      <c r="AF73" s="29">
        <f t="shared" si="14"/>
        <v>0.54547278564715107</v>
      </c>
    </row>
    <row r="76" spans="2:45" x14ac:dyDescent="0.2">
      <c r="G76" s="19">
        <f>_xlfn.T.TEST(G7:G26,G44:G63,2,2)</f>
        <v>0.84436104245858734</v>
      </c>
      <c r="H76" s="19">
        <f t="shared" ref="H76:N76" si="16">_xlfn.T.TEST(H7:H26,H44:H63,2,2)</f>
        <v>0.86641518568497633</v>
      </c>
      <c r="I76" s="19">
        <f t="shared" si="16"/>
        <v>0.78952271782071348</v>
      </c>
      <c r="J76" s="19">
        <f t="shared" si="16"/>
        <v>0.10322636806490719</v>
      </c>
      <c r="K76" s="19">
        <f t="shared" si="16"/>
        <v>0.12242370254753651</v>
      </c>
      <c r="L76" s="19">
        <f t="shared" si="16"/>
        <v>0.14307112920348306</v>
      </c>
      <c r="M76" s="19">
        <f t="shared" si="16"/>
        <v>6.5501545588752115E-12</v>
      </c>
      <c r="N76" s="19">
        <f t="shared" si="16"/>
        <v>0.51810666503893343</v>
      </c>
      <c r="O76" s="19"/>
      <c r="P76" s="19"/>
      <c r="Q76" s="19"/>
      <c r="R76" s="19"/>
      <c r="S76" s="19"/>
      <c r="T76" s="19"/>
      <c r="U76" s="19"/>
      <c r="V76" s="19"/>
      <c r="W76" s="19"/>
      <c r="Y76" s="19">
        <f>_xlfn.T.TEST(Y7:Y26,Y44:Y63,2,2)</f>
        <v>0.95846329083975434</v>
      </c>
      <c r="Z76" s="19">
        <f t="shared" ref="Z76:AF76" si="17">_xlfn.T.TEST(Z7:Z26,Z44:Z63,2,2)</f>
        <v>0.96954066627811497</v>
      </c>
      <c r="AA76" s="19">
        <f t="shared" si="17"/>
        <v>0.82254265507244917</v>
      </c>
      <c r="AB76" s="19">
        <f t="shared" si="17"/>
        <v>9.8885422203317842E-3</v>
      </c>
      <c r="AC76" s="19">
        <f t="shared" si="17"/>
        <v>1.8841259688987332E-2</v>
      </c>
      <c r="AD76" s="28">
        <f t="shared" si="17"/>
        <v>2.0038654086215479E-2</v>
      </c>
      <c r="AE76" s="19">
        <f t="shared" si="17"/>
        <v>2.5913946737451298E-10</v>
      </c>
      <c r="AF76" s="19">
        <f t="shared" si="17"/>
        <v>0.53781757273080899</v>
      </c>
    </row>
    <row r="78" spans="2:45" x14ac:dyDescent="0.2">
      <c r="O78" s="25" t="s">
        <v>160</v>
      </c>
      <c r="U78" s="126" t="s">
        <v>161</v>
      </c>
      <c r="V78" s="125"/>
      <c r="W78" s="125"/>
      <c r="X78" s="125"/>
      <c r="Y78" s="125"/>
      <c r="Z78" s="125"/>
      <c r="AA78" s="125"/>
      <c r="AB78" s="311" t="s">
        <v>179</v>
      </c>
      <c r="AC78" s="311"/>
      <c r="AD78" s="311"/>
      <c r="AE78" s="311"/>
      <c r="AF78" s="311"/>
      <c r="AG78" s="311"/>
      <c r="AH78" s="18"/>
      <c r="AI78" s="311" t="s">
        <v>165</v>
      </c>
      <c r="AJ78" s="311"/>
      <c r="AK78" s="311"/>
      <c r="AL78" s="311"/>
      <c r="AM78" s="311"/>
      <c r="AN78" s="18"/>
      <c r="AR78" s="25" t="s">
        <v>165</v>
      </c>
    </row>
    <row r="79" spans="2:45" x14ac:dyDescent="0.2">
      <c r="O79" s="128" t="s">
        <v>148</v>
      </c>
      <c r="P79" s="128" t="s">
        <v>149</v>
      </c>
      <c r="Q79" s="128" t="s">
        <v>150</v>
      </c>
      <c r="R79" s="128" t="s">
        <v>151</v>
      </c>
      <c r="S79" s="128" t="s">
        <v>152</v>
      </c>
      <c r="T79" s="127"/>
      <c r="U79" s="128" t="s">
        <v>148</v>
      </c>
      <c r="V79" s="128" t="s">
        <v>149</v>
      </c>
      <c r="W79" s="128" t="s">
        <v>150</v>
      </c>
      <c r="X79" s="128" t="s">
        <v>151</v>
      </c>
      <c r="Y79" s="128" t="s">
        <v>152</v>
      </c>
      <c r="Z79" s="128"/>
      <c r="AA79" s="128" t="s">
        <v>185</v>
      </c>
      <c r="AB79" s="128" t="s">
        <v>182</v>
      </c>
      <c r="AC79" s="127" t="s">
        <v>181</v>
      </c>
      <c r="AD79" s="127" t="s">
        <v>180</v>
      </c>
      <c r="AE79" s="18" t="s">
        <v>89</v>
      </c>
      <c r="AF79" s="18" t="s">
        <v>90</v>
      </c>
      <c r="AG79" s="18" t="s">
        <v>188</v>
      </c>
      <c r="AH79" s="128" t="s">
        <v>182</v>
      </c>
      <c r="AI79" s="127" t="s">
        <v>181</v>
      </c>
      <c r="AJ79" s="127" t="s">
        <v>180</v>
      </c>
      <c r="AK79" s="18" t="s">
        <v>89</v>
      </c>
      <c r="AL79" s="18" t="s">
        <v>90</v>
      </c>
      <c r="AM79" s="18"/>
      <c r="AP79" s="127" t="s">
        <v>91</v>
      </c>
      <c r="AQ79" s="18" t="s">
        <v>89</v>
      </c>
      <c r="AR79" s="18" t="s">
        <v>90</v>
      </c>
    </row>
    <row r="80" spans="2:45" x14ac:dyDescent="0.2">
      <c r="O80" s="125">
        <f>O7-O44</f>
        <v>-1.1993124737860974</v>
      </c>
      <c r="P80" s="125">
        <f t="shared" ref="P80:S80" si="18">P7-P44</f>
        <v>3.8012706301356012</v>
      </c>
      <c r="Q80" s="125">
        <f t="shared" si="18"/>
        <v>2.7212134951024005</v>
      </c>
      <c r="R80" s="125">
        <f t="shared" si="18"/>
        <v>-0.71294650031889972</v>
      </c>
      <c r="S80" s="125">
        <f t="shared" si="18"/>
        <v>-10.749246629912989</v>
      </c>
      <c r="T80" s="125"/>
      <c r="U80" s="125">
        <f t="shared" ref="U80:U99" si="19">AG7+O80+O103</f>
        <v>24.620702697505902</v>
      </c>
      <c r="V80" s="125">
        <f t="shared" ref="V80:V99" si="20">AH7+P80+P103</f>
        <v>-15.2837443204523</v>
      </c>
      <c r="W80" s="125">
        <f t="shared" ref="W80:W99" si="21">AI7+Q80+Q103</f>
        <v>18.903269329790703</v>
      </c>
      <c r="X80" s="125">
        <f t="shared" ref="X80:X99" si="22">AJ7+R80+R103</f>
        <v>24.3089784196614</v>
      </c>
      <c r="Y80" s="125">
        <f t="shared" ref="Y80:Y99" si="23">AK7+S80+S103</f>
        <v>128.95636599503601</v>
      </c>
      <c r="Z80" s="125"/>
      <c r="AA80" s="124" t="s">
        <v>1</v>
      </c>
      <c r="AB80" s="140">
        <v>3.0930578043747898</v>
      </c>
      <c r="AC80" s="140">
        <v>3.37399817251814</v>
      </c>
      <c r="AD80" s="141">
        <v>4.9573311196218901</v>
      </c>
      <c r="AE80" s="20">
        <v>14.4075408683145</v>
      </c>
      <c r="AF80" s="20">
        <v>5.0045024473984903</v>
      </c>
      <c r="AG80" s="20">
        <v>7.593638416983465</v>
      </c>
      <c r="AH80" s="20">
        <v>4.0274436931917403</v>
      </c>
      <c r="AI80" s="141">
        <v>3.4661195078920701</v>
      </c>
      <c r="AJ80" s="141">
        <v>5.4725647490192202</v>
      </c>
      <c r="AK80" s="20">
        <v>23.054496303246701</v>
      </c>
      <c r="AL80" s="20">
        <v>6.9683479818242802</v>
      </c>
      <c r="AM80" s="20">
        <v>9.5406892425981358</v>
      </c>
      <c r="AN80" s="124" t="s">
        <v>1</v>
      </c>
      <c r="AP80" s="20">
        <v>6.2325543208731</v>
      </c>
      <c r="AQ80" s="20">
        <v>23.054496303246701</v>
      </c>
      <c r="AR80" s="20">
        <v>6.9683479818242802</v>
      </c>
      <c r="AS80" s="124" t="s">
        <v>166</v>
      </c>
    </row>
    <row r="81" spans="15:45" x14ac:dyDescent="0.2">
      <c r="O81" s="125">
        <f t="shared" ref="O81:S81" si="24">O8-O45</f>
        <v>0.75736546672631277</v>
      </c>
      <c r="P81" s="125">
        <f t="shared" si="24"/>
        <v>-22.665022023770106</v>
      </c>
      <c r="Q81" s="125">
        <f t="shared" si="24"/>
        <v>13.640869616716202</v>
      </c>
      <c r="R81" s="125">
        <f t="shared" si="24"/>
        <v>25.919190570855399</v>
      </c>
      <c r="S81" s="125">
        <f t="shared" si="24"/>
        <v>4.5999566860940035</v>
      </c>
      <c r="T81" s="125"/>
      <c r="U81" s="125">
        <f t="shared" si="19"/>
        <v>69.993041031550106</v>
      </c>
      <c r="V81" s="125">
        <f t="shared" si="20"/>
        <v>-60.922168105390803</v>
      </c>
      <c r="W81" s="125">
        <f t="shared" si="21"/>
        <v>52.029817886756106</v>
      </c>
      <c r="X81" s="125">
        <f t="shared" si="22"/>
        <v>80.116243771101097</v>
      </c>
      <c r="Y81" s="125">
        <f t="shared" si="23"/>
        <v>139.50142979118601</v>
      </c>
      <c r="Z81" s="125"/>
      <c r="AA81" s="130" t="s">
        <v>3</v>
      </c>
      <c r="AB81" s="140">
        <v>1.2689159191519901</v>
      </c>
      <c r="AC81" s="140">
        <v>4.5083392488606098</v>
      </c>
      <c r="AD81" s="140">
        <v>6.0803428773672703</v>
      </c>
      <c r="AE81" s="20">
        <v>10.7888712606909</v>
      </c>
      <c r="AF81" s="20">
        <v>5.3882475435633301</v>
      </c>
      <c r="AG81" s="20">
        <v>7.2739498010450561</v>
      </c>
      <c r="AH81" s="20">
        <v>1.34134958905055</v>
      </c>
      <c r="AI81" s="140">
        <v>4.7190308160104104</v>
      </c>
      <c r="AJ81" s="140">
        <v>5.74147536190089</v>
      </c>
      <c r="AK81" s="20">
        <v>21.501883122755299</v>
      </c>
      <c r="AL81" s="20">
        <v>10.712655208998701</v>
      </c>
      <c r="AM81" s="150">
        <v>9.4236245788962929</v>
      </c>
      <c r="AN81" s="130" t="s">
        <v>3</v>
      </c>
      <c r="AP81" s="20">
        <v>12.420544169862902</v>
      </c>
      <c r="AQ81" s="20">
        <v>33.138224669395697</v>
      </c>
      <c r="AR81" s="20">
        <v>11.515476813194301</v>
      </c>
      <c r="AS81" s="124" t="s">
        <v>178</v>
      </c>
    </row>
    <row r="82" spans="15:45" x14ac:dyDescent="0.2">
      <c r="O82" s="125">
        <f t="shared" ref="O82:S82" si="25">O9-O46</f>
        <v>5.9901474642169994</v>
      </c>
      <c r="P82" s="125">
        <f t="shared" si="25"/>
        <v>-16.481138203355897</v>
      </c>
      <c r="Q82" s="125">
        <f t="shared" si="25"/>
        <v>8.4445604104266039</v>
      </c>
      <c r="R82" s="125">
        <f t="shared" si="25"/>
        <v>18.392523372747405</v>
      </c>
      <c r="S82" s="125">
        <f t="shared" si="25"/>
        <v>2.1218709201170043</v>
      </c>
      <c r="T82" s="125"/>
      <c r="U82" s="125">
        <f t="shared" si="19"/>
        <v>31.574823629400498</v>
      </c>
      <c r="V82" s="125">
        <f t="shared" si="20"/>
        <v>-57.275835625109693</v>
      </c>
      <c r="W82" s="125">
        <f t="shared" si="21"/>
        <v>36.970363174803303</v>
      </c>
      <c r="X82" s="125">
        <f t="shared" si="22"/>
        <v>68.171321681711902</v>
      </c>
      <c r="Y82" s="125">
        <f t="shared" si="23"/>
        <v>147.158596723161</v>
      </c>
      <c r="Z82" s="125"/>
      <c r="AA82" s="144" t="s">
        <v>5</v>
      </c>
      <c r="AB82" s="140">
        <v>1.5331147841099899</v>
      </c>
      <c r="AC82" s="140">
        <v>5.32061356194935</v>
      </c>
      <c r="AD82" s="142">
        <v>7.7465262506630204</v>
      </c>
      <c r="AE82" s="143">
        <v>10.200089166837</v>
      </c>
      <c r="AF82" s="143">
        <v>3.6283800610024302</v>
      </c>
      <c r="AG82" s="20">
        <v>6.3265618797021466</v>
      </c>
      <c r="AH82" s="143">
        <v>2.04350115933007</v>
      </c>
      <c r="AI82" s="142">
        <v>6.0359490391525199</v>
      </c>
      <c r="AJ82" s="142">
        <v>9.0562367558174905</v>
      </c>
      <c r="AK82" s="143">
        <v>20.673767763174599</v>
      </c>
      <c r="AL82" s="143">
        <v>7.8558817846723699</v>
      </c>
      <c r="AM82" s="150">
        <v>7.5757564106764379</v>
      </c>
      <c r="AN82" s="144" t="s">
        <v>5</v>
      </c>
      <c r="AP82" s="20">
        <v>10.974959489529731</v>
      </c>
      <c r="AQ82" s="20">
        <v>28.7959723598258</v>
      </c>
      <c r="AR82" s="20">
        <v>8.2664891727324807</v>
      </c>
      <c r="AS82" s="135" t="s">
        <v>175</v>
      </c>
    </row>
    <row r="83" spans="15:45" x14ac:dyDescent="0.2">
      <c r="O83" s="125">
        <f t="shared" ref="O83:S83" si="26">O10-O47</f>
        <v>1.0959595625556986</v>
      </c>
      <c r="P83" s="125">
        <f t="shared" si="26"/>
        <v>9.249425580236398</v>
      </c>
      <c r="Q83" s="125">
        <f t="shared" si="26"/>
        <v>5.3780932459283051</v>
      </c>
      <c r="R83" s="125">
        <f t="shared" si="26"/>
        <v>9.9879381193850065</v>
      </c>
      <c r="S83" s="125">
        <f t="shared" si="26"/>
        <v>-2.6592284995409017</v>
      </c>
      <c r="T83" s="125"/>
      <c r="U83" s="125">
        <f t="shared" si="19"/>
        <v>59.227934287640601</v>
      </c>
      <c r="V83" s="125">
        <f t="shared" si="20"/>
        <v>56.562017838747501</v>
      </c>
      <c r="W83" s="125">
        <f t="shared" si="21"/>
        <v>67.164000566148005</v>
      </c>
      <c r="X83" s="125">
        <f t="shared" si="22"/>
        <v>87.8081137141683</v>
      </c>
      <c r="Y83" s="125">
        <f t="shared" si="23"/>
        <v>49.897665256107501</v>
      </c>
      <c r="Z83" s="125"/>
      <c r="AA83" s="131" t="s">
        <v>7</v>
      </c>
      <c r="AB83" s="140">
        <v>1.34828349230162</v>
      </c>
      <c r="AC83" s="140">
        <v>3.4587553468677501</v>
      </c>
      <c r="AD83" s="141">
        <v>2.7823190165629401</v>
      </c>
      <c r="AE83" s="20">
        <v>8.8334997139649101</v>
      </c>
      <c r="AF83" s="20">
        <v>4.8619991488796801</v>
      </c>
      <c r="AG83" s="20">
        <v>8.0601652508726076</v>
      </c>
      <c r="AH83" s="20">
        <v>1.2946620578499799</v>
      </c>
      <c r="AI83" s="140">
        <v>3.3604232148403801</v>
      </c>
      <c r="AJ83" s="148">
        <v>2.79097004758074</v>
      </c>
      <c r="AK83" s="20">
        <v>17.222377930137199</v>
      </c>
      <c r="AL83" s="20">
        <v>8.1934538211833008</v>
      </c>
      <c r="AM83" s="150">
        <v>7.9524656228516761</v>
      </c>
      <c r="AN83" s="131" t="s">
        <v>7</v>
      </c>
      <c r="AP83" s="21">
        <v>19.106773952666046</v>
      </c>
      <c r="AQ83" s="21">
        <v>20.673767763174599</v>
      </c>
      <c r="AR83" s="21">
        <v>7.8558817846723699</v>
      </c>
      <c r="AS83" s="25" t="s">
        <v>167</v>
      </c>
    </row>
    <row r="84" spans="15:45" x14ac:dyDescent="0.2">
      <c r="O84" s="125">
        <f t="shared" ref="O84:S84" si="27">O11-O48</f>
        <v>2.4860804191417998</v>
      </c>
      <c r="P84" s="125">
        <f t="shared" si="27"/>
        <v>-1.2745281578120302</v>
      </c>
      <c r="Q84" s="125">
        <f t="shared" si="27"/>
        <v>8.1138186027039012</v>
      </c>
      <c r="R84" s="125">
        <f t="shared" si="27"/>
        <v>7.9575487369026945</v>
      </c>
      <c r="S84" s="125">
        <f t="shared" si="27"/>
        <v>1.3814794278392952</v>
      </c>
      <c r="T84" s="125"/>
      <c r="U84" s="125">
        <f t="shared" si="19"/>
        <v>82.447040448058701</v>
      </c>
      <c r="V84" s="125">
        <f t="shared" si="20"/>
        <v>7.2980405273407598</v>
      </c>
      <c r="W84" s="125">
        <f t="shared" si="21"/>
        <v>88.118586105904498</v>
      </c>
      <c r="X84" s="125">
        <f t="shared" si="22"/>
        <v>88.420283944592796</v>
      </c>
      <c r="Y84" s="125">
        <f t="shared" si="23"/>
        <v>85.265530293772201</v>
      </c>
      <c r="Z84" s="125"/>
      <c r="AA84" s="137" t="s">
        <v>9</v>
      </c>
      <c r="AB84" s="140">
        <v>0.81104262709743502</v>
      </c>
      <c r="AC84" s="140">
        <v>1.15706049880469</v>
      </c>
      <c r="AD84" s="141">
        <v>2.7707320360717902</v>
      </c>
      <c r="AE84" s="20">
        <v>7.4537107588169196</v>
      </c>
      <c r="AF84" s="20">
        <v>3.6913361225427699</v>
      </c>
      <c r="AG84" s="150">
        <v>7.6530427251829325</v>
      </c>
      <c r="AH84" s="20">
        <v>1.0255065945520501</v>
      </c>
      <c r="AI84" s="140">
        <v>1.11735667359114</v>
      </c>
      <c r="AJ84" s="141">
        <v>3.6320054002319502</v>
      </c>
      <c r="AK84" s="20">
        <v>14.793498583213401</v>
      </c>
      <c r="AL84" s="20">
        <v>7.1987213831861503</v>
      </c>
      <c r="AM84" s="20">
        <v>8.1961254762402529</v>
      </c>
      <c r="AN84" s="137" t="s">
        <v>9</v>
      </c>
      <c r="AP84" s="20">
        <v>4.9022648138619136</v>
      </c>
      <c r="AQ84" s="20">
        <v>14.793498583213401</v>
      </c>
      <c r="AR84" s="20">
        <v>7.1987213831861503</v>
      </c>
      <c r="AS84" s="124" t="s">
        <v>168</v>
      </c>
    </row>
    <row r="85" spans="15:45" x14ac:dyDescent="0.2">
      <c r="O85" s="125">
        <f t="shared" ref="O85:S85" si="28">O12-O49</f>
        <v>1.5138349786751988</v>
      </c>
      <c r="P85" s="125">
        <f t="shared" si="28"/>
        <v>-11.524782095973212</v>
      </c>
      <c r="Q85" s="125">
        <f t="shared" si="28"/>
        <v>8.0379950025246956</v>
      </c>
      <c r="R85" s="125">
        <f t="shared" si="28"/>
        <v>-10.357079407553499</v>
      </c>
      <c r="S85" s="125">
        <f t="shared" si="28"/>
        <v>-11.21836134071998</v>
      </c>
      <c r="T85" s="125"/>
      <c r="U85" s="125">
        <f t="shared" si="19"/>
        <v>35.075853835834302</v>
      </c>
      <c r="V85" s="125">
        <f t="shared" si="20"/>
        <v>5.0829179837636884</v>
      </c>
      <c r="W85" s="125">
        <f t="shared" si="21"/>
        <v>-43.373053990782402</v>
      </c>
      <c r="X85" s="125">
        <f t="shared" si="22"/>
        <v>43.669873685608401</v>
      </c>
      <c r="Y85" s="125">
        <f t="shared" si="23"/>
        <v>276.68404422198699</v>
      </c>
      <c r="Z85" s="125"/>
      <c r="AA85" s="133" t="s">
        <v>11</v>
      </c>
      <c r="AB85" s="140">
        <v>2.8387097644998298</v>
      </c>
      <c r="AC85" s="140">
        <v>3.5661005165729498</v>
      </c>
      <c r="AD85" s="141">
        <v>3.10339006714368</v>
      </c>
      <c r="AE85" s="20">
        <v>17.669337730281999</v>
      </c>
      <c r="AF85" s="20">
        <v>5.5549576776796403</v>
      </c>
      <c r="AG85" s="20">
        <v>8.6224080484375207</v>
      </c>
      <c r="AH85" s="20">
        <v>2.9269502092780799</v>
      </c>
      <c r="AI85" s="140">
        <v>5.5957307794601796</v>
      </c>
      <c r="AJ85" s="148">
        <v>5.0161621569856898</v>
      </c>
      <c r="AK85" s="20">
        <v>33.138224669395697</v>
      </c>
      <c r="AL85" s="20">
        <v>11.515476813194301</v>
      </c>
      <c r="AM85" s="20">
        <v>12.617089891086861</v>
      </c>
      <c r="AN85" s="133" t="s">
        <v>11</v>
      </c>
      <c r="AP85" s="20">
        <v>3.2911610055280573</v>
      </c>
      <c r="AQ85" s="20">
        <v>19.3940779708261</v>
      </c>
      <c r="AR85" s="20">
        <v>6.3935321441496402</v>
      </c>
      <c r="AS85" s="124" t="s">
        <v>169</v>
      </c>
    </row>
    <row r="86" spans="15:45" x14ac:dyDescent="0.2">
      <c r="O86" s="125">
        <f t="shared" ref="O86:S86" si="29">O13-O50</f>
        <v>-6.1730064315398181E-2</v>
      </c>
      <c r="P86" s="125">
        <f t="shared" si="29"/>
        <v>12.212374536774306</v>
      </c>
      <c r="Q86" s="125">
        <f t="shared" si="29"/>
        <v>11.936012916793949</v>
      </c>
      <c r="R86" s="125">
        <f t="shared" si="29"/>
        <v>12.872126383505503</v>
      </c>
      <c r="S86" s="125">
        <f t="shared" si="29"/>
        <v>-351.46224473491316</v>
      </c>
      <c r="T86" s="125"/>
      <c r="U86" s="125">
        <f t="shared" si="19"/>
        <v>62.021836981433403</v>
      </c>
      <c r="V86" s="125">
        <f t="shared" si="20"/>
        <v>81.410542405895299</v>
      </c>
      <c r="W86" s="125">
        <f t="shared" si="21"/>
        <v>10.502149911103398</v>
      </c>
      <c r="X86" s="125">
        <f t="shared" si="22"/>
        <v>82.085148276514502</v>
      </c>
      <c r="Y86" s="125">
        <f t="shared" si="23"/>
        <v>7.3506928595728596</v>
      </c>
      <c r="Z86" s="125"/>
      <c r="AA86" s="145" t="s">
        <v>13</v>
      </c>
      <c r="AB86" s="140">
        <v>1.39030420917689</v>
      </c>
      <c r="AC86" s="140">
        <v>2.1342573460467098</v>
      </c>
      <c r="AD86" s="142">
        <v>4.28971898998791</v>
      </c>
      <c r="AE86" s="143">
        <v>8.6472946136009803</v>
      </c>
      <c r="AF86" s="143">
        <v>3.0713544540153501</v>
      </c>
      <c r="AG86" s="20">
        <v>6.8750030248596046</v>
      </c>
      <c r="AH86" s="143">
        <v>1.5118062123490399</v>
      </c>
      <c r="AI86" s="142">
        <v>2.44342903357213</v>
      </c>
      <c r="AJ86" s="142">
        <v>4.6415450489011798</v>
      </c>
      <c r="AK86" s="143">
        <v>19.772236247622001</v>
      </c>
      <c r="AL86" s="143">
        <v>6.2050329186741999</v>
      </c>
      <c r="AM86" s="20">
        <v>8.1267615364731736</v>
      </c>
      <c r="AN86" s="145" t="s">
        <v>13</v>
      </c>
      <c r="AP86" s="20">
        <v>11.535487761674862</v>
      </c>
      <c r="AQ86" s="20">
        <v>20.565298118689</v>
      </c>
      <c r="AR86" s="20">
        <v>9.35883617653265</v>
      </c>
      <c r="AS86" s="124" t="s">
        <v>170</v>
      </c>
    </row>
    <row r="87" spans="15:45" x14ac:dyDescent="0.2">
      <c r="O87" s="125">
        <f t="shared" ref="O87:S87" si="30">O14-O51</f>
        <v>2.2981255261996054</v>
      </c>
      <c r="P87" s="125">
        <f t="shared" si="30"/>
        <v>7.0584401163271053</v>
      </c>
      <c r="Q87" s="125">
        <f t="shared" si="30"/>
        <v>5.3208507424446054</v>
      </c>
      <c r="R87" s="125">
        <f t="shared" si="30"/>
        <v>8.3757921009576961</v>
      </c>
      <c r="S87" s="125">
        <f t="shared" si="30"/>
        <v>-1.8691277624443003</v>
      </c>
      <c r="T87" s="125"/>
      <c r="U87" s="125">
        <f t="shared" si="19"/>
        <v>65.885341698948807</v>
      </c>
      <c r="V87" s="125">
        <f t="shared" si="20"/>
        <v>52.471738312453503</v>
      </c>
      <c r="W87" s="125">
        <f t="shared" si="21"/>
        <v>74.203797369268699</v>
      </c>
      <c r="X87" s="125">
        <f t="shared" si="22"/>
        <v>90.881719094381594</v>
      </c>
      <c r="Y87" s="125">
        <f t="shared" si="23"/>
        <v>54.734719789841598</v>
      </c>
      <c r="Z87" s="125"/>
      <c r="AA87" s="131" t="s">
        <v>15</v>
      </c>
      <c r="AB87" s="140">
        <v>2.1311212459608302</v>
      </c>
      <c r="AC87" s="140">
        <v>1.2027762556131201</v>
      </c>
      <c r="AD87" s="141">
        <v>3.6196097866566901</v>
      </c>
      <c r="AE87" s="20">
        <v>8.5613215788339492</v>
      </c>
      <c r="AF87" s="20">
        <v>4.4259290547961996</v>
      </c>
      <c r="AG87" s="20">
        <v>7.7008149049065588</v>
      </c>
      <c r="AH87" s="20">
        <v>2.1842702121312598</v>
      </c>
      <c r="AI87" s="140">
        <v>1.17896732737237</v>
      </c>
      <c r="AJ87" s="141">
        <v>4.2559297653116701</v>
      </c>
      <c r="AK87" s="20">
        <v>15.590780031940101</v>
      </c>
      <c r="AL87" s="20">
        <v>8.1705143490924996</v>
      </c>
      <c r="AM87" s="20">
        <v>8.5208494046056913</v>
      </c>
      <c r="AN87" s="131" t="s">
        <v>15</v>
      </c>
      <c r="AP87" s="20">
        <v>7.4883240825965611</v>
      </c>
      <c r="AQ87" s="20">
        <v>19.4600437840061</v>
      </c>
      <c r="AR87" s="20">
        <v>7.2463221027296196</v>
      </c>
      <c r="AS87" s="124" t="s">
        <v>171</v>
      </c>
    </row>
    <row r="88" spans="15:45" x14ac:dyDescent="0.2">
      <c r="O88" s="125">
        <f t="shared" ref="O88:S88" si="31">O15-O52</f>
        <v>-3.2649895697770006</v>
      </c>
      <c r="P88" s="125">
        <f t="shared" si="31"/>
        <v>-3.8791563701835017</v>
      </c>
      <c r="Q88" s="125">
        <f t="shared" si="31"/>
        <v>2.1077873459545984</v>
      </c>
      <c r="R88" s="125">
        <f t="shared" si="31"/>
        <v>-1.8428276943667043</v>
      </c>
      <c r="S88" s="125">
        <f t="shared" si="31"/>
        <v>2.9877043485106043</v>
      </c>
      <c r="T88" s="125"/>
      <c r="U88" s="125">
        <f t="shared" si="19"/>
        <v>36.234542043872302</v>
      </c>
      <c r="V88" s="125">
        <f t="shared" si="20"/>
        <v>59.654250501928097</v>
      </c>
      <c r="W88" s="125">
        <f t="shared" si="21"/>
        <v>47.134208375774499</v>
      </c>
      <c r="X88" s="125">
        <f t="shared" si="22"/>
        <v>76.028042209159395</v>
      </c>
      <c r="Y88" s="125">
        <f t="shared" si="23"/>
        <v>38.313082251747801</v>
      </c>
      <c r="Z88" s="125"/>
      <c r="AA88" s="138" t="s">
        <v>17</v>
      </c>
      <c r="AB88" s="140">
        <v>1.5489667100265401</v>
      </c>
      <c r="AC88" s="140">
        <v>18.102556210232802</v>
      </c>
      <c r="AD88" s="141">
        <v>2.1249588892532199</v>
      </c>
      <c r="AE88" s="20">
        <v>10.336735252970399</v>
      </c>
      <c r="AF88" s="20">
        <v>3.15464973347658</v>
      </c>
      <c r="AG88" s="150">
        <v>16.751587986109865</v>
      </c>
      <c r="AH88" s="20">
        <v>1.73630672607919</v>
      </c>
      <c r="AI88" s="140">
        <v>23.8895770540157</v>
      </c>
      <c r="AJ88" s="141">
        <v>2.1402503349188202</v>
      </c>
      <c r="AK88" s="20">
        <v>19.3940779708261</v>
      </c>
      <c r="AL88" s="20">
        <v>6.3935321441496402</v>
      </c>
      <c r="AM88" s="20">
        <v>29.99169743164904</v>
      </c>
      <c r="AN88" s="138" t="s">
        <v>17</v>
      </c>
      <c r="AP88" s="20">
        <v>8.0366128891940072</v>
      </c>
      <c r="AQ88" s="20">
        <v>19.9386845108999</v>
      </c>
      <c r="AR88" s="20">
        <v>7.2817706364893597</v>
      </c>
      <c r="AS88" s="124" t="s">
        <v>172</v>
      </c>
    </row>
    <row r="89" spans="15:45" x14ac:dyDescent="0.2">
      <c r="O89" s="125">
        <f t="shared" ref="O89:S89" si="32">O16-O53</f>
        <v>2.1089796228854993</v>
      </c>
      <c r="P89" s="125">
        <f t="shared" si="32"/>
        <v>4.466241308393208</v>
      </c>
      <c r="Q89" s="125">
        <f t="shared" si="32"/>
        <v>6.2415490405409031</v>
      </c>
      <c r="R89" s="125">
        <f t="shared" si="32"/>
        <v>7.1725790749505052</v>
      </c>
      <c r="S89" s="125">
        <f t="shared" si="32"/>
        <v>1.8851217312354933</v>
      </c>
      <c r="T89" s="125"/>
      <c r="U89" s="125">
        <f t="shared" si="19"/>
        <v>46.088091142499898</v>
      </c>
      <c r="V89" s="125">
        <f t="shared" si="20"/>
        <v>71.436520797496001</v>
      </c>
      <c r="W89" s="125">
        <f t="shared" si="21"/>
        <v>49.081128278497502</v>
      </c>
      <c r="X89" s="125">
        <f t="shared" si="22"/>
        <v>86.672565767614202</v>
      </c>
      <c r="Y89" s="125">
        <f t="shared" si="23"/>
        <v>34.491374657334497</v>
      </c>
      <c r="Z89" s="125"/>
      <c r="AA89" s="138" t="s">
        <v>19</v>
      </c>
      <c r="AB89" s="140">
        <v>1.6961089055986101</v>
      </c>
      <c r="AC89" s="140">
        <v>3.0579530087212201</v>
      </c>
      <c r="AD89" s="141">
        <v>4.5184547831164101</v>
      </c>
      <c r="AE89" s="20">
        <v>11.6316909805969</v>
      </c>
      <c r="AF89" s="20">
        <v>5.0945581491151302</v>
      </c>
      <c r="AG89" s="20">
        <v>6.9625528828346104</v>
      </c>
      <c r="AH89" s="20">
        <v>1.7848747449431499</v>
      </c>
      <c r="AI89" s="140">
        <v>2.7585549599095698</v>
      </c>
      <c r="AJ89" s="148">
        <v>4.5441872660222202</v>
      </c>
      <c r="AK89" s="20">
        <v>20.565298118689</v>
      </c>
      <c r="AL89" s="20">
        <v>9.35883617653265</v>
      </c>
      <c r="AM89" s="150">
        <v>7.9428267285771161</v>
      </c>
      <c r="AN89" s="138" t="s">
        <v>19</v>
      </c>
      <c r="AP89" s="20">
        <v>5.8682169305458478</v>
      </c>
      <c r="AQ89" s="20">
        <v>16.855831134660601</v>
      </c>
      <c r="AR89" s="20">
        <v>8.7843198070561606</v>
      </c>
      <c r="AS89" s="124" t="s">
        <v>173</v>
      </c>
    </row>
    <row r="90" spans="15:45" x14ac:dyDescent="0.2">
      <c r="O90" s="125">
        <f t="shared" ref="O90:S90" si="33">O17-O54</f>
        <v>6.7393982912951014</v>
      </c>
      <c r="P90" s="125">
        <f t="shared" si="33"/>
        <v>10.442697568785</v>
      </c>
      <c r="Q90" s="125">
        <f t="shared" si="33"/>
        <v>-8.2194520859495412E-2</v>
      </c>
      <c r="R90" s="125">
        <f t="shared" si="33"/>
        <v>7.7630552298020987</v>
      </c>
      <c r="S90" s="125">
        <f t="shared" si="33"/>
        <v>7.2548275603929824</v>
      </c>
      <c r="T90" s="125"/>
      <c r="U90" s="125">
        <f t="shared" si="19"/>
        <v>22.142512065787201</v>
      </c>
      <c r="V90" s="125">
        <f t="shared" si="20"/>
        <v>46.067358138170498</v>
      </c>
      <c r="W90" s="125">
        <f t="shared" si="21"/>
        <v>-37.213459139091299</v>
      </c>
      <c r="X90" s="125">
        <f t="shared" si="22"/>
        <v>59.220292357664697</v>
      </c>
      <c r="Y90" s="125">
        <f t="shared" si="23"/>
        <v>321.06853630154899</v>
      </c>
      <c r="Z90" s="125"/>
      <c r="AA90" s="146" t="s">
        <v>21</v>
      </c>
      <c r="AB90" s="140">
        <v>1.03248892980773</v>
      </c>
      <c r="AC90" s="140">
        <v>4.0557229957024603</v>
      </c>
      <c r="AD90" s="142">
        <v>5.6458947741943799</v>
      </c>
      <c r="AE90" s="143">
        <v>12.3308782901029</v>
      </c>
      <c r="AF90" s="143">
        <v>3.76112206210711</v>
      </c>
      <c r="AG90" s="20">
        <v>6.9902758601789561</v>
      </c>
      <c r="AH90" s="143">
        <v>1.49206997409013</v>
      </c>
      <c r="AI90" s="142">
        <v>4.6720530960399298</v>
      </c>
      <c r="AJ90" s="149">
        <v>6.7348233327564397</v>
      </c>
      <c r="AK90" s="143">
        <v>28.7959723598258</v>
      </c>
      <c r="AL90" s="143">
        <v>8.2664891727324807</v>
      </c>
      <c r="AM90" s="20">
        <v>8.5549433277456082</v>
      </c>
      <c r="AN90" s="146" t="s">
        <v>21</v>
      </c>
      <c r="AP90" s="21">
        <v>19.960749302197165</v>
      </c>
      <c r="AQ90" s="21">
        <v>24.671930668946299</v>
      </c>
      <c r="AR90" s="21">
        <v>10.042839423054</v>
      </c>
      <c r="AS90" s="25" t="s">
        <v>174</v>
      </c>
    </row>
    <row r="91" spans="15:45" x14ac:dyDescent="0.2">
      <c r="O91" s="125">
        <f t="shared" ref="O91:S91" si="34">O18-O55</f>
        <v>1.0842799478147924</v>
      </c>
      <c r="P91" s="125">
        <f t="shared" si="34"/>
        <v>4.3653696932848298</v>
      </c>
      <c r="Q91" s="125">
        <f t="shared" si="34"/>
        <v>9.7894885373085998</v>
      </c>
      <c r="R91" s="125">
        <f t="shared" si="34"/>
        <v>10.073724969718199</v>
      </c>
      <c r="S91" s="125">
        <f t="shared" si="34"/>
        <v>-2.6660449189841984</v>
      </c>
      <c r="T91" s="125"/>
      <c r="U91" s="125">
        <f t="shared" si="19"/>
        <v>78.372130148837599</v>
      </c>
      <c r="V91" s="125">
        <f t="shared" si="20"/>
        <v>7.8177889328544392</v>
      </c>
      <c r="W91" s="125">
        <f t="shared" si="21"/>
        <v>83.540798416092201</v>
      </c>
      <c r="X91" s="125">
        <f t="shared" si="22"/>
        <v>83.905797319355798</v>
      </c>
      <c r="Y91" s="125">
        <f t="shared" si="23"/>
        <v>84.653802643006401</v>
      </c>
      <c r="Z91" s="125"/>
      <c r="AA91" s="137" t="s">
        <v>23</v>
      </c>
      <c r="AB91" s="140">
        <v>2.0955613998804701</v>
      </c>
      <c r="AC91" s="140">
        <v>1.8812588789089499</v>
      </c>
      <c r="AD91" s="141">
        <v>2.5036614600571001</v>
      </c>
      <c r="AE91" s="20">
        <v>10.0996752726604</v>
      </c>
      <c r="AF91" s="20">
        <v>3.7792342900332598</v>
      </c>
      <c r="AG91" s="20">
        <v>7.6964562556962521</v>
      </c>
      <c r="AH91" s="20">
        <v>2.04795073112538</v>
      </c>
      <c r="AI91" s="140">
        <v>2.2634949642980602</v>
      </c>
      <c r="AJ91" s="148">
        <v>3.00724056662047</v>
      </c>
      <c r="AK91" s="20">
        <v>19.4600437840061</v>
      </c>
      <c r="AL91" s="20">
        <v>7.2463221027296196</v>
      </c>
      <c r="AM91" s="20">
        <v>9.0478784424978613</v>
      </c>
      <c r="AN91" s="137" t="s">
        <v>23</v>
      </c>
      <c r="AP91" s="20">
        <v>8.9550202589176564</v>
      </c>
      <c r="AQ91" s="20">
        <v>17.222377930137199</v>
      </c>
      <c r="AR91" s="20">
        <v>8.1934538211833008</v>
      </c>
      <c r="AS91" s="124" t="s">
        <v>176</v>
      </c>
    </row>
    <row r="92" spans="15:45" x14ac:dyDescent="0.2">
      <c r="O92" s="125">
        <f t="shared" ref="O92:S92" si="35">O19-O56</f>
        <v>4.9215787613534978</v>
      </c>
      <c r="P92" s="125">
        <f t="shared" si="35"/>
        <v>5.8712124994217021</v>
      </c>
      <c r="Q92" s="125">
        <f t="shared" si="35"/>
        <v>8.2706040120341981</v>
      </c>
      <c r="R92" s="125">
        <f t="shared" si="35"/>
        <v>9.6076306204554029</v>
      </c>
      <c r="S92" s="125">
        <f t="shared" si="35"/>
        <v>2.7247245348024975</v>
      </c>
      <c r="T92" s="125"/>
      <c r="U92" s="125">
        <f t="shared" si="19"/>
        <v>34.434499464600904</v>
      </c>
      <c r="V92" s="125">
        <f t="shared" si="20"/>
        <v>58.375249836887996</v>
      </c>
      <c r="W92" s="125">
        <f t="shared" si="21"/>
        <v>44.390632238518499</v>
      </c>
      <c r="X92" s="125">
        <f t="shared" si="22"/>
        <v>73.33619859288109</v>
      </c>
      <c r="Y92" s="125">
        <f t="shared" si="23"/>
        <v>37.250659692572</v>
      </c>
      <c r="Z92" s="125"/>
      <c r="AA92" s="147" t="s">
        <v>25</v>
      </c>
      <c r="AB92" s="140">
        <v>1.7272038263134</v>
      </c>
      <c r="AC92" s="140">
        <v>6.2668072982394296</v>
      </c>
      <c r="AD92" s="142">
        <v>5.82983795040305</v>
      </c>
      <c r="AE92" s="143">
        <v>7.7809815445303103</v>
      </c>
      <c r="AF92" s="143">
        <v>2.5955464618633299</v>
      </c>
      <c r="AG92" s="20">
        <v>6.3157715411165993</v>
      </c>
      <c r="AH92" s="143">
        <v>1.9575377764584601</v>
      </c>
      <c r="AI92" s="142">
        <v>7.60010166229854</v>
      </c>
      <c r="AJ92" s="142">
        <v>7.0553861057833398</v>
      </c>
      <c r="AK92" s="143">
        <v>16.155397374584801</v>
      </c>
      <c r="AL92" s="143">
        <v>5.4562328527622501</v>
      </c>
      <c r="AM92" s="20">
        <v>7.4067045407851877</v>
      </c>
      <c r="AN92" s="147" t="s">
        <v>25</v>
      </c>
      <c r="AP92" s="20">
        <v>7.1795154013439513</v>
      </c>
      <c r="AQ92" s="20">
        <v>15.590780031940101</v>
      </c>
      <c r="AR92" s="20">
        <v>8.1705143490924996</v>
      </c>
      <c r="AS92" s="124" t="s">
        <v>177</v>
      </c>
    </row>
    <row r="93" spans="15:45" x14ac:dyDescent="0.2">
      <c r="O93" s="125">
        <f t="shared" ref="O93:S93" si="36">O20-O57</f>
        <v>-0.89727550709100967</v>
      </c>
      <c r="P93" s="125">
        <f t="shared" si="36"/>
        <v>-6.7948859955175003</v>
      </c>
      <c r="Q93" s="125">
        <f t="shared" si="36"/>
        <v>-6.4781356145957005</v>
      </c>
      <c r="R93" s="125">
        <f t="shared" si="36"/>
        <v>8.9626430881467058</v>
      </c>
      <c r="S93" s="125">
        <f t="shared" si="36"/>
        <v>-3.4788399035869872</v>
      </c>
      <c r="T93" s="125"/>
      <c r="U93" s="125">
        <f t="shared" si="19"/>
        <v>65.333873387921997</v>
      </c>
      <c r="V93" s="125">
        <f t="shared" si="20"/>
        <v>-25.902903025033002</v>
      </c>
      <c r="W93" s="125">
        <f t="shared" si="21"/>
        <v>-43.614415218110999</v>
      </c>
      <c r="X93" s="125">
        <f t="shared" si="22"/>
        <v>50.726498005894904</v>
      </c>
      <c r="Y93" s="125">
        <f t="shared" si="23"/>
        <v>239.29363050297201</v>
      </c>
      <c r="Z93" s="125"/>
      <c r="AA93" s="139" t="s">
        <v>27</v>
      </c>
      <c r="AB93" s="140">
        <v>1.2257005652281701</v>
      </c>
      <c r="AC93" s="140">
        <v>3.85633233825118</v>
      </c>
      <c r="AD93" s="141">
        <v>2.66935805351785</v>
      </c>
      <c r="AE93" s="20">
        <v>10.373804729743901</v>
      </c>
      <c r="AF93" s="20">
        <v>3.9641827724140302</v>
      </c>
      <c r="AG93" s="20">
        <v>7.5569490932862236</v>
      </c>
      <c r="AH93" s="20">
        <v>1.4182648802748501</v>
      </c>
      <c r="AI93" s="140">
        <v>4.6944150678870598</v>
      </c>
      <c r="AJ93" s="148">
        <v>3.2029652410458298</v>
      </c>
      <c r="AK93" s="20">
        <v>19.9386845108999</v>
      </c>
      <c r="AL93" s="20">
        <v>7.2817706364893597</v>
      </c>
      <c r="AM93" s="20">
        <v>9.7105654637098695</v>
      </c>
      <c r="AN93" s="139" t="s">
        <v>27</v>
      </c>
      <c r="AS93" s="124"/>
    </row>
    <row r="94" spans="15:45" x14ac:dyDescent="0.2">
      <c r="O94" s="125">
        <f t="shared" ref="O94:S94" si="37">O21-O58</f>
        <v>-9.9917955567200067E-2</v>
      </c>
      <c r="P94" s="125">
        <f t="shared" si="37"/>
        <v>-5.6555947161796976</v>
      </c>
      <c r="Q94" s="125">
        <f t="shared" si="37"/>
        <v>-5.0505387283611043</v>
      </c>
      <c r="R94" s="125">
        <f t="shared" si="37"/>
        <v>6.6167048440342029</v>
      </c>
      <c r="S94" s="125">
        <f t="shared" si="37"/>
        <v>-4.0487529454919979</v>
      </c>
      <c r="T94" s="125"/>
      <c r="U94" s="125">
        <f t="shared" si="19"/>
        <v>63.1228652991893</v>
      </c>
      <c r="V94" s="125">
        <f t="shared" si="20"/>
        <v>-19.971624401424002</v>
      </c>
      <c r="W94" s="125">
        <f t="shared" si="21"/>
        <v>-52.133235443407301</v>
      </c>
      <c r="X94" s="125">
        <f t="shared" si="22"/>
        <v>55.8277710376234</v>
      </c>
      <c r="Y94" s="125">
        <f t="shared" si="23"/>
        <v>249.03875605683501</v>
      </c>
      <c r="Z94" s="125"/>
      <c r="AA94" s="139" t="s">
        <v>29</v>
      </c>
      <c r="AB94" s="140">
        <v>0.61924760010165603</v>
      </c>
      <c r="AC94" s="140">
        <v>2.2866187222645</v>
      </c>
      <c r="AD94" s="141">
        <v>1.5926717856029</v>
      </c>
      <c r="AE94" s="20">
        <v>8.3450137110771099</v>
      </c>
      <c r="AF94" s="20">
        <v>4.5704158388784899</v>
      </c>
      <c r="AG94" s="20">
        <v>7.6566564188597015</v>
      </c>
      <c r="AH94" s="20">
        <v>0.85900818885126995</v>
      </c>
      <c r="AI94" s="140">
        <v>2.7745110370067301</v>
      </c>
      <c r="AJ94" s="141">
        <v>2.0521467999019101</v>
      </c>
      <c r="AK94" s="20">
        <v>16.855831134660601</v>
      </c>
      <c r="AL94" s="20">
        <v>8.7843198070561606</v>
      </c>
      <c r="AM94" s="20">
        <v>9.2601128571189442</v>
      </c>
      <c r="AN94" s="139" t="s">
        <v>29</v>
      </c>
      <c r="AS94" s="124"/>
    </row>
    <row r="95" spans="15:45" x14ac:dyDescent="0.2">
      <c r="O95" s="125">
        <f t="shared" ref="O95:S95" si="38">O22-O59</f>
        <v>6.1912509165359992</v>
      </c>
      <c r="P95" s="125">
        <f t="shared" si="38"/>
        <v>-19.413577378339696</v>
      </c>
      <c r="Q95" s="125">
        <f t="shared" si="38"/>
        <v>12.387409883012204</v>
      </c>
      <c r="R95" s="125">
        <f t="shared" si="38"/>
        <v>22.921644977724092</v>
      </c>
      <c r="S95" s="125">
        <f t="shared" si="38"/>
        <v>1.7453495531119927</v>
      </c>
      <c r="T95" s="125"/>
      <c r="U95" s="125">
        <f t="shared" si="19"/>
        <v>48.677864880990199</v>
      </c>
      <c r="V95" s="125">
        <f t="shared" si="20"/>
        <v>-67.856858121147297</v>
      </c>
      <c r="W95" s="125">
        <f t="shared" si="21"/>
        <v>51.6391423538929</v>
      </c>
      <c r="X95" s="125">
        <f t="shared" si="22"/>
        <v>85.271063187456093</v>
      </c>
      <c r="Y95" s="125">
        <f t="shared" si="23"/>
        <v>142.72882598588899</v>
      </c>
      <c r="Z95" s="125"/>
      <c r="AA95" s="136" t="s">
        <v>31</v>
      </c>
      <c r="AB95" s="140">
        <v>2.1212317034437702</v>
      </c>
      <c r="AC95" s="140">
        <v>4.0227876923544796</v>
      </c>
      <c r="AD95" s="140">
        <v>6.3124899162306001</v>
      </c>
      <c r="AE95" s="20">
        <v>13.398217435486799</v>
      </c>
      <c r="AF95" s="20">
        <v>5.0737523734858101</v>
      </c>
      <c r="AG95" s="20">
        <v>9.9855728062858944</v>
      </c>
      <c r="AH95" s="20">
        <v>2.3483218409369599</v>
      </c>
      <c r="AI95" s="140">
        <v>3.9072087180114901</v>
      </c>
      <c r="AJ95" s="140">
        <v>6.0750579685802402</v>
      </c>
      <c r="AK95" s="20">
        <v>24.671930668946299</v>
      </c>
      <c r="AL95" s="20">
        <v>10.042839423054</v>
      </c>
      <c r="AM95" s="20">
        <v>12.634593301299509</v>
      </c>
      <c r="AN95" s="136" t="s">
        <v>31</v>
      </c>
      <c r="AS95" s="124"/>
    </row>
    <row r="96" spans="15:45" x14ac:dyDescent="0.2">
      <c r="O96" s="125">
        <f t="shared" ref="O96:S96" si="39">O23-O60</f>
        <v>2.9481448377072041</v>
      </c>
      <c r="P96" s="125">
        <f t="shared" si="39"/>
        <v>7.3511109541719009</v>
      </c>
      <c r="Q96" s="125">
        <f t="shared" si="39"/>
        <v>6.6038359865952998</v>
      </c>
      <c r="R96" s="125">
        <f t="shared" si="39"/>
        <v>7.772644177646697</v>
      </c>
      <c r="S96" s="125">
        <f t="shared" si="39"/>
        <v>-4.1400388081892032</v>
      </c>
      <c r="T96" s="125"/>
      <c r="U96" s="125">
        <f t="shared" si="19"/>
        <v>78.033776611849305</v>
      </c>
      <c r="V96" s="125">
        <f t="shared" si="20"/>
        <v>18.317687409943701</v>
      </c>
      <c r="W96" s="125">
        <f t="shared" si="21"/>
        <v>86.5257887623155</v>
      </c>
      <c r="X96" s="125">
        <f t="shared" si="22"/>
        <v>88.443483609530304</v>
      </c>
      <c r="Y96" s="125">
        <f t="shared" si="23"/>
        <v>78.046851291028304</v>
      </c>
      <c r="Z96" s="125"/>
      <c r="AA96" s="132" t="s">
        <v>33</v>
      </c>
      <c r="AB96" s="142">
        <v>4.1226380214807401</v>
      </c>
      <c r="AC96" s="140">
        <v>1.2178591483655701</v>
      </c>
      <c r="AD96" s="140">
        <v>3.6801103882802502</v>
      </c>
      <c r="AE96" s="20">
        <v>8.3743746488869508</v>
      </c>
      <c r="AF96" s="20">
        <v>3.2574299111921299</v>
      </c>
      <c r="AG96" s="20">
        <v>6.4874809383461089</v>
      </c>
      <c r="AH96" s="20">
        <v>3.5490984194056501</v>
      </c>
      <c r="AI96" s="140">
        <v>1.2304303664245</v>
      </c>
      <c r="AJ96" s="148">
        <v>4.9271319895608698</v>
      </c>
      <c r="AK96" s="20">
        <v>15.631650360489701</v>
      </c>
      <c r="AL96" s="20">
        <v>5.8821465649636702</v>
      </c>
      <c r="AM96" s="20">
        <v>7.4199307309133973</v>
      </c>
      <c r="AN96" s="132" t="s">
        <v>33</v>
      </c>
      <c r="AS96" s="124"/>
    </row>
    <row r="97" spans="15:45" x14ac:dyDescent="0.2">
      <c r="O97" s="125">
        <f t="shared" ref="O97:S97" si="40">O24-O61</f>
        <v>-3.6600018291896959</v>
      </c>
      <c r="P97" s="125">
        <f t="shared" si="40"/>
        <v>-9.7930030479927979</v>
      </c>
      <c r="Q97" s="125">
        <f t="shared" si="40"/>
        <v>5.4376046353826979</v>
      </c>
      <c r="R97" s="125">
        <f t="shared" si="40"/>
        <v>11.185279473202613</v>
      </c>
      <c r="S97" s="125">
        <f t="shared" si="40"/>
        <v>0.38867538653198608</v>
      </c>
      <c r="T97" s="125"/>
      <c r="U97" s="125">
        <f t="shared" si="19"/>
        <v>51.831925682729903</v>
      </c>
      <c r="V97" s="125">
        <f t="shared" si="20"/>
        <v>-79.964715758564793</v>
      </c>
      <c r="W97" s="125">
        <f t="shared" si="21"/>
        <v>49.819388212707501</v>
      </c>
      <c r="X97" s="125">
        <f t="shared" si="22"/>
        <v>94.214262233679406</v>
      </c>
      <c r="Y97" s="125">
        <f t="shared" si="23"/>
        <v>148.07638648800099</v>
      </c>
      <c r="Z97" s="125"/>
      <c r="AA97" s="130" t="s">
        <v>35</v>
      </c>
      <c r="AB97" s="140">
        <v>4.68001326647751</v>
      </c>
      <c r="AC97" s="140">
        <v>3.44197126881491</v>
      </c>
      <c r="AD97" s="141">
        <v>1.83063575260464</v>
      </c>
      <c r="AE97" s="20">
        <v>11.187036022275599</v>
      </c>
      <c r="AF97" s="20">
        <v>4.9552815984847802</v>
      </c>
      <c r="AG97" s="20">
        <v>6.7364179957085986</v>
      </c>
      <c r="AH97" s="20">
        <v>4.8060491311651701</v>
      </c>
      <c r="AI97" s="140">
        <v>3.4491328005791702</v>
      </c>
      <c r="AJ97" s="141">
        <v>1.81726769530859</v>
      </c>
      <c r="AK97" s="20">
        <v>21.082787694397901</v>
      </c>
      <c r="AL97" s="20">
        <v>11.0023471613471</v>
      </c>
      <c r="AM97" s="150">
        <v>8.1128625184021459</v>
      </c>
      <c r="AN97" s="130" t="s">
        <v>35</v>
      </c>
      <c r="AS97" s="124"/>
    </row>
    <row r="98" spans="15:45" x14ac:dyDescent="0.2">
      <c r="O98" s="125">
        <f t="shared" ref="O98:S98" si="41">O25-O62</f>
        <v>1.8613635469748999</v>
      </c>
      <c r="P98" s="125">
        <f t="shared" si="41"/>
        <v>2.5885694665251009</v>
      </c>
      <c r="Q98" s="125">
        <f t="shared" si="41"/>
        <v>5.9189669364748028</v>
      </c>
      <c r="R98" s="125">
        <f t="shared" si="41"/>
        <v>5.4339821336447045</v>
      </c>
      <c r="S98" s="125">
        <f t="shared" si="41"/>
        <v>2.2329697626037017</v>
      </c>
      <c r="T98" s="125"/>
      <c r="U98" s="125">
        <f t="shared" si="19"/>
        <v>49.729140923295198</v>
      </c>
      <c r="V98" s="125">
        <f t="shared" si="20"/>
        <v>75.939783201408005</v>
      </c>
      <c r="W98" s="125">
        <f t="shared" si="21"/>
        <v>52.659571471562202</v>
      </c>
      <c r="X98" s="125">
        <f t="shared" si="22"/>
        <v>92.411477318812601</v>
      </c>
      <c r="Y98" s="125">
        <f t="shared" si="23"/>
        <v>34.738929818771503</v>
      </c>
      <c r="Z98" s="125"/>
      <c r="AA98" s="134" t="s">
        <v>37</v>
      </c>
      <c r="AB98" s="140">
        <v>1.19548730586078</v>
      </c>
      <c r="AC98" s="140">
        <v>1.66449232092549</v>
      </c>
      <c r="AD98" s="141">
        <v>3.4420733687609899</v>
      </c>
      <c r="AE98" s="20">
        <v>9.8158112774231299</v>
      </c>
      <c r="AF98" s="20">
        <v>3.5277009521671499</v>
      </c>
      <c r="AG98" s="20">
        <v>6.7831708049567627</v>
      </c>
      <c r="AH98" s="20">
        <v>1.1936011414885599</v>
      </c>
      <c r="AI98" s="140">
        <v>1.4544938924956701</v>
      </c>
      <c r="AJ98" s="148">
        <v>3.38831344874666</v>
      </c>
      <c r="AK98" s="20">
        <v>17.972386419063799</v>
      </c>
      <c r="AL98" s="20">
        <v>6.8028550191594501</v>
      </c>
      <c r="AM98" s="20">
        <v>7.6656994230247211</v>
      </c>
      <c r="AN98" s="134" t="s">
        <v>37</v>
      </c>
      <c r="AS98" s="124"/>
    </row>
    <row r="99" spans="15:45" x14ac:dyDescent="0.2">
      <c r="O99" s="125">
        <f t="shared" ref="O99:S99" si="42">O26-O63</f>
        <v>-4.4262292758509005</v>
      </c>
      <c r="P99" s="125">
        <f t="shared" si="42"/>
        <v>15.235261928885032</v>
      </c>
      <c r="Q99" s="125">
        <f t="shared" si="42"/>
        <v>-10.593669505049405</v>
      </c>
      <c r="R99" s="125">
        <f t="shared" si="42"/>
        <v>12.280048894509797</v>
      </c>
      <c r="S99" s="125">
        <f t="shared" si="42"/>
        <v>11.913834358537997</v>
      </c>
      <c r="T99" s="125"/>
      <c r="U99" s="125">
        <f t="shared" si="19"/>
        <v>46.987109906926101</v>
      </c>
      <c r="V99" s="125">
        <f t="shared" si="20"/>
        <v>15.654973817200601</v>
      </c>
      <c r="W99" s="125">
        <f t="shared" si="21"/>
        <v>-71.758112733398903</v>
      </c>
      <c r="X99" s="125">
        <f t="shared" si="22"/>
        <v>73.445932142470696</v>
      </c>
      <c r="Y99" s="125">
        <f t="shared" si="23"/>
        <v>282.30699321203798</v>
      </c>
      <c r="Z99" s="125"/>
      <c r="AA99" s="133" t="s">
        <v>39</v>
      </c>
      <c r="AB99" s="142">
        <v>4.2127763802203297</v>
      </c>
      <c r="AC99" s="140">
        <v>6.3560674285102898</v>
      </c>
      <c r="AD99" s="140">
        <v>3.7176711628803401</v>
      </c>
      <c r="AE99" s="20">
        <v>9.2865994402042205</v>
      </c>
      <c r="AF99" s="20">
        <v>3.60158794976839</v>
      </c>
      <c r="AG99" s="20">
        <v>7.4489849394717398</v>
      </c>
      <c r="AH99" s="20">
        <v>4.9036327504257899</v>
      </c>
      <c r="AI99" s="140">
        <v>6.1050805234840304</v>
      </c>
      <c r="AJ99" s="148">
        <v>3.8921022380330199</v>
      </c>
      <c r="AK99" s="20">
        <v>18.256601526665499</v>
      </c>
      <c r="AL99" s="20">
        <v>7.78132717360449</v>
      </c>
      <c r="AM99" s="150">
        <v>7.7898125799080278</v>
      </c>
      <c r="AN99" s="133" t="s">
        <v>39</v>
      </c>
      <c r="AS99" s="124"/>
    </row>
    <row r="100" spans="15:45" x14ac:dyDescent="0.2"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40">
        <f t="shared" ref="AB100:AM100" si="43">AVERAGE(AB80:AB99)</f>
        <v>2.0345987230556539</v>
      </c>
      <c r="AC100" s="140">
        <f t="shared" si="43"/>
        <v>4.0466164129262303</v>
      </c>
      <c r="AD100" s="140">
        <f t="shared" si="43"/>
        <v>3.9608894214488459</v>
      </c>
      <c r="AE100" s="140">
        <f t="shared" si="43"/>
        <v>10.47612421486499</v>
      </c>
      <c r="AF100" s="140">
        <f t="shared" si="43"/>
        <v>4.1481084301432034</v>
      </c>
      <c r="AG100" s="140">
        <f t="shared" si="43"/>
        <v>7.8738730787420579</v>
      </c>
      <c r="AH100" s="140">
        <f t="shared" si="43"/>
        <v>2.2226103016488663</v>
      </c>
      <c r="AI100" s="140">
        <f t="shared" si="43"/>
        <v>4.6358030267170829</v>
      </c>
      <c r="AJ100" s="140">
        <f t="shared" si="43"/>
        <v>4.4721881136513613</v>
      </c>
      <c r="AK100" s="140">
        <f t="shared" si="43"/>
        <v>20.226396328727027</v>
      </c>
      <c r="AL100" s="140">
        <f t="shared" si="43"/>
        <v>8.0559551247703336</v>
      </c>
      <c r="AM100" s="140">
        <f t="shared" si="43"/>
        <v>9.8745494754529979</v>
      </c>
    </row>
    <row r="101" spans="15:45" x14ac:dyDescent="0.2">
      <c r="O101" s="126" t="s">
        <v>159</v>
      </c>
      <c r="P101" s="125"/>
      <c r="Q101" s="125"/>
      <c r="R101" s="125"/>
      <c r="S101" s="125"/>
      <c r="T101" s="125"/>
      <c r="U101" s="126" t="s">
        <v>162</v>
      </c>
      <c r="V101" s="125"/>
      <c r="W101" s="125"/>
      <c r="X101" s="125"/>
      <c r="Y101" s="125"/>
      <c r="Z101" s="125"/>
      <c r="AA101" s="126" t="s">
        <v>163</v>
      </c>
      <c r="AH101" s="18" t="s">
        <v>164</v>
      </c>
    </row>
    <row r="102" spans="15:45" x14ac:dyDescent="0.2">
      <c r="O102" s="128" t="s">
        <v>148</v>
      </c>
      <c r="P102" s="128" t="s">
        <v>149</v>
      </c>
      <c r="Q102" s="128" t="s">
        <v>150</v>
      </c>
      <c r="R102" s="128" t="s">
        <v>151</v>
      </c>
      <c r="S102" s="128" t="s">
        <v>152</v>
      </c>
      <c r="T102" s="127"/>
      <c r="U102" s="128" t="s">
        <v>148</v>
      </c>
      <c r="V102" s="128" t="s">
        <v>149</v>
      </c>
      <c r="W102" s="128" t="s">
        <v>150</v>
      </c>
      <c r="X102" s="128" t="s">
        <v>151</v>
      </c>
      <c r="Y102" s="128" t="s">
        <v>152</v>
      </c>
      <c r="Z102" s="125"/>
      <c r="AA102" s="128" t="s">
        <v>148</v>
      </c>
      <c r="AB102" s="128" t="s">
        <v>149</v>
      </c>
      <c r="AC102" s="128" t="s">
        <v>150</v>
      </c>
      <c r="AD102" s="128" t="s">
        <v>151</v>
      </c>
      <c r="AE102" s="128" t="s">
        <v>152</v>
      </c>
      <c r="AH102" s="128" t="s">
        <v>148</v>
      </c>
      <c r="AI102" s="128" t="s">
        <v>149</v>
      </c>
      <c r="AJ102" s="128" t="s">
        <v>150</v>
      </c>
      <c r="AK102" s="128" t="s">
        <v>151</v>
      </c>
      <c r="AL102" s="128" t="s">
        <v>152</v>
      </c>
    </row>
    <row r="103" spans="15:45" x14ac:dyDescent="0.2">
      <c r="O103" s="125">
        <f>O44-AG7</f>
        <v>4.9213330090996976</v>
      </c>
      <c r="P103" s="125">
        <f t="shared" ref="P103:S118" si="44">P44-AH7</f>
        <v>-4.4590993693625016</v>
      </c>
      <c r="Q103" s="125">
        <f t="shared" si="44"/>
        <v>1.6953362823333986</v>
      </c>
      <c r="R103" s="125">
        <f t="shared" si="44"/>
        <v>4.4359478973147013</v>
      </c>
      <c r="S103" s="125">
        <f t="shared" si="44"/>
        <v>4.4316668220579913</v>
      </c>
      <c r="T103" s="125"/>
      <c r="U103" s="125">
        <f>AG44-U80</f>
        <v>-2.3820645422853026</v>
      </c>
      <c r="V103" s="125">
        <f t="shared" ref="V103:Y118" si="45">AH44-V80</f>
        <v>-3.8302165690117995</v>
      </c>
      <c r="W103" s="125">
        <f t="shared" si="45"/>
        <v>-5.5845572200442035</v>
      </c>
      <c r="X103" s="125">
        <f t="shared" si="45"/>
        <v>-1.0123779563691002</v>
      </c>
      <c r="Y103" s="125">
        <f t="shared" si="45"/>
        <v>16.174640039923986</v>
      </c>
      <c r="Z103" s="125"/>
      <c r="AA103" s="129">
        <f>U103/100</f>
        <v>-2.3820645422853025E-2</v>
      </c>
      <c r="AB103" s="129">
        <f>V103/128</f>
        <v>-2.9923566945404684E-2</v>
      </c>
      <c r="AC103" s="129">
        <f t="shared" ref="AC103:AD118" si="46">W103/128</f>
        <v>-4.362935328159534E-2</v>
      </c>
      <c r="AD103" s="129">
        <f t="shared" si="46"/>
        <v>-7.9092027841335955E-3</v>
      </c>
      <c r="AE103" s="129">
        <f>Y103/360</f>
        <v>4.4929555666455519E-2</v>
      </c>
      <c r="AF103" s="124" t="s">
        <v>1</v>
      </c>
      <c r="AH103" s="129">
        <f t="shared" ref="AH103:AH118" si="47">ABS(AA103)</f>
        <v>2.3820645422853025E-2</v>
      </c>
      <c r="AI103" s="129">
        <f t="shared" ref="AI103:AI118" si="48">ABS(AB103)</f>
        <v>2.9923566945404684E-2</v>
      </c>
      <c r="AJ103" s="129">
        <f t="shared" ref="AJ103:AL104" si="49">ABS(AC103)</f>
        <v>4.362935328159534E-2</v>
      </c>
      <c r="AK103" s="129">
        <f t="shared" si="49"/>
        <v>7.9092027841335955E-3</v>
      </c>
      <c r="AL103" s="129">
        <f t="shared" si="49"/>
        <v>4.4929555666455519E-2</v>
      </c>
    </row>
    <row r="104" spans="15:45" x14ac:dyDescent="0.2">
      <c r="O104" s="125">
        <f t="shared" ref="O104:O122" si="50">O45-AG8</f>
        <v>3.0036809842346912</v>
      </c>
      <c r="P104" s="125">
        <f t="shared" si="44"/>
        <v>13.757742465278902</v>
      </c>
      <c r="Q104" s="125">
        <f t="shared" si="44"/>
        <v>-12.015961762749001</v>
      </c>
      <c r="R104" s="125">
        <f t="shared" si="44"/>
        <v>-18.233628047136797</v>
      </c>
      <c r="S104" s="125">
        <f t="shared" si="44"/>
        <v>-0.99910840812100332</v>
      </c>
      <c r="T104" s="125"/>
      <c r="U104" s="125">
        <f t="shared" ref="U104:U122" si="51">AG45-U81</f>
        <v>-0.65552037714950018</v>
      </c>
      <c r="V104" s="125">
        <f t="shared" si="45"/>
        <v>20.725917694150802</v>
      </c>
      <c r="W104" s="125">
        <f t="shared" si="45"/>
        <v>-9.9351645445331087</v>
      </c>
      <c r="X104" s="125">
        <f t="shared" si="45"/>
        <v>-21.912305870602999</v>
      </c>
      <c r="Y104" s="125">
        <f t="shared" si="45"/>
        <v>-5.8229754439180113</v>
      </c>
      <c r="Z104" s="125"/>
      <c r="AA104" s="129">
        <f t="shared" ref="AA104:AA122" si="52">U104/100</f>
        <v>-6.5552037714950015E-3</v>
      </c>
      <c r="AB104" s="129">
        <f t="shared" ref="AB104:AB122" si="53">V104/128</f>
        <v>0.16192123198555314</v>
      </c>
      <c r="AC104" s="129">
        <f t="shared" si="46"/>
        <v>-7.7618473004164912E-2</v>
      </c>
      <c r="AD104" s="129">
        <f t="shared" si="46"/>
        <v>-0.17118988961408593</v>
      </c>
      <c r="AE104" s="129">
        <f t="shared" ref="AE104:AE122" si="54">Y104/360</f>
        <v>-1.6174931788661143E-2</v>
      </c>
      <c r="AF104" s="130" t="s">
        <v>3</v>
      </c>
      <c r="AH104" s="129">
        <f t="shared" si="47"/>
        <v>6.5552037714950015E-3</v>
      </c>
      <c r="AI104" s="129">
        <f t="shared" si="48"/>
        <v>0.16192123198555314</v>
      </c>
      <c r="AJ104" s="129">
        <f t="shared" si="49"/>
        <v>7.7618473004164912E-2</v>
      </c>
      <c r="AK104" s="129">
        <f t="shared" si="49"/>
        <v>0.17118988961408593</v>
      </c>
      <c r="AL104" s="129">
        <f t="shared" si="49"/>
        <v>1.6174931788661143E-2</v>
      </c>
    </row>
    <row r="105" spans="15:45" x14ac:dyDescent="0.2">
      <c r="O105" s="125">
        <f t="shared" si="50"/>
        <v>-2.9436727920907018</v>
      </c>
      <c r="P105" s="125">
        <f t="shared" si="44"/>
        <v>12.190594739419396</v>
      </c>
      <c r="Q105" s="125">
        <f t="shared" si="44"/>
        <v>-7.2283502298163</v>
      </c>
      <c r="R105" s="125">
        <f t="shared" si="44"/>
        <v>-14.141469538855404</v>
      </c>
      <c r="S105" s="125">
        <f t="shared" si="44"/>
        <v>-0.95203663215599477</v>
      </c>
      <c r="T105" s="125"/>
      <c r="U105" s="125">
        <f t="shared" si="51"/>
        <v>-7.8667205506001991</v>
      </c>
      <c r="V105" s="125">
        <f t="shared" si="45"/>
        <v>15.574597099846194</v>
      </c>
      <c r="W105" s="125">
        <f t="shared" si="45"/>
        <v>-9.5593165919081038</v>
      </c>
      <c r="X105" s="125">
        <f t="shared" si="45"/>
        <v>-18.267827121605499</v>
      </c>
      <c r="Y105" s="125">
        <f t="shared" si="45"/>
        <v>-0.47630438898599436</v>
      </c>
      <c r="Z105" s="125"/>
      <c r="AA105" s="129">
        <f t="shared" si="52"/>
        <v>-7.8667205506001994E-2</v>
      </c>
      <c r="AB105" s="129">
        <f t="shared" si="53"/>
        <v>0.12167653984254839</v>
      </c>
      <c r="AC105" s="129">
        <f t="shared" si="46"/>
        <v>-7.4682160874282061E-2</v>
      </c>
      <c r="AD105" s="129">
        <f t="shared" si="46"/>
        <v>-0.14271739938754296</v>
      </c>
      <c r="AE105" s="129">
        <f t="shared" si="54"/>
        <v>-1.3230677471833176E-3</v>
      </c>
      <c r="AF105" s="130" t="s">
        <v>5</v>
      </c>
      <c r="AH105" s="129">
        <f t="shared" si="47"/>
        <v>7.8667205506001994E-2</v>
      </c>
      <c r="AI105" s="129">
        <f t="shared" si="48"/>
        <v>0.12167653984254839</v>
      </c>
      <c r="AJ105" s="129">
        <f t="shared" ref="AJ105:AL118" si="55">ABS(AC105)</f>
        <v>7.4682160874282061E-2</v>
      </c>
      <c r="AK105" s="129">
        <f t="shared" si="55"/>
        <v>0.14271739938754296</v>
      </c>
      <c r="AL105" s="129">
        <f t="shared" si="55"/>
        <v>1.3230677471833176E-3</v>
      </c>
    </row>
    <row r="106" spans="15:45" x14ac:dyDescent="0.2">
      <c r="O106" s="125">
        <f t="shared" si="50"/>
        <v>3.7813131192601048</v>
      </c>
      <c r="P106" s="125">
        <f t="shared" si="44"/>
        <v>-7.289656207518199</v>
      </c>
      <c r="Q106" s="125">
        <f t="shared" si="44"/>
        <v>-0.22010359827480386</v>
      </c>
      <c r="R106" s="125">
        <f t="shared" si="44"/>
        <v>-4.800348051405507</v>
      </c>
      <c r="S106" s="125">
        <f t="shared" si="44"/>
        <v>3.9239119679826047</v>
      </c>
      <c r="T106" s="125"/>
      <c r="U106" s="125">
        <f t="shared" si="51"/>
        <v>-2.0618941425796038</v>
      </c>
      <c r="V106" s="125">
        <f t="shared" si="45"/>
        <v>-6.8079304552550042</v>
      </c>
      <c r="W106" s="125">
        <f t="shared" si="45"/>
        <v>-4.9573906114161019</v>
      </c>
      <c r="X106" s="125">
        <f t="shared" si="45"/>
        <v>-8.1517797951109969</v>
      </c>
      <c r="Y106" s="125">
        <f t="shared" si="45"/>
        <v>1.4488175076644012</v>
      </c>
      <c r="Z106" s="125"/>
      <c r="AA106" s="129">
        <f t="shared" si="52"/>
        <v>-2.0618941425796039E-2</v>
      </c>
      <c r="AB106" s="129">
        <f t="shared" si="53"/>
        <v>-5.318695668167972E-2</v>
      </c>
      <c r="AC106" s="129">
        <f t="shared" si="46"/>
        <v>-3.8729614151688296E-2</v>
      </c>
      <c r="AD106" s="129">
        <f t="shared" si="46"/>
        <v>-6.3685779649304664E-2</v>
      </c>
      <c r="AE106" s="129">
        <f t="shared" si="54"/>
        <v>4.0244930768455591E-3</v>
      </c>
      <c r="AF106" s="131" t="s">
        <v>7</v>
      </c>
      <c r="AH106" s="129">
        <f t="shared" si="47"/>
        <v>2.0618941425796039E-2</v>
      </c>
      <c r="AI106" s="129">
        <f t="shared" si="48"/>
        <v>5.318695668167972E-2</v>
      </c>
      <c r="AJ106" s="129">
        <f t="shared" si="55"/>
        <v>3.8729614151688296E-2</v>
      </c>
      <c r="AK106" s="129">
        <f t="shared" si="55"/>
        <v>6.3685779649304664E-2</v>
      </c>
      <c r="AL106" s="129">
        <f t="shared" si="55"/>
        <v>4.0244930768455591E-3</v>
      </c>
    </row>
    <row r="107" spans="15:45" x14ac:dyDescent="0.2">
      <c r="O107" s="125">
        <f t="shared" si="50"/>
        <v>1.6779385375600953</v>
      </c>
      <c r="P107" s="125">
        <f t="shared" si="44"/>
        <v>-1.6869733017682105</v>
      </c>
      <c r="Q107" s="125">
        <f t="shared" si="44"/>
        <v>-2.1864657870341091</v>
      </c>
      <c r="R107" s="125">
        <f t="shared" si="44"/>
        <v>-2.3663480393866934</v>
      </c>
      <c r="S107" s="125">
        <f t="shared" si="44"/>
        <v>0.99920911337930818</v>
      </c>
      <c r="T107" s="125"/>
      <c r="U107" s="125">
        <f t="shared" si="51"/>
        <v>-3.366336929001406</v>
      </c>
      <c r="V107" s="125">
        <f t="shared" si="45"/>
        <v>1.2223773399635895</v>
      </c>
      <c r="W107" s="125">
        <f t="shared" si="45"/>
        <v>-5.745917331695793</v>
      </c>
      <c r="X107" s="125">
        <f t="shared" si="45"/>
        <v>-5.6081225090947981</v>
      </c>
      <c r="Y107" s="125">
        <f t="shared" si="45"/>
        <v>-1.171057051103304</v>
      </c>
      <c r="Z107" s="125"/>
      <c r="AA107" s="129">
        <f t="shared" si="52"/>
        <v>-3.366336929001406E-2</v>
      </c>
      <c r="AB107" s="129">
        <f t="shared" si="53"/>
        <v>9.5498229684655433E-3</v>
      </c>
      <c r="AC107" s="129">
        <f t="shared" si="46"/>
        <v>-4.4889979153873383E-2</v>
      </c>
      <c r="AD107" s="129">
        <f t="shared" si="46"/>
        <v>-4.3813457102303111E-2</v>
      </c>
      <c r="AE107" s="129">
        <f t="shared" si="54"/>
        <v>-3.2529362530647333E-3</v>
      </c>
      <c r="AF107" s="132" t="s">
        <v>9</v>
      </c>
      <c r="AH107" s="129">
        <f t="shared" si="47"/>
        <v>3.366336929001406E-2</v>
      </c>
      <c r="AI107" s="129">
        <f t="shared" si="48"/>
        <v>9.5498229684655433E-3</v>
      </c>
      <c r="AJ107" s="129">
        <f t="shared" si="55"/>
        <v>4.4889979153873383E-2</v>
      </c>
      <c r="AK107" s="129">
        <f t="shared" si="55"/>
        <v>4.3813457102303111E-2</v>
      </c>
      <c r="AL107" s="129">
        <f t="shared" si="55"/>
        <v>3.2529362530647333E-3</v>
      </c>
    </row>
    <row r="108" spans="15:45" x14ac:dyDescent="0.2">
      <c r="O108" s="125">
        <f t="shared" si="50"/>
        <v>-1.1790513976718984</v>
      </c>
      <c r="P108" s="125">
        <f t="shared" si="44"/>
        <v>12.34866165011903</v>
      </c>
      <c r="Q108" s="125">
        <f t="shared" si="44"/>
        <v>-8.4796921566601</v>
      </c>
      <c r="R108" s="125">
        <f t="shared" si="44"/>
        <v>10.884852910388197</v>
      </c>
      <c r="S108" s="125">
        <f t="shared" si="44"/>
        <v>12.23687127616995</v>
      </c>
      <c r="T108" s="125"/>
      <c r="U108" s="125">
        <f t="shared" si="51"/>
        <v>0.79111909960939641</v>
      </c>
      <c r="V108" s="125">
        <f t="shared" si="45"/>
        <v>8.0794108501392117</v>
      </c>
      <c r="W108" s="125">
        <f t="shared" si="45"/>
        <v>-7.4737834497239959</v>
      </c>
      <c r="X108" s="125">
        <f t="shared" si="45"/>
        <v>8.8529573313225001</v>
      </c>
      <c r="Y108" s="125">
        <f t="shared" si="45"/>
        <v>7.8290967032870071</v>
      </c>
      <c r="Z108" s="125"/>
      <c r="AA108" s="129">
        <f t="shared" si="52"/>
        <v>7.9111909960939645E-3</v>
      </c>
      <c r="AB108" s="129">
        <f t="shared" si="53"/>
        <v>6.3120397266712591E-2</v>
      </c>
      <c r="AC108" s="129">
        <f t="shared" si="46"/>
        <v>-5.8388933200968718E-2</v>
      </c>
      <c r="AD108" s="129">
        <f t="shared" si="46"/>
        <v>6.9163729150957032E-2</v>
      </c>
      <c r="AE108" s="129">
        <f t="shared" si="54"/>
        <v>2.1747490842463909E-2</v>
      </c>
      <c r="AF108" s="133" t="s">
        <v>11</v>
      </c>
      <c r="AH108" s="129">
        <f t="shared" si="47"/>
        <v>7.9111909960939645E-3</v>
      </c>
      <c r="AI108" s="129">
        <f t="shared" si="48"/>
        <v>6.3120397266712591E-2</v>
      </c>
      <c r="AJ108" s="129">
        <f t="shared" si="55"/>
        <v>5.8388933200968718E-2</v>
      </c>
      <c r="AK108" s="129">
        <f t="shared" si="55"/>
        <v>6.9163729150957032E-2</v>
      </c>
      <c r="AL108" s="129">
        <f t="shared" si="55"/>
        <v>2.1747490842463909E-2</v>
      </c>
    </row>
    <row r="109" spans="15:45" x14ac:dyDescent="0.2">
      <c r="O109" s="125">
        <f t="shared" si="50"/>
        <v>1.3444028893183031</v>
      </c>
      <c r="P109" s="125">
        <f t="shared" si="44"/>
        <v>-5.6830831497769054</v>
      </c>
      <c r="Q109" s="125">
        <f t="shared" si="44"/>
        <v>-6.6470796789019602</v>
      </c>
      <c r="R109" s="125">
        <f t="shared" si="44"/>
        <v>-5.8494812775957001</v>
      </c>
      <c r="S109" s="125">
        <f t="shared" si="44"/>
        <v>354.83044365868517</v>
      </c>
      <c r="T109" s="125"/>
      <c r="U109" s="125">
        <f t="shared" si="51"/>
        <v>-0.35191687401220406</v>
      </c>
      <c r="V109" s="125">
        <f t="shared" si="45"/>
        <v>-7.5447031171667049</v>
      </c>
      <c r="W109" s="125">
        <f>AI50-W86</f>
        <v>-10.106146664129019</v>
      </c>
      <c r="X109" s="125">
        <f t="shared" si="45"/>
        <v>-8.2182474859717018</v>
      </c>
      <c r="Y109" s="125">
        <f t="shared" si="45"/>
        <v>-7.0435265487049312</v>
      </c>
      <c r="Z109" s="125"/>
      <c r="AA109" s="129">
        <f t="shared" si="52"/>
        <v>-3.5191687401220405E-3</v>
      </c>
      <c r="AB109" s="129">
        <f t="shared" si="53"/>
        <v>-5.8942993102864882E-2</v>
      </c>
      <c r="AC109" s="129">
        <f t="shared" si="46"/>
        <v>-7.8954270813507962E-2</v>
      </c>
      <c r="AD109" s="129">
        <f t="shared" si="46"/>
        <v>-6.4205058484153921E-2</v>
      </c>
      <c r="AE109" s="129">
        <f t="shared" si="54"/>
        <v>-1.9565351524180364E-2</v>
      </c>
      <c r="AF109" s="124" t="s">
        <v>13</v>
      </c>
      <c r="AH109" s="129">
        <f t="shared" si="47"/>
        <v>3.5191687401220405E-3</v>
      </c>
      <c r="AI109" s="129">
        <f t="shared" si="48"/>
        <v>5.8942993102864882E-2</v>
      </c>
      <c r="AJ109" s="129">
        <f t="shared" si="55"/>
        <v>7.8954270813507962E-2</v>
      </c>
      <c r="AK109" s="129">
        <f t="shared" si="55"/>
        <v>6.4205058484153921E-2</v>
      </c>
      <c r="AL109" s="129">
        <f t="shared" si="55"/>
        <v>1.9565351524180364E-2</v>
      </c>
    </row>
    <row r="110" spans="15:45" x14ac:dyDescent="0.2">
      <c r="O110" s="125">
        <f t="shared" si="50"/>
        <v>0.86090633537610017</v>
      </c>
      <c r="P110" s="125">
        <f t="shared" si="44"/>
        <v>-2.4207147220432006</v>
      </c>
      <c r="Q110" s="125">
        <f t="shared" si="44"/>
        <v>-2.0027695033401045</v>
      </c>
      <c r="R110" s="125">
        <f t="shared" si="44"/>
        <v>-3.0094373754534018</v>
      </c>
      <c r="S110" s="125">
        <f t="shared" si="44"/>
        <v>0.61550869149149889</v>
      </c>
      <c r="T110" s="125"/>
      <c r="U110" s="125">
        <f t="shared" si="51"/>
        <v>-4.0964604921829064</v>
      </c>
      <c r="V110" s="125">
        <f t="shared" si="45"/>
        <v>-3.5503728486015049</v>
      </c>
      <c r="W110" s="125">
        <f t="shared" si="45"/>
        <v>-4.571797977638397</v>
      </c>
      <c r="X110" s="125">
        <f t="shared" si="45"/>
        <v>-5.7822752764354988</v>
      </c>
      <c r="Y110" s="125">
        <f t="shared" si="45"/>
        <v>0.17454726063019876</v>
      </c>
      <c r="Z110" s="125"/>
      <c r="AA110" s="129">
        <f t="shared" si="52"/>
        <v>-4.0964604921829066E-2</v>
      </c>
      <c r="AB110" s="129">
        <f t="shared" si="53"/>
        <v>-2.7737287879699257E-2</v>
      </c>
      <c r="AC110" s="129">
        <f t="shared" si="46"/>
        <v>-3.5717171700299977E-2</v>
      </c>
      <c r="AD110" s="129">
        <f t="shared" si="46"/>
        <v>-4.5174025597152334E-2</v>
      </c>
      <c r="AE110" s="129">
        <f t="shared" si="54"/>
        <v>4.8485350175055212E-4</v>
      </c>
      <c r="AF110" s="131" t="s">
        <v>15</v>
      </c>
      <c r="AH110" s="129">
        <f t="shared" si="47"/>
        <v>4.0964604921829066E-2</v>
      </c>
      <c r="AI110" s="129">
        <f t="shared" si="48"/>
        <v>2.7737287879699257E-2</v>
      </c>
      <c r="AJ110" s="129">
        <f t="shared" si="55"/>
        <v>3.5717171700299977E-2</v>
      </c>
      <c r="AK110" s="129">
        <f t="shared" si="55"/>
        <v>4.5174025597152334E-2</v>
      </c>
      <c r="AL110" s="129">
        <f t="shared" si="55"/>
        <v>4.8485350175055212E-4</v>
      </c>
    </row>
    <row r="111" spans="15:45" x14ac:dyDescent="0.2">
      <c r="O111" s="125">
        <f t="shared" si="50"/>
        <v>20.818144868676104</v>
      </c>
      <c r="P111" s="125">
        <f t="shared" si="44"/>
        <v>32.616103263865199</v>
      </c>
      <c r="Q111" s="125">
        <f t="shared" si="44"/>
        <v>22.937490639548699</v>
      </c>
      <c r="R111" s="125">
        <f t="shared" si="44"/>
        <v>39.8734948864182</v>
      </c>
      <c r="S111" s="125">
        <f t="shared" si="44"/>
        <v>-0.21860934049240655</v>
      </c>
      <c r="T111" s="125"/>
      <c r="U111" s="125">
        <f t="shared" si="51"/>
        <v>1.6182982462554989</v>
      </c>
      <c r="V111" s="125">
        <f t="shared" si="45"/>
        <v>2.277009714990605</v>
      </c>
      <c r="W111" s="125">
        <f t="shared" si="45"/>
        <v>-2.0146117258441976</v>
      </c>
      <c r="X111" s="125">
        <f t="shared" si="45"/>
        <v>0.59609885557360087</v>
      </c>
      <c r="Y111" s="125">
        <f t="shared" si="45"/>
        <v>-2.2381283728599044</v>
      </c>
      <c r="Z111" s="125"/>
      <c r="AA111" s="129">
        <f t="shared" si="52"/>
        <v>1.6182982462554989E-2</v>
      </c>
      <c r="AB111" s="129">
        <f t="shared" si="53"/>
        <v>1.7789138398364102E-2</v>
      </c>
      <c r="AC111" s="129">
        <f t="shared" si="46"/>
        <v>-1.5739154108157793E-2</v>
      </c>
      <c r="AD111" s="129">
        <f t="shared" si="46"/>
        <v>4.6570223091687568E-3</v>
      </c>
      <c r="AE111" s="129">
        <f t="shared" si="54"/>
        <v>-6.2170232579441785E-3</v>
      </c>
      <c r="AF111" s="134" t="s">
        <v>17</v>
      </c>
      <c r="AH111" s="129">
        <f t="shared" si="47"/>
        <v>1.6182982462554989E-2</v>
      </c>
      <c r="AI111" s="129">
        <f t="shared" si="48"/>
        <v>1.7789138398364102E-2</v>
      </c>
      <c r="AJ111" s="129">
        <f t="shared" si="55"/>
        <v>1.5739154108157793E-2</v>
      </c>
      <c r="AK111" s="129">
        <f t="shared" si="55"/>
        <v>4.6570223091687568E-3</v>
      </c>
      <c r="AL111" s="129">
        <f t="shared" si="55"/>
        <v>6.2170232579441785E-3</v>
      </c>
    </row>
    <row r="112" spans="15:45" x14ac:dyDescent="0.2">
      <c r="O112" s="125">
        <f t="shared" si="50"/>
        <v>0.62832136630839841</v>
      </c>
      <c r="P112" s="125">
        <f t="shared" si="44"/>
        <v>-0.93173653689571267</v>
      </c>
      <c r="Q112" s="125">
        <f t="shared" si="44"/>
        <v>-5.3168259345147035</v>
      </c>
      <c r="R112" s="125">
        <f t="shared" si="44"/>
        <v>-3.7449719506689974</v>
      </c>
      <c r="S112" s="125">
        <f t="shared" si="44"/>
        <v>-2.7381788040973944</v>
      </c>
      <c r="T112" s="125"/>
      <c r="U112" s="125">
        <f t="shared" si="51"/>
        <v>-3.7221524496769973</v>
      </c>
      <c r="V112" s="125">
        <f t="shared" si="45"/>
        <v>-6.2005744354781029</v>
      </c>
      <c r="W112" s="125">
        <f t="shared" si="45"/>
        <v>-8.6019219875061026</v>
      </c>
      <c r="X112" s="125">
        <f t="shared" si="45"/>
        <v>-9.8982547013681028</v>
      </c>
      <c r="Y112" s="125">
        <f t="shared" si="45"/>
        <v>-2.6715818682016952</v>
      </c>
      <c r="Z112" s="125"/>
      <c r="AA112" s="129">
        <f t="shared" si="52"/>
        <v>-3.7221524496769971E-2</v>
      </c>
      <c r="AB112" s="129">
        <f t="shared" si="53"/>
        <v>-4.8441987777172679E-2</v>
      </c>
      <c r="AC112" s="129">
        <f t="shared" si="46"/>
        <v>-6.7202515527391427E-2</v>
      </c>
      <c r="AD112" s="129">
        <f t="shared" si="46"/>
        <v>-7.7330114854438303E-2</v>
      </c>
      <c r="AE112" s="129">
        <f t="shared" si="54"/>
        <v>-7.4210607450047091E-3</v>
      </c>
      <c r="AF112" s="134" t="s">
        <v>19</v>
      </c>
      <c r="AH112" s="129">
        <f t="shared" si="47"/>
        <v>3.7221524496769971E-2</v>
      </c>
      <c r="AI112" s="129">
        <f t="shared" si="48"/>
        <v>4.8441987777172679E-2</v>
      </c>
      <c r="AJ112" s="129">
        <f t="shared" si="55"/>
        <v>6.7202515527391427E-2</v>
      </c>
      <c r="AK112" s="129">
        <f t="shared" si="55"/>
        <v>7.7330114854438303E-2</v>
      </c>
      <c r="AL112" s="129">
        <f t="shared" si="55"/>
        <v>7.4210607450047091E-3</v>
      </c>
    </row>
    <row r="113" spans="1:38" x14ac:dyDescent="0.2">
      <c r="O113" s="125">
        <f t="shared" si="50"/>
        <v>-4.8279702101244997</v>
      </c>
      <c r="P113" s="125">
        <f t="shared" si="44"/>
        <v>-9.842548976710404</v>
      </c>
      <c r="Q113" s="125">
        <f t="shared" si="44"/>
        <v>3.2435575666954932</v>
      </c>
      <c r="R113" s="125">
        <f t="shared" si="44"/>
        <v>-9.3489583654676025</v>
      </c>
      <c r="S113" s="125">
        <f t="shared" si="44"/>
        <v>-4.5812569991539931</v>
      </c>
      <c r="T113" s="125"/>
      <c r="U113" s="125">
        <f t="shared" si="51"/>
        <v>-5.2987050581883999</v>
      </c>
      <c r="V113" s="125">
        <f t="shared" si="45"/>
        <v>-9.5704278341960958</v>
      </c>
      <c r="W113" s="125">
        <f t="shared" si="45"/>
        <v>-0.86187210118450253</v>
      </c>
      <c r="X113" s="125">
        <f t="shared" si="45"/>
        <v>-6.4779301554472966</v>
      </c>
      <c r="Y113" s="125">
        <f t="shared" si="45"/>
        <v>-7.2810811360100161</v>
      </c>
      <c r="Z113" s="125"/>
      <c r="AA113" s="129">
        <f t="shared" si="52"/>
        <v>-5.2987050581884E-2</v>
      </c>
      <c r="AB113" s="129">
        <f t="shared" si="53"/>
        <v>-7.4768967454656998E-2</v>
      </c>
      <c r="AC113" s="129">
        <f t="shared" si="46"/>
        <v>-6.733375790503926E-3</v>
      </c>
      <c r="AD113" s="129">
        <f t="shared" si="46"/>
        <v>-5.0608829339432004E-2</v>
      </c>
      <c r="AE113" s="129">
        <f t="shared" si="54"/>
        <v>-2.0225225377805599E-2</v>
      </c>
      <c r="AF113" s="135" t="s">
        <v>21</v>
      </c>
      <c r="AH113" s="129">
        <f t="shared" si="47"/>
        <v>5.2987050581884E-2</v>
      </c>
      <c r="AI113" s="129">
        <f t="shared" si="48"/>
        <v>7.4768967454656998E-2</v>
      </c>
      <c r="AJ113" s="129">
        <f t="shared" si="55"/>
        <v>6.733375790503926E-3</v>
      </c>
      <c r="AK113" s="129">
        <f t="shared" si="55"/>
        <v>5.0608829339432004E-2</v>
      </c>
      <c r="AL113" s="129">
        <f t="shared" si="55"/>
        <v>2.0225225377805599E-2</v>
      </c>
    </row>
    <row r="114" spans="1:38" x14ac:dyDescent="0.2">
      <c r="O114" s="125">
        <f t="shared" si="50"/>
        <v>3.4567052614522993</v>
      </c>
      <c r="P114" s="125">
        <f t="shared" si="44"/>
        <v>-1.7089726462845802</v>
      </c>
      <c r="Q114" s="125">
        <f t="shared" si="44"/>
        <v>-4.8436182617188024</v>
      </c>
      <c r="R114" s="125">
        <f t="shared" si="44"/>
        <v>-4.932149830297007</v>
      </c>
      <c r="S114" s="125">
        <f t="shared" si="44"/>
        <v>1.0771122334844989</v>
      </c>
      <c r="T114" s="125"/>
      <c r="U114" s="125">
        <f t="shared" si="51"/>
        <v>-2.4875844399342952</v>
      </c>
      <c r="V114" s="125">
        <f t="shared" si="45"/>
        <v>-1.2738259035972295</v>
      </c>
      <c r="W114" s="125">
        <f t="shared" si="45"/>
        <v>-7.8853058358736945</v>
      </c>
      <c r="X114" s="125">
        <f t="shared" si="45"/>
        <v>-7.9678159813995961</v>
      </c>
      <c r="Y114" s="125">
        <f t="shared" si="45"/>
        <v>0.40259633280379603</v>
      </c>
      <c r="Z114" s="125"/>
      <c r="AA114" s="129">
        <f t="shared" si="52"/>
        <v>-2.4875844399342952E-2</v>
      </c>
      <c r="AB114" s="129">
        <f t="shared" si="53"/>
        <v>-9.9517648718533552E-3</v>
      </c>
      <c r="AC114" s="129">
        <f t="shared" si="46"/>
        <v>-6.1603951842763238E-2</v>
      </c>
      <c r="AD114" s="129">
        <f t="shared" si="46"/>
        <v>-6.2248562354684345E-2</v>
      </c>
      <c r="AE114" s="129">
        <f t="shared" si="54"/>
        <v>1.1183231466772112E-3</v>
      </c>
      <c r="AF114" s="132" t="s">
        <v>23</v>
      </c>
      <c r="AH114" s="129">
        <f t="shared" si="47"/>
        <v>2.4875844399342952E-2</v>
      </c>
      <c r="AI114" s="129">
        <f t="shared" si="48"/>
        <v>9.9517648718533552E-3</v>
      </c>
      <c r="AJ114" s="129">
        <f t="shared" si="55"/>
        <v>6.1603951842763238E-2</v>
      </c>
      <c r="AK114" s="129">
        <f t="shared" si="55"/>
        <v>6.2248562354684345E-2</v>
      </c>
      <c r="AL114" s="129">
        <f t="shared" si="55"/>
        <v>1.1183231466772112E-3</v>
      </c>
    </row>
    <row r="115" spans="1:38" x14ac:dyDescent="0.2">
      <c r="O115" s="125">
        <f t="shared" si="50"/>
        <v>-5.4778959145270001</v>
      </c>
      <c r="P115" s="125">
        <f t="shared" si="44"/>
        <v>-6.1852001973810005</v>
      </c>
      <c r="Q115" s="125">
        <f t="shared" si="44"/>
        <v>-8.4029872288083993</v>
      </c>
      <c r="R115" s="125">
        <f t="shared" si="44"/>
        <v>-9.9377439187905949</v>
      </c>
      <c r="S115" s="125">
        <f t="shared" si="44"/>
        <v>-2.6588615167320953</v>
      </c>
      <c r="T115" s="125"/>
      <c r="U115" s="125">
        <f t="shared" si="51"/>
        <v>-6.5846610326387029</v>
      </c>
      <c r="V115" s="125">
        <f t="shared" si="45"/>
        <v>-7.8963960103414976</v>
      </c>
      <c r="W115" s="125">
        <f t="shared" si="45"/>
        <v>-7.3131540316320027</v>
      </c>
      <c r="X115" s="125">
        <f t="shared" si="45"/>
        <v>-10.70350685905899</v>
      </c>
      <c r="Y115" s="125">
        <f t="shared" si="45"/>
        <v>-0.95281712911179994</v>
      </c>
      <c r="Z115" s="125"/>
      <c r="AA115" s="129">
        <f t="shared" si="52"/>
        <v>-6.5846610326387028E-2</v>
      </c>
      <c r="AB115" s="129">
        <f t="shared" si="53"/>
        <v>-6.169059383079295E-2</v>
      </c>
      <c r="AC115" s="129">
        <f t="shared" si="46"/>
        <v>-5.7134015872125021E-2</v>
      </c>
      <c r="AD115" s="129">
        <f t="shared" si="46"/>
        <v>-8.362114733639836E-2</v>
      </c>
      <c r="AE115" s="129">
        <f t="shared" si="54"/>
        <v>-2.6467142475327778E-3</v>
      </c>
      <c r="AF115" s="134" t="s">
        <v>25</v>
      </c>
      <c r="AH115" s="129">
        <f t="shared" si="47"/>
        <v>6.5846610326387028E-2</v>
      </c>
      <c r="AI115" s="129">
        <f t="shared" si="48"/>
        <v>6.169059383079295E-2</v>
      </c>
      <c r="AJ115" s="129">
        <f t="shared" si="55"/>
        <v>5.7134015872125021E-2</v>
      </c>
      <c r="AK115" s="129">
        <f t="shared" si="55"/>
        <v>8.362114733639836E-2</v>
      </c>
      <c r="AL115" s="129">
        <f t="shared" si="55"/>
        <v>2.6467142475327778E-3</v>
      </c>
    </row>
    <row r="116" spans="1:38" x14ac:dyDescent="0.2">
      <c r="O116" s="125">
        <f t="shared" si="50"/>
        <v>2.9231013040535103</v>
      </c>
      <c r="P116" s="125">
        <f t="shared" si="44"/>
        <v>7.1153379578145</v>
      </c>
      <c r="Q116" s="125">
        <f t="shared" si="44"/>
        <v>5.5202461524040984</v>
      </c>
      <c r="R116" s="125">
        <f t="shared" si="44"/>
        <v>-8.3085280528768024</v>
      </c>
      <c r="S116" s="125">
        <f t="shared" si="44"/>
        <v>4.3538412417769905</v>
      </c>
      <c r="T116" s="125"/>
      <c r="U116" s="125">
        <f t="shared" si="51"/>
        <v>1.5631509492561975</v>
      </c>
      <c r="V116" s="125">
        <f t="shared" si="45"/>
        <v>6.0989491520501034</v>
      </c>
      <c r="W116" s="125">
        <f t="shared" si="45"/>
        <v>3.179073272739501</v>
      </c>
      <c r="X116" s="125">
        <f t="shared" si="45"/>
        <v>-5.7019106425181008</v>
      </c>
      <c r="Y116" s="125">
        <f t="shared" si="45"/>
        <v>4.6122156687009976</v>
      </c>
      <c r="Z116" s="125"/>
      <c r="AA116" s="129">
        <f t="shared" si="52"/>
        <v>1.5631509492561976E-2</v>
      </c>
      <c r="AB116" s="129">
        <f t="shared" si="53"/>
        <v>4.7648040250391432E-2</v>
      </c>
      <c r="AC116" s="129">
        <f t="shared" si="46"/>
        <v>2.4836509943277352E-2</v>
      </c>
      <c r="AD116" s="129">
        <f t="shared" si="46"/>
        <v>-4.4546176894672662E-2</v>
      </c>
      <c r="AE116" s="129">
        <f t="shared" si="54"/>
        <v>1.2811710190836104E-2</v>
      </c>
      <c r="AF116" s="133" t="s">
        <v>27</v>
      </c>
      <c r="AH116" s="129">
        <f t="shared" si="47"/>
        <v>1.5631509492561976E-2</v>
      </c>
      <c r="AI116" s="129">
        <f t="shared" si="48"/>
        <v>4.7648040250391432E-2</v>
      </c>
      <c r="AJ116" s="129">
        <f t="shared" si="55"/>
        <v>2.4836509943277352E-2</v>
      </c>
      <c r="AK116" s="129">
        <f t="shared" si="55"/>
        <v>4.4546176894672662E-2</v>
      </c>
      <c r="AL116" s="129">
        <f t="shared" si="55"/>
        <v>1.2811710190836104E-2</v>
      </c>
    </row>
    <row r="117" spans="1:38" x14ac:dyDescent="0.2">
      <c r="O117" s="125">
        <f t="shared" si="50"/>
        <v>-3.1819834263401958E-2</v>
      </c>
      <c r="P117" s="125">
        <f t="shared" si="44"/>
        <v>6.4518641850650997</v>
      </c>
      <c r="Q117" s="125">
        <f t="shared" si="44"/>
        <v>-9.1583587790964316E-3</v>
      </c>
      <c r="R117" s="125">
        <f t="shared" si="44"/>
        <v>-2.2401090037509022</v>
      </c>
      <c r="S117" s="125">
        <f t="shared" si="44"/>
        <v>6.893611828057999</v>
      </c>
      <c r="T117" s="125"/>
      <c r="U117" s="125">
        <f t="shared" si="51"/>
        <v>0.37934790447160083</v>
      </c>
      <c r="V117" s="125">
        <f t="shared" si="45"/>
        <v>4.0908503305133017</v>
      </c>
      <c r="W117" s="125">
        <f t="shared" si="45"/>
        <v>4.2149885340496027</v>
      </c>
      <c r="X117" s="125">
        <f t="shared" si="45"/>
        <v>-5.3465134071178966</v>
      </c>
      <c r="Y117" s="125">
        <f t="shared" si="45"/>
        <v>2.6253288775869805</v>
      </c>
      <c r="Z117" s="125"/>
      <c r="AA117" s="129">
        <f t="shared" si="52"/>
        <v>3.7934790447160084E-3</v>
      </c>
      <c r="AB117" s="129">
        <f t="shared" si="53"/>
        <v>3.195976820713517E-2</v>
      </c>
      <c r="AC117" s="129">
        <f t="shared" si="46"/>
        <v>3.2929597922262521E-2</v>
      </c>
      <c r="AD117" s="129">
        <f t="shared" si="46"/>
        <v>-4.1769635993108567E-2</v>
      </c>
      <c r="AE117" s="129">
        <f t="shared" si="54"/>
        <v>7.2925802155193904E-3</v>
      </c>
      <c r="AF117" s="133" t="s">
        <v>29</v>
      </c>
      <c r="AH117" s="129">
        <f t="shared" si="47"/>
        <v>3.7934790447160084E-3</v>
      </c>
      <c r="AI117" s="129">
        <f t="shared" si="48"/>
        <v>3.195976820713517E-2</v>
      </c>
      <c r="AJ117" s="129">
        <f t="shared" si="55"/>
        <v>3.2929597922262521E-2</v>
      </c>
      <c r="AK117" s="129">
        <f t="shared" si="55"/>
        <v>4.1769635993108567E-2</v>
      </c>
      <c r="AL117" s="129">
        <f t="shared" si="55"/>
        <v>7.2925802155193904E-3</v>
      </c>
    </row>
    <row r="118" spans="1:38" x14ac:dyDescent="0.2">
      <c r="O118" s="125">
        <f t="shared" si="50"/>
        <v>-4.2920917123584985</v>
      </c>
      <c r="P118" s="125">
        <f t="shared" si="44"/>
        <v>14.021382840550501</v>
      </c>
      <c r="Q118" s="125">
        <f t="shared" si="44"/>
        <v>-8.2758602378626023</v>
      </c>
      <c r="R118" s="125">
        <f t="shared" si="44"/>
        <v>-16.140748469096501</v>
      </c>
      <c r="S118" s="125">
        <f t="shared" si="44"/>
        <v>-1.7500453973510162</v>
      </c>
      <c r="T118" s="125"/>
      <c r="U118" s="125">
        <f t="shared" si="51"/>
        <v>-4.3056323243184025</v>
      </c>
      <c r="V118" s="125">
        <f t="shared" si="45"/>
        <v>16.117592481729197</v>
      </c>
      <c r="W118" s="125">
        <f t="shared" si="45"/>
        <v>-12.945407682325097</v>
      </c>
      <c r="X118" s="125">
        <f t="shared" si="45"/>
        <v>-20.663349160879093</v>
      </c>
      <c r="Y118" s="125">
        <f t="shared" si="45"/>
        <v>0.47982400285101789</v>
      </c>
      <c r="Z118" s="125"/>
      <c r="AA118" s="129">
        <f t="shared" si="52"/>
        <v>-4.3056323243184022E-2</v>
      </c>
      <c r="AB118" s="129">
        <f t="shared" si="53"/>
        <v>0.12591869126350935</v>
      </c>
      <c r="AC118" s="129">
        <f t="shared" si="46"/>
        <v>-0.10113599751816482</v>
      </c>
      <c r="AD118" s="129">
        <f t="shared" si="46"/>
        <v>-0.16143241531936792</v>
      </c>
      <c r="AE118" s="129">
        <f t="shared" si="54"/>
        <v>1.3328444523639385E-3</v>
      </c>
      <c r="AF118" s="130" t="s">
        <v>31</v>
      </c>
      <c r="AH118" s="129">
        <f t="shared" si="47"/>
        <v>4.3056323243184022E-2</v>
      </c>
      <c r="AI118" s="129">
        <f t="shared" si="48"/>
        <v>0.12591869126350935</v>
      </c>
      <c r="AJ118" s="129">
        <f t="shared" si="55"/>
        <v>0.10113599751816482</v>
      </c>
      <c r="AK118" s="129">
        <f t="shared" si="55"/>
        <v>0.16143241531936792</v>
      </c>
      <c r="AL118" s="129">
        <f t="shared" si="55"/>
        <v>1.3328444523639385E-3</v>
      </c>
    </row>
    <row r="119" spans="1:38" x14ac:dyDescent="0.2">
      <c r="O119" s="125">
        <f t="shared" si="50"/>
        <v>0.87139209551570218</v>
      </c>
      <c r="P119" s="125">
        <f t="shared" ref="P119:P122" si="56">P60-AH23</f>
        <v>-5.4017534678842978</v>
      </c>
      <c r="Q119" s="125">
        <f t="shared" ref="Q119:Q122" si="57">Q60-AI23</f>
        <v>-2.0597265188329033</v>
      </c>
      <c r="R119" s="125">
        <f t="shared" ref="R119:R122" si="58">R60-AJ23</f>
        <v>-2.9289091589142942</v>
      </c>
      <c r="S119" s="125">
        <f t="shared" ref="S119:S122" si="59">S60-AK23</f>
        <v>3.4780012098566004</v>
      </c>
      <c r="T119" s="125"/>
      <c r="U119" s="125">
        <f t="shared" si="51"/>
        <v>-4.7902590258429001</v>
      </c>
      <c r="V119" s="125">
        <f t="shared" ref="V119:V122" si="60">AH60-V96</f>
        <v>-0.44807100163260216</v>
      </c>
      <c r="W119" s="125">
        <f t="shared" ref="W119:W122" si="61">AI60-W96</f>
        <v>-5.5538329605521994</v>
      </c>
      <c r="X119" s="125">
        <f t="shared" ref="X119:X122" si="62">AJ60-X96</f>
        <v>-5.5231554810014103</v>
      </c>
      <c r="Y119" s="125">
        <f t="shared" ref="Y119:Y122" si="63">AK60-Y96</f>
        <v>-0.49191630014220777</v>
      </c>
      <c r="Z119" s="125"/>
      <c r="AA119" s="129">
        <f t="shared" si="52"/>
        <v>-4.7902590258429002E-2</v>
      </c>
      <c r="AB119" s="129">
        <f t="shared" si="53"/>
        <v>-3.5005547002547044E-3</v>
      </c>
      <c r="AC119" s="129">
        <f t="shared" ref="AC119:AC122" si="64">W119/128</f>
        <v>-4.3389320004314058E-2</v>
      </c>
      <c r="AD119" s="129">
        <f t="shared" ref="AD119:AD122" si="65">X119/128</f>
        <v>-4.3149652195323518E-2</v>
      </c>
      <c r="AE119" s="129">
        <f t="shared" si="54"/>
        <v>-1.3664341670616882E-3</v>
      </c>
      <c r="AF119" s="132" t="s">
        <v>33</v>
      </c>
      <c r="AH119" s="129">
        <f>ABS(AA119)</f>
        <v>4.7902590258429002E-2</v>
      </c>
      <c r="AI119" s="129">
        <f t="shared" ref="AI119:AI122" si="66">ABS(AB119)</f>
        <v>3.5005547002547044E-3</v>
      </c>
      <c r="AJ119" s="129">
        <f t="shared" ref="AJ119:AJ122" si="67">ABS(AC119)</f>
        <v>4.3389320004314058E-2</v>
      </c>
      <c r="AK119" s="129">
        <f t="shared" ref="AK119:AK122" si="68">ABS(AD119)</f>
        <v>4.3149652195323518E-2</v>
      </c>
      <c r="AL119" s="129">
        <f t="shared" ref="AL119:AL122" si="69">ABS(AE119)</f>
        <v>1.3664341670616882E-3</v>
      </c>
    </row>
    <row r="120" spans="1:38" x14ac:dyDescent="0.2">
      <c r="O120" s="125">
        <f t="shared" si="50"/>
        <v>8.0624379692582977</v>
      </c>
      <c r="P120" s="125">
        <f t="shared" si="56"/>
        <v>7.0567147465202993</v>
      </c>
      <c r="Q120" s="125">
        <f t="shared" si="57"/>
        <v>-4.3704993875485982</v>
      </c>
      <c r="R120" s="125">
        <f t="shared" si="58"/>
        <v>-8.3001752438673009</v>
      </c>
      <c r="S120" s="125">
        <f t="shared" si="59"/>
        <v>-4.9144472633003033E-2</v>
      </c>
      <c r="T120" s="125"/>
      <c r="U120" s="125">
        <f t="shared" si="51"/>
        <v>-1.0759607298908023</v>
      </c>
      <c r="V120" s="125">
        <f t="shared" si="60"/>
        <v>6.7707054256959935</v>
      </c>
      <c r="W120" s="125">
        <f t="shared" si="61"/>
        <v>-2.931081190224802</v>
      </c>
      <c r="X120" s="125">
        <f t="shared" si="62"/>
        <v>-7.28971746039511</v>
      </c>
      <c r="Y120" s="125">
        <f t="shared" si="63"/>
        <v>-0.72013534496099396</v>
      </c>
      <c r="Z120" s="125"/>
      <c r="AA120" s="129">
        <f t="shared" si="52"/>
        <v>-1.0759607298908022E-2</v>
      </c>
      <c r="AB120" s="129">
        <f t="shared" si="53"/>
        <v>5.289613613824995E-2</v>
      </c>
      <c r="AC120" s="129">
        <f t="shared" si="64"/>
        <v>-2.2899071798631265E-2</v>
      </c>
      <c r="AD120" s="129">
        <f t="shared" si="65"/>
        <v>-5.6950917659336797E-2</v>
      </c>
      <c r="AE120" s="129">
        <f t="shared" si="54"/>
        <v>-2.0003759582249833E-3</v>
      </c>
      <c r="AF120" s="130" t="s">
        <v>35</v>
      </c>
      <c r="AH120" s="129">
        <f>ABS(AA120)</f>
        <v>1.0759607298908022E-2</v>
      </c>
      <c r="AI120" s="129">
        <f t="shared" si="66"/>
        <v>5.289613613824995E-2</v>
      </c>
      <c r="AJ120" s="129">
        <f t="shared" si="67"/>
        <v>2.2899071798631265E-2</v>
      </c>
      <c r="AK120" s="129">
        <f t="shared" si="68"/>
        <v>5.6950917659336797E-2</v>
      </c>
      <c r="AL120" s="129">
        <f t="shared" si="69"/>
        <v>2.0003759582249833E-3</v>
      </c>
    </row>
    <row r="121" spans="1:38" x14ac:dyDescent="0.2">
      <c r="O121" s="125">
        <f t="shared" si="50"/>
        <v>1.183901141047599</v>
      </c>
      <c r="P121" s="125">
        <f t="shared" si="56"/>
        <v>0.86071123160689922</v>
      </c>
      <c r="Q121" s="125">
        <f t="shared" si="57"/>
        <v>-4.3393761598451022</v>
      </c>
      <c r="R121" s="125">
        <f t="shared" si="58"/>
        <v>-1.7019126893331986</v>
      </c>
      <c r="S121" s="125">
        <f t="shared" si="59"/>
        <v>-2.664240106275102</v>
      </c>
      <c r="T121" s="125"/>
      <c r="U121" s="125">
        <f t="shared" si="51"/>
        <v>-2.9624294003700982</v>
      </c>
      <c r="V121" s="125">
        <f t="shared" si="60"/>
        <v>-4.0344375278985041</v>
      </c>
      <c r="W121" s="125">
        <f t="shared" si="61"/>
        <v>-5.7354946675809018</v>
      </c>
      <c r="X121" s="125">
        <f t="shared" si="62"/>
        <v>-6.5496830192941076</v>
      </c>
      <c r="Y121" s="125">
        <f t="shared" si="63"/>
        <v>-1.6112186723612041</v>
      </c>
      <c r="Z121" s="125"/>
      <c r="AA121" s="129">
        <f t="shared" si="52"/>
        <v>-2.9624294003700983E-2</v>
      </c>
      <c r="AB121" s="129">
        <f t="shared" si="53"/>
        <v>-3.1519043186707063E-2</v>
      </c>
      <c r="AC121" s="129">
        <f t="shared" si="64"/>
        <v>-4.4808552090475795E-2</v>
      </c>
      <c r="AD121" s="129">
        <f t="shared" si="65"/>
        <v>-5.1169398588235215E-2</v>
      </c>
      <c r="AE121" s="129">
        <f t="shared" si="54"/>
        <v>-4.4756074232255669E-3</v>
      </c>
      <c r="AF121" s="134" t="s">
        <v>37</v>
      </c>
      <c r="AH121" s="129">
        <f>ABS(AA121)</f>
        <v>2.9624294003700983E-2</v>
      </c>
      <c r="AI121" s="129">
        <f t="shared" si="66"/>
        <v>3.1519043186707063E-2</v>
      </c>
      <c r="AJ121" s="129">
        <f t="shared" si="67"/>
        <v>4.4808552090475795E-2</v>
      </c>
      <c r="AK121" s="129">
        <f t="shared" si="68"/>
        <v>5.1169398588235215E-2</v>
      </c>
      <c r="AL121" s="129">
        <f t="shared" si="69"/>
        <v>4.4756074232255669E-3</v>
      </c>
    </row>
    <row r="122" spans="1:38" x14ac:dyDescent="0.2">
      <c r="O122" s="125">
        <f t="shared" si="50"/>
        <v>7.4243407968358994</v>
      </c>
      <c r="P122" s="125">
        <f t="shared" si="56"/>
        <v>-15.492475414376932</v>
      </c>
      <c r="Q122" s="125">
        <f t="shared" si="57"/>
        <v>7.8222486132118974</v>
      </c>
      <c r="R122" s="125">
        <f t="shared" si="58"/>
        <v>-9.6321488998221056</v>
      </c>
      <c r="S122" s="125">
        <f t="shared" si="59"/>
        <v>-12.595292575845008</v>
      </c>
      <c r="T122" s="125"/>
      <c r="U122" s="125">
        <f t="shared" si="51"/>
        <v>1.9711601481387007</v>
      </c>
      <c r="V122" s="125">
        <f t="shared" si="60"/>
        <v>-7.3467030066365311</v>
      </c>
      <c r="W122" s="125">
        <f t="shared" si="61"/>
        <v>4.846446605116796</v>
      </c>
      <c r="X122" s="125">
        <f t="shared" si="62"/>
        <v>-6.0204293417916972</v>
      </c>
      <c r="Y122" s="125">
        <f t="shared" si="63"/>
        <v>-5.2289326551269824</v>
      </c>
      <c r="Z122" s="125"/>
      <c r="AA122" s="129">
        <f t="shared" si="52"/>
        <v>1.9711601481387005E-2</v>
      </c>
      <c r="AB122" s="129">
        <f t="shared" si="53"/>
        <v>-5.7396117239347899E-2</v>
      </c>
      <c r="AC122" s="129">
        <f t="shared" si="64"/>
        <v>3.7862864102474969E-2</v>
      </c>
      <c r="AD122" s="129">
        <f t="shared" si="65"/>
        <v>-4.7034604232747634E-2</v>
      </c>
      <c r="AE122" s="129">
        <f t="shared" si="54"/>
        <v>-1.4524812930908284E-2</v>
      </c>
      <c r="AF122" s="133" t="s">
        <v>39</v>
      </c>
      <c r="AH122" s="129">
        <f>ABS(AA122)</f>
        <v>1.9711601481387005E-2</v>
      </c>
      <c r="AI122" s="129">
        <f t="shared" si="66"/>
        <v>5.7396117239347899E-2</v>
      </c>
      <c r="AJ122" s="129">
        <f t="shared" si="67"/>
        <v>3.7862864102474969E-2</v>
      </c>
      <c r="AK122" s="129">
        <f t="shared" si="68"/>
        <v>4.7034604232747634E-2</v>
      </c>
      <c r="AL122" s="129">
        <f t="shared" si="69"/>
        <v>1.4524812930908284E-2</v>
      </c>
    </row>
    <row r="123" spans="1:38" x14ac:dyDescent="0.2"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 spans="1:38" x14ac:dyDescent="0.2">
      <c r="T124" s="125"/>
      <c r="U124" s="125"/>
      <c r="V124" s="125"/>
      <c r="W124" s="125"/>
      <c r="X124" s="125"/>
      <c r="Y124" s="125"/>
      <c r="Z124" s="125"/>
      <c r="AA124" s="125"/>
    </row>
    <row r="125" spans="1:38" x14ac:dyDescent="0.2">
      <c r="T125" s="125"/>
      <c r="U125" s="125"/>
      <c r="V125" s="125"/>
      <c r="W125" s="125"/>
      <c r="X125" s="125"/>
      <c r="Y125" s="125"/>
      <c r="Z125" s="125"/>
      <c r="AA125" s="125"/>
    </row>
    <row r="126" spans="1:38" x14ac:dyDescent="0.2">
      <c r="T126" s="125"/>
      <c r="U126" s="125"/>
      <c r="V126" s="125"/>
      <c r="W126" s="125"/>
      <c r="X126" s="125"/>
      <c r="Y126" s="125"/>
      <c r="Z126" s="125"/>
      <c r="AA126" s="125"/>
    </row>
    <row r="127" spans="1:38" x14ac:dyDescent="0.2">
      <c r="T127" s="125"/>
      <c r="U127" s="125"/>
      <c r="V127" s="125"/>
      <c r="W127" s="125"/>
      <c r="X127" s="125"/>
      <c r="Y127" s="125"/>
      <c r="Z127" s="125"/>
      <c r="AA127" s="125"/>
    </row>
    <row r="128" spans="1:38" ht="25.5" x14ac:dyDescent="0.2">
      <c r="A128" s="8" t="s">
        <v>46</v>
      </c>
      <c r="B128" s="8" t="s">
        <v>93</v>
      </c>
      <c r="C128" s="1" t="s">
        <v>1</v>
      </c>
      <c r="D128" s="6" t="s">
        <v>3</v>
      </c>
      <c r="E128" s="6" t="s">
        <v>5</v>
      </c>
      <c r="F128" s="5" t="s">
        <v>7</v>
      </c>
      <c r="G128" s="3" t="s">
        <v>9</v>
      </c>
      <c r="H128" s="2" t="s">
        <v>11</v>
      </c>
      <c r="I128" s="1" t="s">
        <v>13</v>
      </c>
      <c r="J128" s="5" t="s">
        <v>15</v>
      </c>
      <c r="K128" s="4" t="s">
        <v>17</v>
      </c>
      <c r="L128" s="4" t="s">
        <v>19</v>
      </c>
      <c r="M128" s="7" t="s">
        <v>21</v>
      </c>
      <c r="N128" s="3" t="s">
        <v>23</v>
      </c>
      <c r="O128" s="4" t="s">
        <v>25</v>
      </c>
      <c r="P128" s="2" t="s">
        <v>27</v>
      </c>
      <c r="Q128" s="2" t="s">
        <v>29</v>
      </c>
      <c r="R128" s="6" t="s">
        <v>31</v>
      </c>
      <c r="S128" s="3" t="s">
        <v>33</v>
      </c>
      <c r="T128" s="6" t="s">
        <v>35</v>
      </c>
      <c r="U128" s="4" t="s">
        <v>37</v>
      </c>
      <c r="V128" s="2" t="s">
        <v>39</v>
      </c>
      <c r="W128" s="125"/>
      <c r="X128" s="125"/>
      <c r="Y128" s="125"/>
      <c r="Z128" s="125"/>
      <c r="AA128" s="125"/>
    </row>
    <row r="129" spans="1:27" x14ac:dyDescent="0.2">
      <c r="A129" s="8">
        <v>1</v>
      </c>
      <c r="B129" s="8">
        <f>AVERAGE(C129:V129)</f>
        <v>4.8281006888132545</v>
      </c>
      <c r="C129" s="8" t="s">
        <v>44</v>
      </c>
      <c r="D129" s="8">
        <v>5.0885899181905403</v>
      </c>
      <c r="E129" s="8">
        <v>2.1079795152260501</v>
      </c>
      <c r="F129" s="8">
        <v>4.4464391623069499</v>
      </c>
      <c r="G129" s="8">
        <v>2.6027045971881</v>
      </c>
      <c r="H129" s="8">
        <v>10.751166396602001</v>
      </c>
      <c r="I129" s="8">
        <v>6.3976870181519701</v>
      </c>
      <c r="J129" s="8">
        <v>2.9664751571958199</v>
      </c>
      <c r="K129" s="8" t="s">
        <v>44</v>
      </c>
      <c r="L129" s="8">
        <v>4.5497660888550904</v>
      </c>
      <c r="M129" s="8">
        <v>6.3139265763588197</v>
      </c>
      <c r="N129" s="8">
        <v>7.4008137643594401</v>
      </c>
      <c r="O129" s="8">
        <v>1.27432677930274</v>
      </c>
      <c r="P129" s="8">
        <v>13.8597712632377</v>
      </c>
      <c r="Q129" s="8" t="s">
        <v>44</v>
      </c>
      <c r="R129" s="8">
        <v>3.89901510162258</v>
      </c>
      <c r="S129" s="8">
        <v>2.7932481569724699</v>
      </c>
      <c r="T129" s="125">
        <v>4.2675331575497797</v>
      </c>
      <c r="U129" s="125">
        <v>2.6498796618411098</v>
      </c>
      <c r="V129" s="125">
        <v>0.70838939486416896</v>
      </c>
      <c r="W129" s="125"/>
      <c r="X129" s="125"/>
      <c r="Y129" s="125"/>
      <c r="Z129" s="125"/>
      <c r="AA129" s="125"/>
    </row>
    <row r="130" spans="1:27" x14ac:dyDescent="0.2">
      <c r="A130" s="8">
        <v>2</v>
      </c>
      <c r="B130" s="8">
        <f t="shared" ref="B130:B173" si="70">AVERAGE(C130:V130)</f>
        <v>9.6014776160919642</v>
      </c>
      <c r="C130" s="8" t="s">
        <v>44</v>
      </c>
      <c r="D130" s="8" t="s">
        <v>44</v>
      </c>
      <c r="E130" s="8" t="s">
        <v>44</v>
      </c>
      <c r="F130" s="8">
        <v>10.9090109302439</v>
      </c>
      <c r="G130" s="8" t="s">
        <v>44</v>
      </c>
      <c r="H130" s="8">
        <v>10.5279590860162</v>
      </c>
      <c r="I130" s="8">
        <v>5.5335268721340896</v>
      </c>
      <c r="J130" s="8">
        <v>8.3918002397444003</v>
      </c>
      <c r="K130" s="8">
        <v>30.555140892916899</v>
      </c>
      <c r="L130" s="8">
        <v>5.1736429793880898</v>
      </c>
      <c r="M130" s="8" t="s">
        <v>44</v>
      </c>
      <c r="N130" s="8">
        <v>14.997894834705001</v>
      </c>
      <c r="O130" s="8">
        <v>1.47089167625127</v>
      </c>
      <c r="P130" s="8">
        <v>4.11496804721458</v>
      </c>
      <c r="Q130" s="8">
        <v>1.76918539440835</v>
      </c>
      <c r="R130" s="8">
        <v>28.688008008713599</v>
      </c>
      <c r="S130" s="8">
        <v>5.1830513136856604</v>
      </c>
      <c r="T130" s="125">
        <v>4.7055152839516801</v>
      </c>
      <c r="U130" s="125">
        <v>3.3100799449057501</v>
      </c>
      <c r="V130" s="125">
        <v>8.6914887371000304</v>
      </c>
      <c r="W130" s="125"/>
      <c r="X130" s="125"/>
      <c r="Y130" s="125"/>
      <c r="Z130" s="125"/>
      <c r="AA130" s="125"/>
    </row>
    <row r="131" spans="1:27" x14ac:dyDescent="0.2">
      <c r="A131" s="8">
        <v>3</v>
      </c>
      <c r="B131" s="8">
        <f t="shared" si="70"/>
        <v>9.6799037771216287</v>
      </c>
      <c r="C131" s="8">
        <v>10.0164802923734</v>
      </c>
      <c r="D131" s="8">
        <v>5.6000910302633802</v>
      </c>
      <c r="E131" s="8">
        <v>4.9846045703273996</v>
      </c>
      <c r="F131" s="8">
        <v>3.2374219882455701</v>
      </c>
      <c r="G131" s="8">
        <v>10.371892162883499</v>
      </c>
      <c r="H131" s="8">
        <v>4.2146860050733403</v>
      </c>
      <c r="I131" s="8">
        <v>19.0181076236187</v>
      </c>
      <c r="J131" s="8">
        <v>3.4672342896048498</v>
      </c>
      <c r="K131" s="8">
        <v>26.811587936976899</v>
      </c>
      <c r="L131" s="8">
        <v>8.9047145601291007</v>
      </c>
      <c r="M131" s="8">
        <v>14.9591110739394</v>
      </c>
      <c r="N131" s="8">
        <v>5.6620504454626603</v>
      </c>
      <c r="O131" s="8">
        <v>17.973126966837199</v>
      </c>
      <c r="P131" s="8">
        <v>1.8053048197777</v>
      </c>
      <c r="Q131" s="8">
        <v>4.4926856593336</v>
      </c>
      <c r="R131" s="8">
        <v>9.1791238435567308</v>
      </c>
      <c r="S131" s="8">
        <v>6.5456616418603204</v>
      </c>
      <c r="T131" s="125">
        <v>4.19870570959581</v>
      </c>
      <c r="U131" s="125">
        <v>28.023052624125398</v>
      </c>
      <c r="V131" s="125">
        <v>4.13243229844766</v>
      </c>
      <c r="W131" s="125"/>
      <c r="X131" s="125"/>
      <c r="Y131" s="125"/>
      <c r="Z131" s="125"/>
      <c r="AA131" s="125"/>
    </row>
    <row r="132" spans="1:27" x14ac:dyDescent="0.2">
      <c r="A132" s="209">
        <v>4</v>
      </c>
      <c r="T132" s="125"/>
      <c r="U132" s="125"/>
      <c r="V132" s="125"/>
      <c r="W132" s="125"/>
      <c r="X132" s="125"/>
      <c r="Y132" s="125"/>
      <c r="Z132" s="125"/>
      <c r="AA132" s="125"/>
    </row>
    <row r="133" spans="1:27" x14ac:dyDescent="0.2">
      <c r="A133" s="8">
        <v>5</v>
      </c>
      <c r="B133" s="8">
        <f t="shared" si="70"/>
        <v>9.2441654714760659</v>
      </c>
      <c r="C133" s="8">
        <v>3.5783479837832601</v>
      </c>
      <c r="D133" s="8">
        <v>11.8862751682053</v>
      </c>
      <c r="E133" s="8" t="s">
        <v>44</v>
      </c>
      <c r="F133" s="8">
        <v>14.030030717733499</v>
      </c>
      <c r="G133" s="8">
        <v>11.736622476282299</v>
      </c>
      <c r="H133" s="8">
        <v>8.3131217265457202</v>
      </c>
      <c r="I133" s="8">
        <v>16.397874398199601</v>
      </c>
      <c r="J133" s="8">
        <v>5.88841775671062</v>
      </c>
      <c r="K133" s="8" t="s">
        <v>44</v>
      </c>
      <c r="L133" s="8" t="s">
        <v>44</v>
      </c>
      <c r="M133" s="8" t="s">
        <v>44</v>
      </c>
      <c r="N133" s="8">
        <v>6.3229453679071801</v>
      </c>
      <c r="O133" s="8">
        <v>7.6170080054840197</v>
      </c>
      <c r="P133" s="8">
        <v>3.4065198064986899</v>
      </c>
      <c r="Q133" s="8">
        <v>12.9446893389763</v>
      </c>
      <c r="R133" s="8">
        <v>3.9925680934475598</v>
      </c>
      <c r="S133" s="8">
        <v>9.3807249463479199</v>
      </c>
      <c r="T133" s="125" t="s">
        <v>44</v>
      </c>
      <c r="U133" s="125">
        <v>6.8172263579003998</v>
      </c>
      <c r="V133" s="125">
        <v>16.350109928118599</v>
      </c>
      <c r="W133" s="125"/>
      <c r="X133" s="125"/>
      <c r="Y133" s="125"/>
      <c r="Z133" s="125"/>
      <c r="AA133" s="125"/>
    </row>
    <row r="134" spans="1:27" x14ac:dyDescent="0.2">
      <c r="A134" s="8">
        <v>6</v>
      </c>
      <c r="B134" s="8">
        <f t="shared" si="70"/>
        <v>7.8196717139754748</v>
      </c>
      <c r="C134" s="8" t="s">
        <v>44</v>
      </c>
      <c r="D134" s="8">
        <v>7.1046128593179203</v>
      </c>
      <c r="E134" s="8">
        <v>5.2653561375426898</v>
      </c>
      <c r="F134" s="8">
        <v>10.377669609824</v>
      </c>
      <c r="G134" s="8">
        <v>5.8710300455216196</v>
      </c>
      <c r="H134" s="8">
        <v>5.4265907597196996</v>
      </c>
      <c r="I134" s="8">
        <v>8.1229202191979297</v>
      </c>
      <c r="J134" s="8">
        <v>4.1652417078856798</v>
      </c>
      <c r="K134" s="8">
        <v>2.8714082665628999</v>
      </c>
      <c r="L134" s="8">
        <v>4.6646556341012397</v>
      </c>
      <c r="M134" s="8" t="s">
        <v>44</v>
      </c>
      <c r="N134" s="8">
        <v>8.7866735276338694</v>
      </c>
      <c r="O134" s="8">
        <v>11.3912774251479</v>
      </c>
      <c r="P134" s="8">
        <v>2.88168215612122</v>
      </c>
      <c r="Q134" s="8">
        <v>1.4809651764754801</v>
      </c>
      <c r="R134" s="8">
        <v>6.5482637069584699</v>
      </c>
      <c r="S134" s="8">
        <v>16.088765722982199</v>
      </c>
      <c r="T134" s="125">
        <v>4.6919401502964302</v>
      </c>
      <c r="U134" s="125">
        <v>14.9250142966347</v>
      </c>
      <c r="V134" s="125">
        <v>20.0900234496346</v>
      </c>
      <c r="W134" s="125"/>
      <c r="X134" s="125"/>
      <c r="Y134" s="125"/>
      <c r="Z134" s="125"/>
      <c r="AA134" s="125"/>
    </row>
    <row r="135" spans="1:27" x14ac:dyDescent="0.2">
      <c r="A135" s="8">
        <v>7</v>
      </c>
      <c r="B135" s="8">
        <f t="shared" si="70"/>
        <v>7.0413041334140303</v>
      </c>
      <c r="C135" s="8">
        <v>6.48652714367923</v>
      </c>
      <c r="D135" s="8">
        <v>5.8694078667161103</v>
      </c>
      <c r="E135" s="8">
        <v>0.84164433186445398</v>
      </c>
      <c r="F135" s="8">
        <v>8.0594848356115207</v>
      </c>
      <c r="G135" s="8">
        <v>6.8499984390889903</v>
      </c>
      <c r="H135" s="8">
        <v>3.5872887531759399</v>
      </c>
      <c r="I135" s="8">
        <v>1.8034054059254601</v>
      </c>
      <c r="J135" s="8">
        <v>9.1800391621101394</v>
      </c>
      <c r="K135" s="8">
        <v>1.6514494749240001</v>
      </c>
      <c r="L135" s="8">
        <v>10.8760572674831</v>
      </c>
      <c r="M135" s="8">
        <v>3.4236057056822</v>
      </c>
      <c r="N135" s="8">
        <v>6.9619115698140801</v>
      </c>
      <c r="O135" s="8">
        <v>5.3700041922331003</v>
      </c>
      <c r="P135" s="8">
        <v>9.5361510173849595</v>
      </c>
      <c r="Q135" s="8">
        <v>3.42926828367901</v>
      </c>
      <c r="R135" s="8">
        <v>14.549831336119199</v>
      </c>
      <c r="S135" s="8">
        <v>1.86870564075802</v>
      </c>
      <c r="T135" s="125">
        <v>7.1988544110617996</v>
      </c>
      <c r="U135" s="125">
        <v>17.320099801187698</v>
      </c>
      <c r="V135" s="125">
        <v>15.9623480297816</v>
      </c>
      <c r="W135" s="125"/>
      <c r="X135" s="125"/>
      <c r="Y135" s="125"/>
      <c r="Z135" s="125"/>
      <c r="AA135" s="125"/>
    </row>
    <row r="136" spans="1:27" x14ac:dyDescent="0.2">
      <c r="A136" s="8">
        <v>8</v>
      </c>
      <c r="B136" s="8">
        <f t="shared" si="70"/>
        <v>7.3761851970364747</v>
      </c>
      <c r="C136" s="8">
        <v>6.8544427538275201</v>
      </c>
      <c r="D136" s="8">
        <v>10.136552908773799</v>
      </c>
      <c r="E136" s="8">
        <v>2.1430926448382301</v>
      </c>
      <c r="F136" s="8">
        <v>10.1908506611601</v>
      </c>
      <c r="G136" s="8">
        <v>1.39878991374217</v>
      </c>
      <c r="H136" s="8">
        <v>5.4974897859071898</v>
      </c>
      <c r="I136" s="8">
        <v>5.2737019017129203</v>
      </c>
      <c r="J136" s="8">
        <v>7.6596950112741302</v>
      </c>
      <c r="K136" s="8">
        <v>11.1392842225509</v>
      </c>
      <c r="L136" s="8">
        <v>23.726310706685499</v>
      </c>
      <c r="M136" s="8">
        <v>5.2290808877158996</v>
      </c>
      <c r="N136" s="8">
        <v>6.0502501631169396</v>
      </c>
      <c r="O136" s="8" t="s">
        <v>44</v>
      </c>
      <c r="P136" s="8">
        <v>12.236247962882</v>
      </c>
      <c r="Q136" s="8">
        <v>5.7428484252034098</v>
      </c>
      <c r="R136" s="8">
        <v>9.8342524275892202</v>
      </c>
      <c r="S136" s="8">
        <v>4.7954499331765801</v>
      </c>
      <c r="T136" s="125">
        <v>3.1832569657227499</v>
      </c>
      <c r="U136" s="125">
        <v>6.9095970377669902</v>
      </c>
      <c r="V136" s="125">
        <v>2.1463244300467501</v>
      </c>
      <c r="W136" s="125"/>
      <c r="X136" s="125"/>
      <c r="Y136" s="125"/>
      <c r="Z136" s="125"/>
      <c r="AA136" s="125"/>
    </row>
    <row r="137" spans="1:27" x14ac:dyDescent="0.2">
      <c r="A137" s="8">
        <v>9</v>
      </c>
      <c r="B137" s="8">
        <f t="shared" si="70"/>
        <v>10.089406882433455</v>
      </c>
      <c r="C137" s="8" t="s">
        <v>44</v>
      </c>
      <c r="D137" s="8">
        <v>5.8670904173446399</v>
      </c>
      <c r="E137" s="8" t="s">
        <v>44</v>
      </c>
      <c r="F137" s="8">
        <v>9.9432720211251304</v>
      </c>
      <c r="G137" s="8" t="s">
        <v>44</v>
      </c>
      <c r="H137" s="8">
        <v>9.9036996750998796</v>
      </c>
      <c r="I137" s="8">
        <v>8.5188959416549999</v>
      </c>
      <c r="J137" s="8">
        <v>18.9485740291965</v>
      </c>
      <c r="K137" s="8">
        <v>15.6974419463585</v>
      </c>
      <c r="L137" s="8" t="s">
        <v>44</v>
      </c>
      <c r="M137" s="8" t="s">
        <v>44</v>
      </c>
      <c r="N137" s="8">
        <v>8.6554358597122505</v>
      </c>
      <c r="O137" s="8">
        <v>6.5642492572575</v>
      </c>
      <c r="P137" s="8" t="s">
        <v>44</v>
      </c>
      <c r="Q137" s="8" t="s">
        <v>44</v>
      </c>
      <c r="R137" s="8" t="s">
        <v>44</v>
      </c>
      <c r="S137" s="8">
        <v>6.70600279415169</v>
      </c>
      <c r="T137" s="125" t="s">
        <v>44</v>
      </c>
      <c r="U137" s="125" t="s">
        <v>44</v>
      </c>
      <c r="V137" s="125" t="s">
        <v>44</v>
      </c>
      <c r="W137" s="125"/>
      <c r="X137" s="125"/>
      <c r="Y137" s="125"/>
      <c r="Z137" s="125"/>
      <c r="AA137" s="125"/>
    </row>
    <row r="138" spans="1:27" x14ac:dyDescent="0.2">
      <c r="A138" s="8">
        <v>10</v>
      </c>
      <c r="B138" s="8">
        <f t="shared" si="70"/>
        <v>6.2052628974969872</v>
      </c>
      <c r="C138" s="8" t="s">
        <v>44</v>
      </c>
      <c r="D138" s="8">
        <v>3.1595280710592499</v>
      </c>
      <c r="E138" s="8">
        <v>3.8312645041356301</v>
      </c>
      <c r="F138" s="8">
        <v>6.3802106783127801</v>
      </c>
      <c r="G138" s="8">
        <v>11.1282902779982</v>
      </c>
      <c r="H138" s="8" t="s">
        <v>44</v>
      </c>
      <c r="I138" s="8">
        <v>6.2136199379951496</v>
      </c>
      <c r="J138" s="8">
        <v>5.11016953894356</v>
      </c>
      <c r="K138" s="8">
        <v>6.62780634216303</v>
      </c>
      <c r="L138" s="8">
        <v>3.4485784791496101</v>
      </c>
      <c r="M138" s="8">
        <v>6.0868642438760103</v>
      </c>
      <c r="N138" s="8">
        <v>11.7100767557103</v>
      </c>
      <c r="O138" s="8">
        <v>0.161174752283438</v>
      </c>
      <c r="P138" s="8" t="s">
        <v>44</v>
      </c>
      <c r="Q138" s="8">
        <v>8.99674812612629</v>
      </c>
      <c r="R138" s="8">
        <v>7.3841162939520899</v>
      </c>
      <c r="S138" s="8">
        <v>7.4068180499167999</v>
      </c>
      <c r="T138" s="125">
        <v>8.7934358517064002</v>
      </c>
      <c r="U138" s="125">
        <v>3.4924413599708801</v>
      </c>
      <c r="V138" s="125">
        <v>5.5583259941493903</v>
      </c>
      <c r="W138" s="125"/>
      <c r="X138" s="125"/>
      <c r="Y138" s="125"/>
      <c r="Z138" s="125"/>
      <c r="AA138" s="125"/>
    </row>
    <row r="139" spans="1:27" x14ac:dyDescent="0.2">
      <c r="A139" s="8">
        <v>11</v>
      </c>
      <c r="B139" s="8">
        <f t="shared" si="70"/>
        <v>5.2318163826873105</v>
      </c>
      <c r="C139" s="8">
        <v>5.18827819892633</v>
      </c>
      <c r="D139" s="8">
        <v>3.5702904534917299</v>
      </c>
      <c r="E139" s="8">
        <v>9.7050998791461502</v>
      </c>
      <c r="F139" s="8">
        <v>2.67996188210775</v>
      </c>
      <c r="G139" s="8">
        <v>5.1904781253995296</v>
      </c>
      <c r="H139" s="8" t="s">
        <v>44</v>
      </c>
      <c r="I139" s="8">
        <v>7.7470378739097301</v>
      </c>
      <c r="J139" s="8">
        <v>2.8656993560171</v>
      </c>
      <c r="K139" s="8">
        <v>7.6906727933174102</v>
      </c>
      <c r="L139" s="8">
        <v>3.5765015547116099</v>
      </c>
      <c r="M139" s="8">
        <v>5.8268782265198302</v>
      </c>
      <c r="N139" s="8">
        <v>4.7935999764377399</v>
      </c>
      <c r="O139" s="8">
        <v>4.9517330826842203</v>
      </c>
      <c r="P139" s="8">
        <v>7.2216247352845198</v>
      </c>
      <c r="Q139" s="8">
        <v>5.7477358991441001</v>
      </c>
      <c r="R139" s="8">
        <v>3.8214913882617898</v>
      </c>
      <c r="S139" s="8">
        <v>2.81742329390014</v>
      </c>
      <c r="T139" s="125">
        <v>9.8449894155276301</v>
      </c>
      <c r="U139" s="125">
        <v>1.6630719729333501</v>
      </c>
      <c r="V139" s="125">
        <v>4.5019431633382299</v>
      </c>
      <c r="W139" s="125"/>
      <c r="X139" s="125"/>
      <c r="Y139" s="125"/>
      <c r="Z139" s="125"/>
      <c r="AA139" s="125"/>
    </row>
    <row r="140" spans="1:27" x14ac:dyDescent="0.2">
      <c r="A140" s="8">
        <v>12</v>
      </c>
      <c r="B140" s="8">
        <f t="shared" si="70"/>
        <v>7.6503340441275283</v>
      </c>
      <c r="C140" s="8" t="s">
        <v>44</v>
      </c>
      <c r="D140" s="8">
        <v>5.4370519289352197</v>
      </c>
      <c r="E140" s="8">
        <v>10.365748620049899</v>
      </c>
      <c r="F140" s="8">
        <v>7.1852248336830904</v>
      </c>
      <c r="G140" s="8">
        <v>6.9416041310851702</v>
      </c>
      <c r="H140" s="8">
        <v>3.9443496418580302</v>
      </c>
      <c r="I140" s="8">
        <v>5.2607300258539196</v>
      </c>
      <c r="J140" s="8">
        <v>8.6479357766281897</v>
      </c>
      <c r="K140" s="8">
        <v>5.8243217501037403</v>
      </c>
      <c r="L140" s="8">
        <v>11.388969723727</v>
      </c>
      <c r="M140" s="8">
        <v>8.5616877010322501</v>
      </c>
      <c r="N140" s="8">
        <v>2.7837415637843899</v>
      </c>
      <c r="O140" s="8">
        <v>5.3409173144918896</v>
      </c>
      <c r="P140" s="8" t="s">
        <v>44</v>
      </c>
      <c r="Q140" s="8">
        <v>11.481026170604</v>
      </c>
      <c r="R140" s="8">
        <v>5.0200440194920199</v>
      </c>
      <c r="S140" s="8">
        <v>8.8820104005499303</v>
      </c>
      <c r="T140" s="125">
        <v>10.9805305594044</v>
      </c>
      <c r="U140" s="125">
        <v>7.5164790206196903</v>
      </c>
      <c r="V140" s="125">
        <v>12.1436396123927</v>
      </c>
      <c r="W140" s="125"/>
      <c r="X140" s="125"/>
      <c r="Y140" s="125"/>
      <c r="Z140" s="125"/>
      <c r="AA140" s="125"/>
    </row>
    <row r="141" spans="1:27" x14ac:dyDescent="0.2">
      <c r="A141" s="8">
        <v>13</v>
      </c>
      <c r="T141" s="125"/>
      <c r="U141" s="125"/>
      <c r="V141" s="125"/>
      <c r="W141" s="125"/>
      <c r="X141" s="125"/>
      <c r="Y141" s="125"/>
      <c r="Z141" s="125"/>
      <c r="AA141" s="125"/>
    </row>
    <row r="142" spans="1:27" x14ac:dyDescent="0.2">
      <c r="A142" s="8">
        <v>14</v>
      </c>
      <c r="B142" s="8">
        <f t="shared" si="70"/>
        <v>10.178435879407893</v>
      </c>
      <c r="C142" s="8">
        <v>14.1842776400365</v>
      </c>
      <c r="D142" s="8">
        <v>11.6825290170828</v>
      </c>
      <c r="E142" s="8">
        <v>11.535987895087001</v>
      </c>
      <c r="F142" s="8">
        <v>9.0577569192581695</v>
      </c>
      <c r="G142" s="8">
        <v>22.271496971144</v>
      </c>
      <c r="H142" s="8">
        <v>5.2748979761164199</v>
      </c>
      <c r="I142" s="8">
        <v>6.6423126887958404</v>
      </c>
      <c r="J142" s="8">
        <v>6.6170832571345599</v>
      </c>
      <c r="K142" s="8">
        <v>23.473509833553301</v>
      </c>
      <c r="L142" s="8">
        <v>5.5482498399714499</v>
      </c>
      <c r="M142" s="8">
        <v>10.4844218190491</v>
      </c>
      <c r="N142" s="8">
        <v>6.3308036848752796</v>
      </c>
      <c r="O142" s="8">
        <v>15.901294268728799</v>
      </c>
      <c r="P142" s="8">
        <v>4.1493765949231101</v>
      </c>
      <c r="Q142" s="8">
        <v>5.4637010910256896</v>
      </c>
      <c r="R142" s="8">
        <v>12.925166035692</v>
      </c>
      <c r="S142" s="8">
        <v>7.81135742831969</v>
      </c>
      <c r="T142" s="125">
        <v>9.9073544517966106</v>
      </c>
      <c r="U142" s="125">
        <v>7.8140973191554002</v>
      </c>
      <c r="V142" s="125">
        <v>6.4930428564121501</v>
      </c>
      <c r="W142" s="125"/>
      <c r="X142" s="125"/>
      <c r="Y142" s="125"/>
      <c r="Z142" s="125"/>
      <c r="AA142" s="125"/>
    </row>
    <row r="143" spans="1:27" x14ac:dyDescent="0.2">
      <c r="A143" s="8">
        <v>15</v>
      </c>
      <c r="B143" s="8">
        <f t="shared" si="70"/>
        <v>7.8912273751953705</v>
      </c>
      <c r="C143" s="8">
        <v>14.436122073205601</v>
      </c>
      <c r="D143" s="8">
        <v>4.5105758271113796</v>
      </c>
      <c r="E143" s="8">
        <v>6.5792049611546899</v>
      </c>
      <c r="F143" s="8">
        <v>3.9463300717727599</v>
      </c>
      <c r="G143" s="8" t="s">
        <v>44</v>
      </c>
      <c r="H143" s="8">
        <v>16.477694355624401</v>
      </c>
      <c r="I143" s="8">
        <v>7.3646804082198303</v>
      </c>
      <c r="J143" s="8">
        <v>12.290396038401401</v>
      </c>
      <c r="K143" s="8">
        <v>12.8959549283702</v>
      </c>
      <c r="L143" s="8">
        <v>8.8245123299380896</v>
      </c>
      <c r="M143" s="8">
        <v>4.3378115104395496</v>
      </c>
      <c r="N143" s="8" t="s">
        <v>44</v>
      </c>
      <c r="O143" s="8">
        <v>7.4397285575214802</v>
      </c>
      <c r="P143" s="8">
        <v>2.2185942429071499</v>
      </c>
      <c r="Q143" s="8">
        <v>4.4609891712531304</v>
      </c>
      <c r="R143" s="8">
        <v>5.0050059722480098</v>
      </c>
      <c r="S143" s="8" t="s">
        <v>44</v>
      </c>
      <c r="T143" s="125">
        <v>2.0816258058786099</v>
      </c>
      <c r="U143" s="125">
        <v>9.1022271865901008</v>
      </c>
      <c r="V143" s="125">
        <v>12.1794119376849</v>
      </c>
      <c r="W143" s="125"/>
      <c r="X143" s="125"/>
      <c r="Y143" s="125"/>
      <c r="Z143" s="125"/>
      <c r="AA143" s="125"/>
    </row>
    <row r="144" spans="1:27" x14ac:dyDescent="0.2">
      <c r="A144" s="8">
        <v>16</v>
      </c>
      <c r="B144" s="8">
        <f t="shared" si="70"/>
        <v>6.6477838503269533</v>
      </c>
      <c r="C144" s="8">
        <v>11.343091543159201</v>
      </c>
      <c r="D144" s="8">
        <v>18.224520123992999</v>
      </c>
      <c r="E144" s="8">
        <v>3.9211438920574402</v>
      </c>
      <c r="F144" s="8">
        <v>2.8895780865820102</v>
      </c>
      <c r="G144" s="8">
        <v>2.97435790646173</v>
      </c>
      <c r="H144" s="8">
        <v>14.991046502337401</v>
      </c>
      <c r="I144" s="8">
        <v>6.0822327713295197</v>
      </c>
      <c r="J144" s="8">
        <v>4.7675042692058502</v>
      </c>
      <c r="K144" s="8" t="s">
        <v>44</v>
      </c>
      <c r="L144" s="8">
        <v>4.78347997046665</v>
      </c>
      <c r="M144" s="8">
        <v>4.5428728198997401</v>
      </c>
      <c r="N144" s="8">
        <v>7.30746545087813</v>
      </c>
      <c r="O144" s="8">
        <v>5.2678774298160302</v>
      </c>
      <c r="P144" s="8">
        <v>8.1779349705745101</v>
      </c>
      <c r="Q144" s="8">
        <v>5.31312308485695</v>
      </c>
      <c r="R144" s="8">
        <v>6.1297057507139803</v>
      </c>
      <c r="S144" s="8">
        <v>5.0987770011526896</v>
      </c>
      <c r="T144" s="125">
        <v>2.6023728300936102</v>
      </c>
      <c r="U144" s="125">
        <v>6.5383739521790698</v>
      </c>
      <c r="V144" s="125">
        <v>5.3524348004546098</v>
      </c>
      <c r="W144" s="125"/>
      <c r="X144" s="125"/>
      <c r="Y144" s="125"/>
      <c r="Z144" s="125"/>
      <c r="AA144" s="125"/>
    </row>
    <row r="145" spans="1:25" x14ac:dyDescent="0.2">
      <c r="A145" s="209">
        <v>17</v>
      </c>
      <c r="U145" s="125"/>
      <c r="V145" s="125"/>
      <c r="W145" s="125"/>
      <c r="X145" s="125"/>
      <c r="Y145" s="125"/>
    </row>
    <row r="146" spans="1:25" x14ac:dyDescent="0.2">
      <c r="A146" s="8">
        <v>18</v>
      </c>
    </row>
    <row r="147" spans="1:25" x14ac:dyDescent="0.2">
      <c r="A147" s="8">
        <v>19</v>
      </c>
      <c r="B147" s="8">
        <f t="shared" si="70"/>
        <v>7.0232809468631547</v>
      </c>
      <c r="C147" s="8" t="s">
        <v>44</v>
      </c>
      <c r="D147" s="8">
        <v>13.7281355847652</v>
      </c>
      <c r="E147" s="8">
        <v>2.0734457635283099</v>
      </c>
      <c r="F147" s="8">
        <v>0.29924821253685502</v>
      </c>
      <c r="G147" s="8">
        <v>4.0519827207716901</v>
      </c>
      <c r="H147" s="8">
        <v>3.7001576915673402</v>
      </c>
      <c r="I147" s="8">
        <v>6.6509812868474398</v>
      </c>
      <c r="J147" s="8">
        <v>7.0312118062525997</v>
      </c>
      <c r="K147" s="8">
        <v>14.612897732695201</v>
      </c>
      <c r="L147" s="8" t="s">
        <v>44</v>
      </c>
      <c r="M147" s="8">
        <v>3.7044440841274699</v>
      </c>
      <c r="N147" s="8">
        <v>6.1363317735186502</v>
      </c>
      <c r="O147" s="8">
        <v>0.82133049859226404</v>
      </c>
      <c r="P147" s="8">
        <v>13.9963502818586</v>
      </c>
      <c r="Q147" s="8">
        <v>11.057229833275001</v>
      </c>
      <c r="R147" s="8">
        <v>7.94592416630028</v>
      </c>
      <c r="S147" s="8">
        <v>11.642912229817</v>
      </c>
      <c r="T147" s="8">
        <v>3.7470938757211298</v>
      </c>
      <c r="U147" s="8">
        <v>4.4919318575755298</v>
      </c>
      <c r="V147" s="8">
        <v>10.727447643786199</v>
      </c>
    </row>
    <row r="148" spans="1:25" x14ac:dyDescent="0.2">
      <c r="A148" s="8">
        <v>20</v>
      </c>
      <c r="B148" s="8">
        <f t="shared" si="70"/>
        <v>8.6330676814812062</v>
      </c>
      <c r="C148" s="8">
        <v>1.73315470477865</v>
      </c>
      <c r="D148" s="8">
        <v>6.9274691006106499</v>
      </c>
      <c r="E148" s="8">
        <v>15.519084677090101</v>
      </c>
      <c r="F148" s="8">
        <v>13.6914299881118</v>
      </c>
      <c r="G148" s="8">
        <v>4.3547369786613404</v>
      </c>
      <c r="H148" s="8">
        <v>3.11965564348443</v>
      </c>
      <c r="I148" s="8">
        <v>2.22139694029201</v>
      </c>
      <c r="J148" s="8">
        <v>3.2764451205087002</v>
      </c>
      <c r="K148" s="8">
        <v>33.836549745777901</v>
      </c>
      <c r="L148" s="8">
        <v>9.2186600093265696</v>
      </c>
      <c r="M148" s="8">
        <v>3.8320376931326501</v>
      </c>
      <c r="N148" s="8">
        <v>2.5651630628946198</v>
      </c>
      <c r="O148" s="8">
        <v>9.5455078898731998</v>
      </c>
      <c r="P148" s="8">
        <v>11.504786754648</v>
      </c>
      <c r="Q148" s="8">
        <v>6.40640516178079</v>
      </c>
      <c r="R148" s="8">
        <v>12.458191391800501</v>
      </c>
      <c r="S148" s="8">
        <v>3.3433620837769502</v>
      </c>
      <c r="T148" s="8">
        <v>9.0911116602106699</v>
      </c>
      <c r="U148" s="8">
        <v>15.710467068378099</v>
      </c>
      <c r="V148" s="8">
        <v>4.3057379544864798</v>
      </c>
    </row>
    <row r="149" spans="1:25" x14ac:dyDescent="0.2">
      <c r="A149" s="8">
        <v>21</v>
      </c>
    </row>
    <row r="150" spans="1:25" x14ac:dyDescent="0.2">
      <c r="A150" s="209">
        <v>22</v>
      </c>
    </row>
    <row r="151" spans="1:25" x14ac:dyDescent="0.2">
      <c r="A151" s="8">
        <v>23</v>
      </c>
      <c r="B151" s="8">
        <f t="shared" si="70"/>
        <v>9.6347529285671545</v>
      </c>
      <c r="C151" s="8" t="s">
        <v>44</v>
      </c>
      <c r="D151" s="8">
        <v>1.87122898336166</v>
      </c>
      <c r="E151" s="8">
        <v>2.7964298008575499</v>
      </c>
      <c r="F151" s="8">
        <v>10.213608179802099</v>
      </c>
      <c r="G151" s="8">
        <v>5.7082602345094404</v>
      </c>
      <c r="H151" s="8" t="s">
        <v>44</v>
      </c>
      <c r="I151" s="8">
        <v>9.0763221898767608</v>
      </c>
      <c r="J151" s="8">
        <v>5.7054419552281397</v>
      </c>
      <c r="K151" s="8">
        <v>45.550681354080702</v>
      </c>
      <c r="L151" s="8">
        <v>10.8310663877172</v>
      </c>
      <c r="M151" s="8">
        <v>6.1303201934320697</v>
      </c>
      <c r="N151" s="8">
        <v>8.7621882785172698</v>
      </c>
      <c r="O151" s="8" t="s">
        <v>44</v>
      </c>
      <c r="P151" s="8">
        <v>6.3694711558016399</v>
      </c>
      <c r="Q151" s="8">
        <v>11.012592296405501</v>
      </c>
      <c r="R151" s="8">
        <v>20.606238601049899</v>
      </c>
      <c r="S151" s="8">
        <v>6.1586425106516396</v>
      </c>
      <c r="T151" s="8">
        <v>3.1313169268549998</v>
      </c>
      <c r="U151" s="8">
        <v>7.2918645134361597</v>
      </c>
      <c r="V151" s="8">
        <v>2.5751262240589301</v>
      </c>
    </row>
    <row r="152" spans="1:25" x14ac:dyDescent="0.2">
      <c r="A152" s="8">
        <v>24</v>
      </c>
      <c r="B152" s="8">
        <f t="shared" si="70"/>
        <v>7.9626150680680396</v>
      </c>
      <c r="C152" s="8">
        <v>7.0834359029955198</v>
      </c>
      <c r="D152" s="8">
        <v>5.0871023853643296</v>
      </c>
      <c r="E152" s="8">
        <v>9.4270392805770999</v>
      </c>
      <c r="F152" s="8">
        <v>13.180836231833601</v>
      </c>
      <c r="G152" s="8">
        <v>18.602485712163801</v>
      </c>
      <c r="H152" s="8">
        <v>15.516107813628899</v>
      </c>
      <c r="I152" s="8">
        <v>0.77585699889336202</v>
      </c>
      <c r="J152" s="8">
        <v>12.849886548382599</v>
      </c>
      <c r="K152" s="8">
        <v>0.74166609929506699</v>
      </c>
      <c r="L152" s="8">
        <v>2.7872327672921</v>
      </c>
      <c r="M152" s="8">
        <v>1.8733676688654499</v>
      </c>
      <c r="N152" s="8">
        <v>18.552464110669298</v>
      </c>
      <c r="O152" s="8">
        <v>3.2580178084437699</v>
      </c>
      <c r="P152" s="8">
        <v>7.5346546311695999</v>
      </c>
      <c r="Q152" s="8">
        <v>2.6171765166836098</v>
      </c>
      <c r="R152" s="8">
        <v>6.0851817645122201</v>
      </c>
      <c r="S152" s="8">
        <v>3.5243445892704401</v>
      </c>
      <c r="T152" s="8">
        <v>5.2157270503897903</v>
      </c>
      <c r="U152" s="8">
        <v>2.1235312863224198</v>
      </c>
      <c r="V152" s="8">
        <v>22.4161861946078</v>
      </c>
    </row>
    <row r="153" spans="1:25" x14ac:dyDescent="0.2">
      <c r="A153" s="8">
        <v>25</v>
      </c>
      <c r="B153" s="8">
        <f t="shared" si="70"/>
        <v>5.662390178935313</v>
      </c>
      <c r="C153" s="8" t="s">
        <v>44</v>
      </c>
      <c r="D153" s="8">
        <v>6.5179406000862796</v>
      </c>
      <c r="E153" s="8" t="s">
        <v>44</v>
      </c>
      <c r="F153" s="8">
        <v>13.2345071309151</v>
      </c>
      <c r="G153" s="8">
        <v>1.69262323974453</v>
      </c>
      <c r="H153" s="8">
        <v>6.0799330431271201</v>
      </c>
      <c r="I153" s="8">
        <v>6.39267382817546</v>
      </c>
      <c r="J153" s="8">
        <v>1.0061015352814999</v>
      </c>
      <c r="K153" s="8" t="s">
        <v>44</v>
      </c>
      <c r="L153" s="8">
        <v>3.7117006245357098</v>
      </c>
      <c r="M153" s="8">
        <v>5.4192918264283598</v>
      </c>
      <c r="N153" s="8">
        <v>4.8862582363736298</v>
      </c>
      <c r="O153" s="8">
        <v>5.8819181689952096</v>
      </c>
      <c r="P153" s="8" t="s">
        <v>44</v>
      </c>
      <c r="Q153" s="8">
        <v>7.7474038083085803</v>
      </c>
      <c r="R153" s="8" t="s">
        <v>44</v>
      </c>
      <c r="S153" s="8">
        <v>2.3302572020408201</v>
      </c>
      <c r="T153" s="8" t="s">
        <v>44</v>
      </c>
      <c r="U153" s="8">
        <v>6.8081739158451304</v>
      </c>
      <c r="V153" s="8">
        <v>7.5646793452369501</v>
      </c>
    </row>
    <row r="154" spans="1:25" x14ac:dyDescent="0.2">
      <c r="A154" s="8">
        <v>26</v>
      </c>
    </row>
    <row r="155" spans="1:25" x14ac:dyDescent="0.2">
      <c r="A155" s="8">
        <v>27</v>
      </c>
      <c r="B155" s="8">
        <f t="shared" si="70"/>
        <v>8.5347192490456543</v>
      </c>
      <c r="C155" s="8">
        <v>4.9744995916348698</v>
      </c>
      <c r="D155" s="8">
        <v>6.7769751517350301</v>
      </c>
      <c r="E155" s="8">
        <v>7.8829359292107801</v>
      </c>
      <c r="F155" s="8">
        <v>2.1589729454654498</v>
      </c>
      <c r="G155" s="8">
        <v>9.8694754657370503</v>
      </c>
      <c r="H155" s="8">
        <v>20.841388542983999</v>
      </c>
      <c r="I155" s="8">
        <v>2.4092844789026202</v>
      </c>
      <c r="J155" s="8">
        <v>13.1195560649253</v>
      </c>
      <c r="K155" s="8">
        <v>39.074865791583797</v>
      </c>
      <c r="L155" s="8">
        <v>8.1598868068260693</v>
      </c>
      <c r="M155" s="8">
        <v>6.5584200081078796</v>
      </c>
      <c r="N155" s="8">
        <v>4.8174574360219404</v>
      </c>
      <c r="O155" s="8">
        <v>1.12688047821985</v>
      </c>
      <c r="P155" s="8">
        <v>4.8730524613937201</v>
      </c>
      <c r="Q155" s="8">
        <v>12.333986495046901</v>
      </c>
      <c r="R155" s="8">
        <v>4.8241070481170301</v>
      </c>
      <c r="S155" s="8">
        <v>8.4326420565372793</v>
      </c>
      <c r="T155" s="8">
        <v>7.3182834484513402</v>
      </c>
      <c r="U155" s="8">
        <v>2.28077789531861</v>
      </c>
      <c r="V155" s="8">
        <v>2.8609368846935799</v>
      </c>
    </row>
    <row r="156" spans="1:25" x14ac:dyDescent="0.2">
      <c r="A156" s="8">
        <v>28</v>
      </c>
      <c r="B156" s="8">
        <f t="shared" si="70"/>
        <v>10.156037563763652</v>
      </c>
      <c r="C156" s="8">
        <v>4.5020655247923402</v>
      </c>
      <c r="D156" s="8">
        <v>15.5171902265733</v>
      </c>
      <c r="E156" s="8">
        <v>8.8460996045416191</v>
      </c>
      <c r="F156" s="8">
        <v>11.236219395682699</v>
      </c>
      <c r="G156" s="8">
        <v>23.7212295285069</v>
      </c>
      <c r="H156" s="8" t="s">
        <v>44</v>
      </c>
      <c r="I156" s="8">
        <v>11.7665233234922</v>
      </c>
      <c r="J156" s="8">
        <v>8.2409754574385499</v>
      </c>
      <c r="K156" s="8">
        <v>32.036067363659498</v>
      </c>
      <c r="L156" s="8">
        <v>6.9621043777960701</v>
      </c>
      <c r="M156" s="8">
        <v>9.3866023854532799</v>
      </c>
      <c r="N156" s="8">
        <v>5.1726106325177197</v>
      </c>
      <c r="O156" s="8">
        <v>1.9666889117845501</v>
      </c>
      <c r="P156" s="8">
        <v>9.1943727110281408</v>
      </c>
      <c r="Q156" s="8">
        <v>10.659219875501901</v>
      </c>
      <c r="R156" s="8">
        <v>5.8439586266736496</v>
      </c>
      <c r="S156" s="8">
        <v>11.152150790194799</v>
      </c>
      <c r="T156" s="8">
        <v>8.6341982452937902</v>
      </c>
      <c r="U156" s="8">
        <v>4.7501906294727796</v>
      </c>
      <c r="V156" s="8">
        <v>3.37624610110562</v>
      </c>
    </row>
    <row r="157" spans="1:25" x14ac:dyDescent="0.2">
      <c r="A157" s="209">
        <v>29</v>
      </c>
    </row>
    <row r="158" spans="1:25" x14ac:dyDescent="0.2">
      <c r="A158" s="8">
        <v>30</v>
      </c>
      <c r="B158" s="8">
        <f t="shared" si="70"/>
        <v>9.7818553374475048</v>
      </c>
      <c r="C158" s="8">
        <v>6.6053854921242001</v>
      </c>
      <c r="D158" s="8">
        <v>5.2817259529183804</v>
      </c>
      <c r="E158" s="8">
        <v>6.1849251429512204</v>
      </c>
      <c r="F158" s="8">
        <v>7.1392803431394096</v>
      </c>
      <c r="G158" s="8">
        <v>7.3496641961760796</v>
      </c>
      <c r="H158" s="8">
        <v>33.091849757641199</v>
      </c>
      <c r="I158" s="8">
        <v>7.7680192696624797</v>
      </c>
      <c r="J158" s="8">
        <v>13.784993854006499</v>
      </c>
      <c r="K158" s="8">
        <v>9.8239665916165198</v>
      </c>
      <c r="L158" s="8">
        <v>3.1441325325675198</v>
      </c>
      <c r="M158" s="8">
        <v>13.102154791001899</v>
      </c>
      <c r="N158" s="8">
        <v>9.6262347775059798</v>
      </c>
      <c r="O158" s="8">
        <v>18.143690477099899</v>
      </c>
      <c r="P158" s="8">
        <v>3.27840557136305</v>
      </c>
      <c r="Q158" s="8">
        <v>5.3465901690642799</v>
      </c>
      <c r="R158" s="8">
        <v>21.902545120011101</v>
      </c>
      <c r="S158" s="8">
        <v>3.5549466838265298</v>
      </c>
      <c r="T158" s="8">
        <v>6.89410851915411</v>
      </c>
      <c r="U158" s="8">
        <v>5.1460957267230398</v>
      </c>
      <c r="V158" s="8">
        <v>8.4683917803966704</v>
      </c>
    </row>
    <row r="159" spans="1:25" x14ac:dyDescent="0.2">
      <c r="A159" s="8">
        <v>31</v>
      </c>
      <c r="B159" s="8">
        <f t="shared" si="70"/>
        <v>7.5835514195521405</v>
      </c>
      <c r="C159" s="8">
        <v>3.0377902530241698</v>
      </c>
      <c r="D159" s="8">
        <v>4.38980819625439</v>
      </c>
      <c r="E159" s="8">
        <v>3.8085994135410002</v>
      </c>
      <c r="F159" s="8">
        <v>12.199020218668799</v>
      </c>
      <c r="G159" s="8">
        <v>10.058425253068201</v>
      </c>
      <c r="H159" s="8">
        <v>2.9946168954887602</v>
      </c>
      <c r="I159" s="8">
        <v>11.2388248262902</v>
      </c>
      <c r="J159" s="8">
        <v>9.6619103744135693</v>
      </c>
      <c r="K159" s="8">
        <v>11.513539003372401</v>
      </c>
      <c r="L159" s="8">
        <v>0.49313857623748802</v>
      </c>
      <c r="M159" s="8" t="s">
        <v>44</v>
      </c>
      <c r="N159" s="8">
        <v>4.4237873530753502</v>
      </c>
      <c r="O159" s="8">
        <v>3.68591398761306</v>
      </c>
      <c r="P159" s="8">
        <v>23.9802589957851</v>
      </c>
      <c r="Q159" s="8">
        <v>9.0727007382169607</v>
      </c>
      <c r="R159" s="8">
        <v>9.2920843955106207</v>
      </c>
      <c r="S159" s="8">
        <v>7.1628341665762703</v>
      </c>
      <c r="T159" s="8" t="s">
        <v>44</v>
      </c>
      <c r="U159" s="8">
        <v>5.80154877941896</v>
      </c>
      <c r="V159" s="8">
        <v>3.6891241253832301</v>
      </c>
    </row>
    <row r="160" spans="1:25" x14ac:dyDescent="0.2">
      <c r="A160" s="8">
        <v>32</v>
      </c>
    </row>
    <row r="161" spans="1:22" x14ac:dyDescent="0.2">
      <c r="A161" s="8">
        <v>33</v>
      </c>
      <c r="B161" s="8">
        <f t="shared" si="70"/>
        <v>5.3137701663207526</v>
      </c>
      <c r="C161" s="8">
        <v>10.1886116379362</v>
      </c>
      <c r="D161" s="8">
        <v>3.34043623150473</v>
      </c>
      <c r="E161" s="8">
        <v>2.1009455647178998</v>
      </c>
      <c r="F161" s="8">
        <v>14.764937020418101</v>
      </c>
      <c r="G161" s="8">
        <v>5.0177031058553201</v>
      </c>
      <c r="H161" s="8">
        <v>7.2799762085261204</v>
      </c>
      <c r="I161" s="8">
        <v>1.5354354708079101</v>
      </c>
      <c r="J161" s="8">
        <v>0.237553359141533</v>
      </c>
      <c r="K161" s="8">
        <v>8.5157604423576103</v>
      </c>
      <c r="L161" s="8">
        <v>1.20406360987766</v>
      </c>
      <c r="M161" s="8">
        <v>3.1418276016174702</v>
      </c>
      <c r="N161" s="8">
        <v>13.1863023324916</v>
      </c>
      <c r="O161" s="8">
        <v>1.7018527688488601</v>
      </c>
      <c r="P161" s="8">
        <v>2.8869691576509999</v>
      </c>
      <c r="Q161" s="8">
        <v>2.66203894694821</v>
      </c>
      <c r="R161" s="8">
        <v>5.9144153470793697</v>
      </c>
      <c r="S161" s="8">
        <v>1.12142219552814</v>
      </c>
      <c r="T161" s="8">
        <v>13.001260938288301</v>
      </c>
      <c r="U161" s="8">
        <v>5.1522010488330698</v>
      </c>
      <c r="V161" s="8">
        <v>3.3216903379859599</v>
      </c>
    </row>
    <row r="162" spans="1:22" x14ac:dyDescent="0.2">
      <c r="A162" s="8">
        <v>34</v>
      </c>
      <c r="B162" s="8">
        <f t="shared" si="70"/>
        <v>6.420512930728675</v>
      </c>
      <c r="C162" s="8">
        <v>18.821618528606699</v>
      </c>
      <c r="D162" s="8" t="s">
        <v>44</v>
      </c>
      <c r="E162" s="8">
        <v>4.7920044032669598</v>
      </c>
      <c r="F162" s="8">
        <v>8.2384514967917699</v>
      </c>
      <c r="G162" s="8">
        <v>6.9107229787202602</v>
      </c>
      <c r="H162" s="8">
        <v>4.2034005821856297</v>
      </c>
      <c r="I162" s="8">
        <v>2.1309265738034302</v>
      </c>
      <c r="J162" s="8">
        <v>5.6505731786406397</v>
      </c>
      <c r="K162" s="8" t="s">
        <v>44</v>
      </c>
      <c r="L162" s="8">
        <v>13.002269320658799</v>
      </c>
      <c r="M162" s="8">
        <v>1.52256891478406</v>
      </c>
      <c r="N162" s="8">
        <v>13.039810467496901</v>
      </c>
      <c r="O162" s="8">
        <v>0.44517311258679598</v>
      </c>
      <c r="P162" s="8">
        <v>4.29161559183264</v>
      </c>
      <c r="Q162" s="8">
        <v>8.8986547773087903</v>
      </c>
      <c r="R162" s="8">
        <v>9.4343842625573693</v>
      </c>
      <c r="S162" s="8">
        <v>5.0847486248108202</v>
      </c>
      <c r="T162" s="8">
        <v>5.8905417476836002</v>
      </c>
      <c r="U162" s="8">
        <v>0.87766271070921498</v>
      </c>
      <c r="V162" s="8">
        <v>2.3341054806717598</v>
      </c>
    </row>
    <row r="163" spans="1:22" x14ac:dyDescent="0.2">
      <c r="A163" s="8">
        <v>35</v>
      </c>
      <c r="B163" s="8">
        <f t="shared" si="70"/>
        <v>9.1906184140295011</v>
      </c>
      <c r="C163" s="8">
        <v>9.0945832964388291</v>
      </c>
      <c r="D163" s="8">
        <v>3.883960703189</v>
      </c>
      <c r="E163" s="8" t="s">
        <v>44</v>
      </c>
      <c r="F163" s="8">
        <v>5.2145183724288504</v>
      </c>
      <c r="G163" s="8">
        <v>4.07827658198942</v>
      </c>
      <c r="H163" s="8" t="s">
        <v>44</v>
      </c>
      <c r="I163" s="8">
        <v>11.964210883646301</v>
      </c>
      <c r="J163" s="8">
        <v>8.1865832733156196</v>
      </c>
      <c r="K163" s="8">
        <v>33.030548179710202</v>
      </c>
      <c r="L163" s="8">
        <v>10.0370334639574</v>
      </c>
      <c r="M163" s="8">
        <v>4.5225847130127503</v>
      </c>
      <c r="N163" s="8">
        <v>4.6780645767742097</v>
      </c>
      <c r="O163" s="8">
        <v>22.0658801593469</v>
      </c>
      <c r="P163" s="8" t="s">
        <v>44</v>
      </c>
      <c r="Q163" s="8">
        <v>2.6019826171422298</v>
      </c>
      <c r="R163" s="8">
        <v>17.347571952736601</v>
      </c>
      <c r="S163" s="8">
        <v>2.7669347394343302</v>
      </c>
      <c r="T163" s="8">
        <v>6.0172249865531997</v>
      </c>
      <c r="U163" s="8">
        <v>8.0823797781766107</v>
      </c>
      <c r="V163" s="8">
        <v>2.6681747606490598</v>
      </c>
    </row>
    <row r="164" spans="1:22" x14ac:dyDescent="0.2">
      <c r="A164" s="8">
        <v>36</v>
      </c>
      <c r="B164" s="8">
        <f t="shared" si="70"/>
        <v>8.5838703567500598</v>
      </c>
      <c r="C164" s="8">
        <v>10.3703081431367</v>
      </c>
      <c r="D164" s="8">
        <v>8.4774695465173</v>
      </c>
      <c r="E164" s="8">
        <v>2.5660050398537901</v>
      </c>
      <c r="F164" s="8">
        <v>4.9114987332401903</v>
      </c>
      <c r="G164" s="8">
        <v>10.9570875556281</v>
      </c>
      <c r="H164" s="8">
        <v>5.6069871464128198</v>
      </c>
      <c r="I164" s="8">
        <v>9.1229799095681496</v>
      </c>
      <c r="J164" s="8">
        <v>8.9518622455129897</v>
      </c>
      <c r="K164" s="8">
        <v>6.0908183514534997</v>
      </c>
      <c r="L164" s="8">
        <v>2.5220242941648001</v>
      </c>
      <c r="M164" s="8">
        <v>8.8733052183878094</v>
      </c>
      <c r="N164" s="8">
        <v>5.8343083006314496</v>
      </c>
      <c r="O164" s="8">
        <v>5.08038335666064</v>
      </c>
      <c r="P164" s="8">
        <v>5.6469556589428196</v>
      </c>
      <c r="Q164" s="8">
        <v>21.241405352570101</v>
      </c>
      <c r="R164" s="8">
        <v>13.4954368599782</v>
      </c>
      <c r="S164" s="8">
        <v>15.623806192479501</v>
      </c>
      <c r="T164" s="8">
        <v>12.037437280068101</v>
      </c>
      <c r="U164" s="8">
        <v>6.9368940369517</v>
      </c>
      <c r="V164" s="8">
        <v>7.3304339128425298</v>
      </c>
    </row>
    <row r="165" spans="1:22" x14ac:dyDescent="0.2">
      <c r="A165" s="8">
        <v>37</v>
      </c>
      <c r="B165" s="8">
        <f t="shared" si="70"/>
        <v>10.152027223212823</v>
      </c>
      <c r="C165" s="8">
        <v>8.1806260253709304</v>
      </c>
      <c r="D165" s="8">
        <v>10.735113256368001</v>
      </c>
      <c r="E165" s="8">
        <v>3.3875423605178798</v>
      </c>
      <c r="F165" s="8">
        <v>9.1816366016381998</v>
      </c>
      <c r="G165" s="8">
        <v>11.6592418857547</v>
      </c>
      <c r="H165" s="8">
        <v>8.8073311110605594</v>
      </c>
      <c r="I165" s="8" t="s">
        <v>44</v>
      </c>
      <c r="J165" s="8">
        <v>7.1030674633380801</v>
      </c>
      <c r="K165" s="8">
        <v>33.417245487812501</v>
      </c>
      <c r="L165" s="8">
        <v>1.70318212746617</v>
      </c>
      <c r="M165" s="8">
        <v>8.0877337459926508</v>
      </c>
      <c r="N165" s="8">
        <v>10.3673423600475</v>
      </c>
      <c r="O165" s="8">
        <v>12.8797473375417</v>
      </c>
      <c r="P165" s="8">
        <v>9.4223319847838205</v>
      </c>
      <c r="Q165" s="8">
        <v>6.33503883394103</v>
      </c>
      <c r="R165" s="8">
        <v>13.180968071168699</v>
      </c>
      <c r="S165" s="8">
        <v>7.3752444879630197</v>
      </c>
      <c r="T165" s="8">
        <v>9.6531955256400703</v>
      </c>
      <c r="U165" s="8">
        <v>11.259901351425301</v>
      </c>
      <c r="V165" s="8" t="s">
        <v>44</v>
      </c>
    </row>
    <row r="166" spans="1:22" x14ac:dyDescent="0.2">
      <c r="A166" s="8">
        <v>38</v>
      </c>
      <c r="B166" s="8">
        <f t="shared" si="70"/>
        <v>4.44156144523172</v>
      </c>
      <c r="C166" s="8">
        <v>1.05721606987969</v>
      </c>
      <c r="D166" s="8">
        <v>4.52113514661416</v>
      </c>
      <c r="E166" s="8" t="s">
        <v>44</v>
      </c>
      <c r="F166" s="8">
        <v>0.84352586390801099</v>
      </c>
      <c r="G166" s="8">
        <v>6.2187054497075502</v>
      </c>
      <c r="H166" s="8">
        <v>6.7127477228643198</v>
      </c>
      <c r="I166" s="8">
        <v>4.4767974449388799</v>
      </c>
      <c r="J166" s="8">
        <v>4.2613076321021897</v>
      </c>
      <c r="K166" s="8">
        <v>1.3067937944617301</v>
      </c>
      <c r="L166" s="8">
        <v>2.3029109672286499</v>
      </c>
      <c r="M166" s="8">
        <v>6.9804113413164197</v>
      </c>
      <c r="N166" s="8">
        <v>6.0828748951765803</v>
      </c>
      <c r="O166" s="8">
        <v>1.7849394211388401</v>
      </c>
      <c r="P166" s="8">
        <v>4.2626284981646796</v>
      </c>
      <c r="Q166" s="8">
        <v>2.59104339012032</v>
      </c>
      <c r="R166" s="8">
        <v>8.4388902350359203</v>
      </c>
      <c r="S166" s="8">
        <v>6.4802840806377304</v>
      </c>
      <c r="T166" s="8">
        <v>2.58052236963908</v>
      </c>
      <c r="U166" s="8">
        <v>3.79300863864911</v>
      </c>
      <c r="V166" s="8">
        <v>9.6939244978188093</v>
      </c>
    </row>
    <row r="167" spans="1:22" x14ac:dyDescent="0.2">
      <c r="A167" s="8">
        <v>39</v>
      </c>
      <c r="B167" s="8">
        <f t="shared" si="70"/>
        <v>5.5135025668431634</v>
      </c>
      <c r="C167" s="8">
        <v>5.2173513738471504</v>
      </c>
      <c r="D167" s="8">
        <v>2.0647246653622</v>
      </c>
      <c r="E167" s="8">
        <v>9.6993301047431402</v>
      </c>
      <c r="F167" s="8">
        <v>9.3621282858968193</v>
      </c>
      <c r="G167" s="8">
        <v>3.1815017439631599</v>
      </c>
      <c r="H167" s="8">
        <v>2.80355635783895</v>
      </c>
      <c r="I167" s="8" t="s">
        <v>44</v>
      </c>
      <c r="J167" s="8">
        <v>3.5307983563532201</v>
      </c>
      <c r="K167" s="8">
        <v>16.471912141624301</v>
      </c>
      <c r="L167" s="8">
        <v>2.5875975364166699</v>
      </c>
      <c r="M167" s="8">
        <v>4.1561062056234901</v>
      </c>
      <c r="N167" s="8">
        <v>5.41913421961039</v>
      </c>
      <c r="O167" s="8">
        <v>3.3362460198350998</v>
      </c>
      <c r="P167" s="8">
        <v>5.8096537046620798</v>
      </c>
      <c r="Q167" s="8">
        <v>6.6833493523930203</v>
      </c>
      <c r="R167" s="8">
        <v>11.929886272232199</v>
      </c>
      <c r="S167" s="8">
        <v>4.7321240258860202</v>
      </c>
      <c r="T167" s="8">
        <v>5.19291686598614</v>
      </c>
      <c r="U167" s="8">
        <v>1.6224696166774499</v>
      </c>
      <c r="V167" s="8">
        <v>0.95576192106859603</v>
      </c>
    </row>
    <row r="168" spans="1:22" x14ac:dyDescent="0.2">
      <c r="A168" s="8">
        <v>40</v>
      </c>
      <c r="B168" s="8">
        <f t="shared" si="70"/>
        <v>9.1599387181692791</v>
      </c>
      <c r="C168" s="8">
        <v>10.829995730362601</v>
      </c>
      <c r="D168" s="8">
        <v>7.0131531254168999</v>
      </c>
      <c r="E168" s="8">
        <v>9.3001040532236896</v>
      </c>
      <c r="F168" s="8">
        <v>14.761445761978001</v>
      </c>
      <c r="G168" s="8">
        <v>6.5873743966004703</v>
      </c>
      <c r="H168" s="8" t="s">
        <v>44</v>
      </c>
      <c r="I168" s="8">
        <v>5.5021687428912198</v>
      </c>
      <c r="J168" s="8">
        <v>6.5429436897784399</v>
      </c>
      <c r="K168" s="8">
        <v>38.520179561486302</v>
      </c>
      <c r="L168" s="8">
        <v>13.249083275978901</v>
      </c>
      <c r="M168" s="8">
        <v>8.5480842203637692</v>
      </c>
      <c r="N168" s="8">
        <v>6.2364491231505301</v>
      </c>
      <c r="O168" s="8">
        <v>5.0777072068454299</v>
      </c>
      <c r="P168" s="8">
        <v>2.0862972620261102</v>
      </c>
      <c r="Q168" s="8">
        <v>5.6393657340311902</v>
      </c>
      <c r="R168" s="8" t="s">
        <v>44</v>
      </c>
      <c r="S168" s="8">
        <v>1.7431652043950101</v>
      </c>
      <c r="T168" s="8">
        <v>3.8379035865409601</v>
      </c>
      <c r="U168" s="8">
        <v>4.6890735240801904</v>
      </c>
      <c r="V168" s="8">
        <v>14.7144027278973</v>
      </c>
    </row>
    <row r="169" spans="1:22" x14ac:dyDescent="0.2">
      <c r="A169" s="8">
        <v>41</v>
      </c>
      <c r="B169" s="8">
        <f t="shared" si="70"/>
        <v>7.0248435569312413</v>
      </c>
      <c r="C169" s="8" t="s">
        <v>44</v>
      </c>
      <c r="D169" s="8">
        <v>4.9737295465268003</v>
      </c>
      <c r="E169" s="8">
        <v>3.7862058028602399</v>
      </c>
      <c r="F169" s="8">
        <v>7.1267169688646304</v>
      </c>
      <c r="G169" s="8">
        <v>3.87305784324725</v>
      </c>
      <c r="H169" s="8">
        <v>9.3401893092757398</v>
      </c>
      <c r="I169" s="8">
        <v>3.9014323790946199</v>
      </c>
      <c r="J169" s="8" t="s">
        <v>44</v>
      </c>
      <c r="K169" s="8">
        <v>3.08495453975691</v>
      </c>
      <c r="L169" s="8">
        <v>3.7896925366214602</v>
      </c>
      <c r="M169" s="8">
        <v>10.804781863387101</v>
      </c>
      <c r="N169" s="8">
        <v>6.1476052709672402</v>
      </c>
      <c r="O169" s="8">
        <v>3.3176294078659101</v>
      </c>
      <c r="P169" s="8">
        <v>9.9424060118012498</v>
      </c>
      <c r="Q169" s="8">
        <v>10.304234242907601</v>
      </c>
      <c r="R169" s="8">
        <v>9.6706876168355507</v>
      </c>
      <c r="S169" s="8">
        <v>10.519122961856</v>
      </c>
      <c r="T169" s="8">
        <v>6.8991234241980699</v>
      </c>
      <c r="U169" s="8">
        <v>11.460577754422101</v>
      </c>
      <c r="V169" s="8">
        <v>7.5050365442738904</v>
      </c>
    </row>
    <row r="170" spans="1:22" x14ac:dyDescent="0.2">
      <c r="A170" s="8">
        <v>42</v>
      </c>
      <c r="B170" s="8">
        <f t="shared" si="70"/>
        <v>7.3636965134176267</v>
      </c>
      <c r="C170" s="8" t="s">
        <v>44</v>
      </c>
      <c r="D170" s="8">
        <v>16.722407894038401</v>
      </c>
      <c r="E170" s="8">
        <v>5.4474283559769603</v>
      </c>
      <c r="F170" s="8">
        <v>5.2013590652245503</v>
      </c>
      <c r="G170" s="8">
        <v>2.5749610371745599</v>
      </c>
      <c r="H170" s="8">
        <v>3.2451814445862599</v>
      </c>
      <c r="I170" s="8">
        <v>7.4314261023341297</v>
      </c>
      <c r="J170" s="8">
        <v>11.7264595481937</v>
      </c>
      <c r="K170" s="8" t="s">
        <v>44</v>
      </c>
      <c r="L170" s="8">
        <v>5.06145651673949</v>
      </c>
      <c r="M170" s="8">
        <v>17.0133559791268</v>
      </c>
      <c r="N170" s="8">
        <v>8.5534237571116591</v>
      </c>
      <c r="O170" s="8">
        <v>3.8634325266825198</v>
      </c>
      <c r="P170" s="8">
        <v>3.9296410746250099</v>
      </c>
      <c r="Q170" s="8">
        <v>14.8799729418722</v>
      </c>
      <c r="R170" s="8">
        <v>10.016941520808601</v>
      </c>
      <c r="S170" s="8">
        <v>4.0139371072246401</v>
      </c>
      <c r="T170" s="8">
        <v>5.2283255358112699</v>
      </c>
      <c r="U170" s="8">
        <v>3.9579618958451999</v>
      </c>
      <c r="V170" s="8">
        <v>3.6788649381413498</v>
      </c>
    </row>
    <row r="171" spans="1:22" x14ac:dyDescent="0.2">
      <c r="A171" s="8">
        <v>43</v>
      </c>
      <c r="B171" s="8">
        <f t="shared" si="70"/>
        <v>9.1508678577212095</v>
      </c>
      <c r="C171" s="8" t="s">
        <v>44</v>
      </c>
      <c r="D171" s="8" t="s">
        <v>44</v>
      </c>
      <c r="E171" s="8">
        <v>9.7206824511373799</v>
      </c>
      <c r="F171" s="8">
        <v>7.96491455400513</v>
      </c>
      <c r="G171" s="8">
        <v>4.8258983544874399</v>
      </c>
      <c r="H171" s="8" t="s">
        <v>44</v>
      </c>
      <c r="I171" s="8" t="s">
        <v>44</v>
      </c>
      <c r="J171" s="8">
        <v>12.188192747922599</v>
      </c>
      <c r="K171" s="8">
        <v>10.527409415058999</v>
      </c>
      <c r="L171" s="8">
        <v>11.523715123001899</v>
      </c>
      <c r="M171" s="8" t="s">
        <v>44</v>
      </c>
      <c r="N171" s="8">
        <v>11.5408796137454</v>
      </c>
      <c r="O171" s="8" t="s">
        <v>44</v>
      </c>
      <c r="P171" s="8" t="s">
        <v>44</v>
      </c>
      <c r="Q171" s="8">
        <v>11.5632389474044</v>
      </c>
      <c r="R171" s="8">
        <v>6.96201646267059</v>
      </c>
      <c r="S171" s="8">
        <v>13.781168133231899</v>
      </c>
      <c r="T171" s="8">
        <v>8.8205212368008805</v>
      </c>
      <c r="U171" s="8">
        <v>0.29507336009701202</v>
      </c>
      <c r="V171" s="8">
        <v>9.2475717508120994</v>
      </c>
    </row>
    <row r="172" spans="1:22" x14ac:dyDescent="0.2">
      <c r="A172" s="8">
        <v>44</v>
      </c>
      <c r="B172" s="8">
        <f t="shared" si="70"/>
        <v>9.6661314381639603</v>
      </c>
      <c r="C172" s="8">
        <v>0.86947368670006497</v>
      </c>
      <c r="D172" s="8">
        <v>5.9007154371443997</v>
      </c>
      <c r="E172" s="8">
        <v>11.201538531531799</v>
      </c>
      <c r="F172" s="8">
        <v>12.4853594140999</v>
      </c>
      <c r="G172" s="8">
        <v>6.4522900244171</v>
      </c>
      <c r="H172" s="8">
        <v>11.150701099319001</v>
      </c>
      <c r="I172" s="8">
        <v>7.4948172177719101</v>
      </c>
      <c r="J172" s="8">
        <v>14.332406747814799</v>
      </c>
      <c r="K172" s="8" t="s">
        <v>44</v>
      </c>
      <c r="L172" s="8">
        <v>18.299480547404901</v>
      </c>
      <c r="M172" s="8">
        <v>3.3174988317965899</v>
      </c>
      <c r="N172" s="8">
        <v>8.8833923007387305</v>
      </c>
      <c r="O172" s="8">
        <v>11.062202315369801</v>
      </c>
      <c r="P172" s="8">
        <v>20.405373862517202</v>
      </c>
      <c r="Q172" s="8">
        <v>16.581503100140299</v>
      </c>
      <c r="R172" s="8">
        <v>3.8768551011688399</v>
      </c>
      <c r="S172" s="8">
        <v>2.9728154366580699</v>
      </c>
      <c r="T172" s="8">
        <v>16.859795723802598</v>
      </c>
      <c r="U172" s="8">
        <v>5.6260759750869003</v>
      </c>
      <c r="V172" s="8">
        <v>5.8842019716323497</v>
      </c>
    </row>
    <row r="173" spans="1:22" x14ac:dyDescent="0.2">
      <c r="A173" s="8">
        <v>45</v>
      </c>
      <c r="B173" s="8">
        <f t="shared" si="70"/>
        <v>6.5123708095213546</v>
      </c>
      <c r="C173" s="8" t="s">
        <v>44</v>
      </c>
      <c r="D173" s="8">
        <v>8.1728061096506295</v>
      </c>
      <c r="E173" s="8">
        <v>9.9753831595073308</v>
      </c>
      <c r="F173" s="8">
        <v>3.4230918487966502</v>
      </c>
      <c r="G173" s="8">
        <v>7.4674405973570801</v>
      </c>
      <c r="H173" s="8">
        <v>6.6460623706207897</v>
      </c>
      <c r="I173" s="8">
        <v>4.6382888663781996</v>
      </c>
      <c r="J173" s="8">
        <v>11.1739851231256</v>
      </c>
      <c r="K173" s="8">
        <v>2.4016176135852199</v>
      </c>
      <c r="L173" s="8">
        <v>3.7083745971201099</v>
      </c>
      <c r="M173" s="8">
        <v>12.967117954897899</v>
      </c>
      <c r="N173" s="8">
        <v>6.7002231059349304</v>
      </c>
      <c r="O173" s="8">
        <v>2.6517092954639501</v>
      </c>
      <c r="P173" s="8">
        <v>7.6850718117261296</v>
      </c>
      <c r="Q173" s="8">
        <v>2.7682192890806001</v>
      </c>
      <c r="R173" s="8">
        <v>13.3210258128201</v>
      </c>
      <c r="S173" s="8">
        <v>8.1669710155427904</v>
      </c>
      <c r="T173" s="8">
        <v>3.0586523230014802</v>
      </c>
      <c r="U173" s="8">
        <v>3.1714762742315901</v>
      </c>
      <c r="V173" s="8">
        <v>5.6375282120646597</v>
      </c>
    </row>
    <row r="174" spans="1:22" s="18" customFormat="1" x14ac:dyDescent="0.2">
      <c r="B174" s="18" t="s">
        <v>55</v>
      </c>
      <c r="C174" s="18">
        <f>AVERAGE(C129:C173)</f>
        <v>7.593638416983465</v>
      </c>
      <c r="D174" s="18">
        <f t="shared" ref="D174:V174" si="71">AVERAGE(D129:D173)</f>
        <v>7.2739498010450561</v>
      </c>
      <c r="E174" s="18">
        <f t="shared" si="71"/>
        <v>6.3265618797021466</v>
      </c>
      <c r="F174" s="18">
        <f t="shared" si="71"/>
        <v>8.0601652508726076</v>
      </c>
      <c r="G174" s="18">
        <f t="shared" si="71"/>
        <v>7.6530427251829325</v>
      </c>
      <c r="H174" s="18">
        <f t="shared" si="71"/>
        <v>8.6224080484375207</v>
      </c>
      <c r="I174" s="18">
        <f t="shared" si="71"/>
        <v>6.8750030248596046</v>
      </c>
      <c r="J174" s="18">
        <f t="shared" si="71"/>
        <v>7.7008149049065588</v>
      </c>
      <c r="K174" s="18">
        <f t="shared" si="71"/>
        <v>16.751587986109865</v>
      </c>
      <c r="L174" s="18">
        <f t="shared" si="71"/>
        <v>6.9625528828346104</v>
      </c>
      <c r="M174" s="18">
        <f t="shared" si="71"/>
        <v>6.9902758601789561</v>
      </c>
      <c r="N174" s="18">
        <f t="shared" si="71"/>
        <v>7.6964562556962521</v>
      </c>
      <c r="O174" s="18">
        <f t="shared" si="71"/>
        <v>6.3157715411165993</v>
      </c>
      <c r="P174" s="18">
        <f t="shared" si="71"/>
        <v>7.5569490932862236</v>
      </c>
      <c r="Q174" s="18">
        <f t="shared" si="71"/>
        <v>7.6566564188597015</v>
      </c>
      <c r="R174" s="18">
        <f t="shared" si="71"/>
        <v>9.9855728062858944</v>
      </c>
      <c r="S174" s="18">
        <f t="shared" si="71"/>
        <v>6.4874809383461089</v>
      </c>
      <c r="T174" s="18">
        <f t="shared" si="71"/>
        <v>6.7364179957085986</v>
      </c>
      <c r="U174" s="18">
        <f t="shared" si="71"/>
        <v>6.7831708049567627</v>
      </c>
      <c r="V174" s="18">
        <f t="shared" si="71"/>
        <v>7.4489849394717398</v>
      </c>
    </row>
    <row r="175" spans="1:22" x14ac:dyDescent="0.2">
      <c r="C175" s="8">
        <v>7.593638416983465</v>
      </c>
      <c r="D175" s="8">
        <v>7.2739498010450561</v>
      </c>
      <c r="E175" s="8">
        <v>6.3265618797021466</v>
      </c>
      <c r="F175" s="8">
        <v>8.0601652508726076</v>
      </c>
      <c r="G175" s="8">
        <v>7.6530427251829325</v>
      </c>
      <c r="H175" s="8">
        <v>8.6224080484375207</v>
      </c>
      <c r="I175" s="8">
        <v>6.8750030248596046</v>
      </c>
      <c r="J175" s="8">
        <v>7.7008149049065588</v>
      </c>
      <c r="K175" s="8">
        <v>16.751587986109865</v>
      </c>
      <c r="L175" s="8">
        <v>6.9625528828346104</v>
      </c>
      <c r="M175" s="8">
        <v>6.9902758601789561</v>
      </c>
      <c r="N175" s="8">
        <v>7.6964562556962521</v>
      </c>
      <c r="O175" s="8">
        <v>6.3157715411165993</v>
      </c>
      <c r="P175" s="8">
        <v>7.5569490932862236</v>
      </c>
      <c r="Q175" s="8">
        <v>7.6566564188597015</v>
      </c>
      <c r="R175" s="8">
        <v>9.9855728062858944</v>
      </c>
      <c r="S175" s="8">
        <v>6.4874809383461089</v>
      </c>
      <c r="T175" s="8">
        <v>6.7364179957085986</v>
      </c>
      <c r="U175" s="8">
        <v>6.7831708049567627</v>
      </c>
      <c r="V175" s="8">
        <v>7.4489849394717398</v>
      </c>
    </row>
    <row r="177" spans="1:22" ht="25.5" x14ac:dyDescent="0.2">
      <c r="A177" s="8" t="s">
        <v>46</v>
      </c>
      <c r="B177" s="8" t="s">
        <v>91</v>
      </c>
      <c r="C177" s="1" t="s">
        <v>1</v>
      </c>
      <c r="D177" s="6" t="s">
        <v>3</v>
      </c>
      <c r="E177" s="6" t="s">
        <v>5</v>
      </c>
      <c r="F177" s="5" t="s">
        <v>7</v>
      </c>
      <c r="G177" s="3" t="s">
        <v>9</v>
      </c>
      <c r="H177" s="2" t="s">
        <v>11</v>
      </c>
      <c r="I177" s="1" t="s">
        <v>13</v>
      </c>
      <c r="J177" s="5" t="s">
        <v>15</v>
      </c>
      <c r="K177" s="4" t="s">
        <v>17</v>
      </c>
      <c r="L177" s="4" t="s">
        <v>19</v>
      </c>
      <c r="M177" s="7" t="s">
        <v>21</v>
      </c>
      <c r="N177" s="3" t="s">
        <v>23</v>
      </c>
      <c r="O177" s="4" t="s">
        <v>25</v>
      </c>
      <c r="P177" s="2" t="s">
        <v>27</v>
      </c>
      <c r="Q177" s="2" t="s">
        <v>29</v>
      </c>
      <c r="R177" s="6" t="s">
        <v>31</v>
      </c>
      <c r="S177" s="3" t="s">
        <v>33</v>
      </c>
      <c r="T177" s="6" t="s">
        <v>35</v>
      </c>
      <c r="U177" s="4" t="s">
        <v>37</v>
      </c>
      <c r="V177" s="2" t="s">
        <v>39</v>
      </c>
    </row>
    <row r="178" spans="1:22" x14ac:dyDescent="0.2">
      <c r="A178" s="8">
        <v>1</v>
      </c>
      <c r="B178" s="8">
        <f>AVERAGE(C178:V178)</f>
        <v>5.6946388558669572</v>
      </c>
      <c r="C178" s="8" t="s">
        <v>44</v>
      </c>
      <c r="D178" s="8">
        <v>5.7483693680010601</v>
      </c>
      <c r="E178" s="8">
        <v>2.6724895459591398</v>
      </c>
      <c r="F178" s="8">
        <v>4.6694794975608396</v>
      </c>
      <c r="G178" s="8">
        <v>2.2805645879813099</v>
      </c>
      <c r="H178" s="8">
        <v>14.752143530155699</v>
      </c>
      <c r="I178" s="8">
        <v>6.8259927922647403</v>
      </c>
      <c r="J178" s="8">
        <v>2.72462996541686</v>
      </c>
      <c r="K178" s="8" t="s">
        <v>44</v>
      </c>
      <c r="L178" s="8">
        <v>4.1282144241719401</v>
      </c>
      <c r="M178" s="8">
        <v>8.3515195893425105</v>
      </c>
      <c r="N178" s="8">
        <v>10.2655123446586</v>
      </c>
      <c r="O178" s="8">
        <v>1.18885150628897</v>
      </c>
      <c r="P178" s="8">
        <v>17.444784563787</v>
      </c>
      <c r="Q178" s="8" t="s">
        <v>44</v>
      </c>
      <c r="R178" s="8">
        <v>4.6454519501464402</v>
      </c>
      <c r="S178" s="8">
        <v>3.6131522993818699</v>
      </c>
      <c r="T178" s="8">
        <v>4.4193207048581398</v>
      </c>
      <c r="U178" s="8">
        <v>2.4310909594379102</v>
      </c>
      <c r="V178" s="8">
        <v>0.64729292032525798</v>
      </c>
    </row>
    <row r="179" spans="1:22" x14ac:dyDescent="0.2">
      <c r="A179" s="8">
        <v>2</v>
      </c>
      <c r="B179" s="8">
        <f t="shared" ref="B179:B222" si="72">AVERAGE(C179:V179)</f>
        <v>12.164572683516889</v>
      </c>
      <c r="C179" s="8" t="s">
        <v>44</v>
      </c>
      <c r="D179" s="8" t="s">
        <v>44</v>
      </c>
      <c r="E179" s="8" t="s">
        <v>44</v>
      </c>
      <c r="F179" s="8">
        <v>12.1523008853496</v>
      </c>
      <c r="G179" s="8" t="s">
        <v>44</v>
      </c>
      <c r="H179" s="8">
        <v>15.7813774322338</v>
      </c>
      <c r="I179" s="8">
        <v>6.1271962972228096</v>
      </c>
      <c r="J179" s="8">
        <v>8.2084252702264102</v>
      </c>
      <c r="K179" s="8">
        <v>55.581895142520302</v>
      </c>
      <c r="L179" s="8">
        <v>5.0862643667822001</v>
      </c>
      <c r="M179" s="8" t="s">
        <v>44</v>
      </c>
      <c r="N179" s="8">
        <v>19.495680693272799</v>
      </c>
      <c r="O179" s="8">
        <v>1.8659288964613601</v>
      </c>
      <c r="P179" s="8">
        <v>5.1656270147422703</v>
      </c>
      <c r="Q179" s="8">
        <v>2.3052920015604599</v>
      </c>
      <c r="R179" s="8">
        <v>28.643322043942302</v>
      </c>
      <c r="S179" s="8">
        <v>4.1923164032173004</v>
      </c>
      <c r="T179" s="8">
        <v>5.3163437246641703</v>
      </c>
      <c r="U179" s="8">
        <v>2.8811923751823998</v>
      </c>
      <c r="V179" s="8">
        <v>9.6654277053751105</v>
      </c>
    </row>
    <row r="180" spans="1:22" x14ac:dyDescent="0.2">
      <c r="A180" s="8">
        <v>3</v>
      </c>
      <c r="B180" s="8">
        <f t="shared" si="72"/>
        <v>11.031666350032825</v>
      </c>
      <c r="C180" s="8">
        <v>11.471921147324201</v>
      </c>
      <c r="D180" s="8">
        <v>6.3077657383514296</v>
      </c>
      <c r="E180" s="8">
        <v>5.7256793976883902</v>
      </c>
      <c r="F180" s="8">
        <v>2.7036413240750301</v>
      </c>
      <c r="G180" s="8">
        <v>8.6897597176661794</v>
      </c>
      <c r="H180" s="8">
        <v>5.7248389888935103</v>
      </c>
      <c r="I180" s="8">
        <v>22.642777706293099</v>
      </c>
      <c r="J180" s="8">
        <v>4.41276785142405</v>
      </c>
      <c r="K180" s="8">
        <v>37.937671695759903</v>
      </c>
      <c r="L180" s="8">
        <v>10.395193553918499</v>
      </c>
      <c r="M180" s="8">
        <v>15.8337832984899</v>
      </c>
      <c r="N180" s="8">
        <v>5.7212872976403304</v>
      </c>
      <c r="O180" s="8">
        <v>20.514078994497801</v>
      </c>
      <c r="P180" s="8">
        <v>2.1495109054649402</v>
      </c>
      <c r="Q180" s="8">
        <v>5.8777707479219297</v>
      </c>
      <c r="R180" s="8">
        <v>10.8015503712077</v>
      </c>
      <c r="S180" s="8">
        <v>5.4878541274385704</v>
      </c>
      <c r="T180" s="8">
        <v>4.6034700304582099</v>
      </c>
      <c r="U180" s="8">
        <v>29.062469882770699</v>
      </c>
      <c r="V180" s="8">
        <v>4.5695342233721101</v>
      </c>
    </row>
    <row r="181" spans="1:22" x14ac:dyDescent="0.2">
      <c r="A181" s="209">
        <v>4</v>
      </c>
    </row>
    <row r="182" spans="1:22" x14ac:dyDescent="0.2">
      <c r="A182" s="8">
        <v>5</v>
      </c>
      <c r="B182" s="8">
        <f t="shared" si="72"/>
        <v>10.677321851916327</v>
      </c>
      <c r="C182" s="8">
        <v>4.5336838737432004</v>
      </c>
      <c r="D182" s="8">
        <v>15.9201445123912</v>
      </c>
      <c r="E182" s="8" t="s">
        <v>44</v>
      </c>
      <c r="F182" s="8">
        <v>14.6074227359715</v>
      </c>
      <c r="G182" s="8">
        <v>13.3655780775164</v>
      </c>
      <c r="H182" s="8">
        <v>11.085723834332899</v>
      </c>
      <c r="I182" s="8">
        <v>18.056679166138601</v>
      </c>
      <c r="J182" s="8">
        <v>6.3351275377950103</v>
      </c>
      <c r="K182" s="8" t="s">
        <v>44</v>
      </c>
      <c r="L182" s="8" t="s">
        <v>44</v>
      </c>
      <c r="M182" s="8" t="s">
        <v>44</v>
      </c>
      <c r="N182" s="8">
        <v>7.3717926829896498</v>
      </c>
      <c r="O182" s="8">
        <v>8.06859453935453</v>
      </c>
      <c r="P182" s="8">
        <v>4.3159572423612698</v>
      </c>
      <c r="Q182" s="8">
        <v>13.4149115272579</v>
      </c>
      <c r="R182" s="8">
        <v>4.48553550284237</v>
      </c>
      <c r="S182" s="8">
        <v>12.0563097677994</v>
      </c>
      <c r="T182" s="8" t="s">
        <v>44</v>
      </c>
      <c r="U182" s="8">
        <v>6.8979169573524599</v>
      </c>
      <c r="V182" s="8">
        <v>19.644449820898501</v>
      </c>
    </row>
    <row r="183" spans="1:22" x14ac:dyDescent="0.2">
      <c r="A183" s="8">
        <v>6</v>
      </c>
      <c r="B183" s="8">
        <f t="shared" si="72"/>
        <v>7.9337678539518448</v>
      </c>
      <c r="C183" s="8" t="s">
        <v>44</v>
      </c>
      <c r="D183" s="8">
        <v>8.7492120452895605</v>
      </c>
      <c r="E183" s="8">
        <v>5.3143480569910402</v>
      </c>
      <c r="F183" s="8">
        <v>8.6344243980370603</v>
      </c>
      <c r="G183" s="8">
        <v>4.8146110820851797</v>
      </c>
      <c r="H183" s="8">
        <v>6.9866176598090304</v>
      </c>
      <c r="I183" s="8">
        <v>10.0373863318478</v>
      </c>
      <c r="J183" s="8">
        <v>4.37924771384158</v>
      </c>
      <c r="K183" s="8">
        <v>3.0441137081152898</v>
      </c>
      <c r="L183" s="8">
        <v>4.0971546388185898</v>
      </c>
      <c r="M183" s="8" t="s">
        <v>44</v>
      </c>
      <c r="N183" s="8">
        <v>7.1909005730004498</v>
      </c>
      <c r="O183" s="8">
        <v>12.066284959705101</v>
      </c>
      <c r="P183" s="8">
        <v>3.4195983744929399</v>
      </c>
      <c r="Q183" s="8">
        <v>1.78112137845245</v>
      </c>
      <c r="R183" s="8">
        <v>8.0640511177934595</v>
      </c>
      <c r="S183" s="8">
        <v>15.1454871462531</v>
      </c>
      <c r="T183" s="8">
        <v>4.5521693842118101</v>
      </c>
      <c r="U183" s="8">
        <v>15.3686302688343</v>
      </c>
      <c r="V183" s="8">
        <v>19.1624625335545</v>
      </c>
    </row>
    <row r="184" spans="1:22" x14ac:dyDescent="0.2">
      <c r="A184" s="8">
        <v>7</v>
      </c>
      <c r="B184" s="8">
        <f t="shared" si="72"/>
        <v>7.4571861121234138</v>
      </c>
      <c r="C184" s="8">
        <v>7.8067677762740804</v>
      </c>
      <c r="D184" s="8">
        <v>8.3611270149976296</v>
      </c>
      <c r="E184" s="8">
        <v>1.0640395007150001</v>
      </c>
      <c r="F184" s="8">
        <v>8.6091107286035395</v>
      </c>
      <c r="G184" s="8">
        <v>5.9983925452570004</v>
      </c>
      <c r="H184" s="8">
        <v>4.1873637158576802</v>
      </c>
      <c r="I184" s="8">
        <v>2.1357915920170001</v>
      </c>
      <c r="J184" s="8">
        <v>9.5077852373986804</v>
      </c>
      <c r="K184" s="8">
        <v>1.85984729944125</v>
      </c>
      <c r="L184" s="8">
        <v>11.6069756964558</v>
      </c>
      <c r="M184" s="8">
        <v>3.57766017794938</v>
      </c>
      <c r="N184" s="8">
        <v>6.0668038714636303</v>
      </c>
      <c r="O184" s="8">
        <v>6.3354954397553698</v>
      </c>
      <c r="P184" s="8">
        <v>12.095574532952099</v>
      </c>
      <c r="Q184" s="8">
        <v>3.9455591092690598</v>
      </c>
      <c r="R184" s="8">
        <v>14.511518009488301</v>
      </c>
      <c r="S184" s="8">
        <v>1.7916306488201199</v>
      </c>
      <c r="T184" s="8">
        <v>7.3432058598394496</v>
      </c>
      <c r="U184" s="8">
        <v>17.643180934694001</v>
      </c>
      <c r="V184" s="8">
        <v>14.695892551219201</v>
      </c>
    </row>
    <row r="185" spans="1:22" x14ac:dyDescent="0.2">
      <c r="A185" s="8">
        <v>8</v>
      </c>
      <c r="B185" s="8">
        <f t="shared" si="72"/>
        <v>8.503807091198281</v>
      </c>
      <c r="C185" s="8">
        <v>7.0052834695591502</v>
      </c>
      <c r="D185" s="8">
        <v>10.8457836657599</v>
      </c>
      <c r="E185" s="8">
        <v>2.4829387118039898</v>
      </c>
      <c r="F185" s="8">
        <v>10.408927669110099</v>
      </c>
      <c r="G185" s="8">
        <v>1.74260248209151</v>
      </c>
      <c r="H185" s="8">
        <v>6.6741195265766704</v>
      </c>
      <c r="I185" s="8">
        <v>6.28689885388353</v>
      </c>
      <c r="J185" s="8">
        <v>8.5505673858463194</v>
      </c>
      <c r="K185" s="8">
        <v>14.341898173154201</v>
      </c>
      <c r="L185" s="8">
        <v>24.824366633683098</v>
      </c>
      <c r="M185" s="8">
        <v>6.8168899243571497</v>
      </c>
      <c r="N185" s="8">
        <v>6.5347453997871998</v>
      </c>
      <c r="O185" s="8" t="s">
        <v>44</v>
      </c>
      <c r="P185" s="8">
        <v>16.621621965106701</v>
      </c>
      <c r="Q185" s="8">
        <v>8.1524518915835493</v>
      </c>
      <c r="R185" s="8">
        <v>12.439754729312</v>
      </c>
      <c r="S185" s="8">
        <v>4.3655895976568999</v>
      </c>
      <c r="T185" s="8">
        <v>3.7436615961485802</v>
      </c>
      <c r="U185" s="8">
        <v>7.0948389185918996</v>
      </c>
      <c r="V185" s="8">
        <v>2.6393941387548798</v>
      </c>
    </row>
    <row r="186" spans="1:22" x14ac:dyDescent="0.2">
      <c r="A186" s="8">
        <v>9</v>
      </c>
      <c r="B186" s="8">
        <f t="shared" si="72"/>
        <v>11.514603450245792</v>
      </c>
      <c r="C186" s="8" t="s">
        <v>44</v>
      </c>
      <c r="D186" s="8">
        <v>6.4274182768312604</v>
      </c>
      <c r="E186" s="8" t="s">
        <v>44</v>
      </c>
      <c r="F186" s="8">
        <v>11.6537066689309</v>
      </c>
      <c r="G186" s="8" t="s">
        <v>44</v>
      </c>
      <c r="H186" s="8">
        <v>11.1196898904706</v>
      </c>
      <c r="I186" s="8">
        <v>9.9976169931067904</v>
      </c>
      <c r="J186" s="8">
        <v>22.383131064453</v>
      </c>
      <c r="K186" s="8">
        <v>16.581867768921501</v>
      </c>
      <c r="L186" s="8" t="s">
        <v>44</v>
      </c>
      <c r="M186" s="8" t="s">
        <v>44</v>
      </c>
      <c r="N186" s="8">
        <v>10.1879235759925</v>
      </c>
      <c r="O186" s="8">
        <v>7.0978877620379297</v>
      </c>
      <c r="P186" s="8" t="s">
        <v>44</v>
      </c>
      <c r="Q186" s="8" t="s">
        <v>44</v>
      </c>
      <c r="R186" s="8" t="s">
        <v>44</v>
      </c>
      <c r="S186" s="8">
        <v>8.1821890514676507</v>
      </c>
      <c r="T186" s="8" t="s">
        <v>44</v>
      </c>
      <c r="U186" s="8" t="s">
        <v>44</v>
      </c>
      <c r="V186" s="8" t="s">
        <v>44</v>
      </c>
    </row>
    <row r="187" spans="1:22" x14ac:dyDescent="0.2">
      <c r="A187" s="8">
        <v>10</v>
      </c>
      <c r="B187" s="8">
        <f t="shared" si="72"/>
        <v>6.7756046773114447</v>
      </c>
      <c r="C187" s="8" t="s">
        <v>44</v>
      </c>
      <c r="D187" s="8">
        <v>3.97273036310302</v>
      </c>
      <c r="E187" s="8">
        <v>4.8181108672768804</v>
      </c>
      <c r="F187" s="8">
        <v>5.2933449221136604</v>
      </c>
      <c r="G187" s="8">
        <v>10.3233008757111</v>
      </c>
      <c r="H187" s="8" t="s">
        <v>44</v>
      </c>
      <c r="I187" s="8">
        <v>8.0833997411533307</v>
      </c>
      <c r="J187" s="8">
        <v>4.3326499871766497</v>
      </c>
      <c r="K187" s="8">
        <v>6.86044816735689</v>
      </c>
      <c r="L187" s="8">
        <v>3.1837686457769299</v>
      </c>
      <c r="M187" s="8">
        <v>7.6488177849265098</v>
      </c>
      <c r="N187" s="8">
        <v>12.5734014608158</v>
      </c>
      <c r="O187" s="8">
        <v>0.19383499537247401</v>
      </c>
      <c r="P187" s="8" t="s">
        <v>44</v>
      </c>
      <c r="Q187" s="8">
        <v>12.6697442412635</v>
      </c>
      <c r="R187" s="8">
        <v>9.2106688667016403</v>
      </c>
      <c r="S187" s="8">
        <v>6.84962009846297</v>
      </c>
      <c r="T187" s="8">
        <v>10.013978910222701</v>
      </c>
      <c r="U187" s="8">
        <v>3.6575738549030801</v>
      </c>
      <c r="V187" s="8">
        <v>5.4998857319574403</v>
      </c>
    </row>
    <row r="188" spans="1:22" x14ac:dyDescent="0.2">
      <c r="A188" s="8">
        <v>11</v>
      </c>
      <c r="B188" s="8">
        <f t="shared" si="72"/>
        <v>5.6826862124549864</v>
      </c>
      <c r="C188" s="8">
        <v>5.9972078962853397</v>
      </c>
      <c r="D188" s="8">
        <v>3.87022153323705</v>
      </c>
      <c r="E188" s="8">
        <v>10.426809711130099</v>
      </c>
      <c r="F188" s="8">
        <v>2.7334892015794798</v>
      </c>
      <c r="G188" s="8">
        <v>4.3784013910096</v>
      </c>
      <c r="H188" s="8" t="s">
        <v>44</v>
      </c>
      <c r="I188" s="8">
        <v>8.16936385393136</v>
      </c>
      <c r="J188" s="8">
        <v>3.0817283266200399</v>
      </c>
      <c r="K188" s="8">
        <v>7.6246824345745301</v>
      </c>
      <c r="L188" s="8">
        <v>3.2596225576491502</v>
      </c>
      <c r="M188" s="8">
        <v>6.5402094223621496</v>
      </c>
      <c r="N188" s="8">
        <v>4.2220638256214302</v>
      </c>
      <c r="O188" s="8">
        <v>5.7184474232816997</v>
      </c>
      <c r="P188" s="8">
        <v>8.7519697853971898</v>
      </c>
      <c r="Q188" s="8">
        <v>7.5959550962327498</v>
      </c>
      <c r="R188" s="8">
        <v>4.50842597132044</v>
      </c>
      <c r="S188" s="8">
        <v>2.6841532272234998</v>
      </c>
      <c r="T188" s="8">
        <v>11.7568634745903</v>
      </c>
      <c r="U188" s="8">
        <v>1.5904877779953599</v>
      </c>
      <c r="V188" s="8">
        <v>5.0609351266032698</v>
      </c>
    </row>
    <row r="189" spans="1:22" x14ac:dyDescent="0.2">
      <c r="A189" s="8">
        <v>12</v>
      </c>
      <c r="B189" s="8">
        <f t="shared" si="72"/>
        <v>8.6101422881697278</v>
      </c>
      <c r="C189" s="8" t="s">
        <v>44</v>
      </c>
      <c r="D189" s="8">
        <v>6.3772646194323199</v>
      </c>
      <c r="E189" s="8">
        <v>12.6589962817727</v>
      </c>
      <c r="F189" s="8">
        <v>8.0007868108472895</v>
      </c>
      <c r="G189" s="8">
        <v>7.5083369053435103</v>
      </c>
      <c r="H189" s="8">
        <v>4.3481459906722897</v>
      </c>
      <c r="I189" s="8">
        <v>5.8233867328660001</v>
      </c>
      <c r="J189" s="8">
        <v>7.73897724543518</v>
      </c>
      <c r="K189" s="8">
        <v>6.9641208439882201</v>
      </c>
      <c r="L189" s="8">
        <v>10.900532271938101</v>
      </c>
      <c r="M189" s="8">
        <v>9.0074492933959505</v>
      </c>
      <c r="N189" s="8">
        <v>2.3266716673209902</v>
      </c>
      <c r="O189" s="8">
        <v>6.6733703598530703</v>
      </c>
      <c r="P189" s="8" t="s">
        <v>44</v>
      </c>
      <c r="Q189" s="8">
        <v>14.415375359672799</v>
      </c>
      <c r="R189" s="8">
        <v>6.1196682730031897</v>
      </c>
      <c r="S189" s="8">
        <v>11.8294236312243</v>
      </c>
      <c r="T189" s="8">
        <v>13.5242937237342</v>
      </c>
      <c r="U189" s="8">
        <v>8.5050624467366092</v>
      </c>
      <c r="V189" s="8">
        <v>12.260698729818399</v>
      </c>
    </row>
    <row r="190" spans="1:22" x14ac:dyDescent="0.2">
      <c r="A190" s="8">
        <v>13</v>
      </c>
      <c r="B190" s="8">
        <f t="shared" si="72"/>
        <v>12.523831328117405</v>
      </c>
      <c r="C190" s="8">
        <v>14.3014544376376</v>
      </c>
      <c r="D190" s="8">
        <v>13.4192325161917</v>
      </c>
      <c r="E190" s="8">
        <v>9.4586632420944508</v>
      </c>
      <c r="F190" s="8">
        <v>5.9111085267157097</v>
      </c>
      <c r="G190" s="8">
        <v>11.081578368759599</v>
      </c>
      <c r="H190" s="8">
        <v>7.1089972842696998</v>
      </c>
      <c r="I190" s="8">
        <v>15.299463276342999</v>
      </c>
      <c r="J190" s="8">
        <v>17.672861666838301</v>
      </c>
      <c r="K190" s="8" t="s">
        <v>44</v>
      </c>
      <c r="L190" s="8">
        <v>5.3268766150608</v>
      </c>
      <c r="M190" s="8">
        <v>10.1340390918895</v>
      </c>
      <c r="N190" s="8">
        <v>23.279910373150202</v>
      </c>
      <c r="O190" s="8">
        <v>15.321624349386401</v>
      </c>
      <c r="P190" s="8">
        <v>11.733837203255399</v>
      </c>
      <c r="Q190" s="8">
        <v>8.3850194539141505</v>
      </c>
      <c r="R190" s="8">
        <v>16.1755467501246</v>
      </c>
      <c r="S190" s="8">
        <v>8.5689770495432498</v>
      </c>
      <c r="T190" s="8">
        <v>13.7104970073557</v>
      </c>
      <c r="U190" s="8">
        <v>19.360985445230099</v>
      </c>
      <c r="V190" s="8">
        <v>11.702122576470501</v>
      </c>
    </row>
    <row r="191" spans="1:22" x14ac:dyDescent="0.2">
      <c r="A191" s="8">
        <v>14</v>
      </c>
      <c r="B191" s="8">
        <f t="shared" si="72"/>
        <v>11.239886252459311</v>
      </c>
      <c r="C191" s="8">
        <v>16.0644923049929</v>
      </c>
      <c r="D191" s="8">
        <v>13.300867807837999</v>
      </c>
      <c r="E191" s="8">
        <v>13.340367529608701</v>
      </c>
      <c r="F191" s="8">
        <v>8.7103778938102501</v>
      </c>
      <c r="G191" s="8">
        <v>18.646078900141202</v>
      </c>
      <c r="H191" s="8">
        <v>5.7200636446331901</v>
      </c>
      <c r="I191" s="8">
        <v>7.2652761390863496</v>
      </c>
      <c r="J191" s="8">
        <v>5.8009215931549596</v>
      </c>
      <c r="K191" s="8">
        <v>31.073606767236399</v>
      </c>
      <c r="L191" s="8">
        <v>5.5123763366985097</v>
      </c>
      <c r="M191" s="8">
        <v>13.018611100511301</v>
      </c>
      <c r="N191" s="8">
        <v>5.6188717094891896</v>
      </c>
      <c r="O191" s="8">
        <v>18.7767019365156</v>
      </c>
      <c r="P191" s="8">
        <v>5.1395144958766696</v>
      </c>
      <c r="Q191" s="8">
        <v>6.6887673023968404</v>
      </c>
      <c r="R191" s="8">
        <v>14.3450306010623</v>
      </c>
      <c r="S191" s="8">
        <v>9.1353418455243496</v>
      </c>
      <c r="T191" s="8">
        <v>11.3386600443103</v>
      </c>
      <c r="U191" s="8">
        <v>8.5320695146962304</v>
      </c>
      <c r="V191" s="8">
        <v>6.7697275816029796</v>
      </c>
    </row>
    <row r="192" spans="1:22" x14ac:dyDescent="0.2">
      <c r="A192" s="8">
        <v>15</v>
      </c>
      <c r="B192" s="8">
        <f t="shared" si="72"/>
        <v>8.9164878293090535</v>
      </c>
      <c r="C192" s="8">
        <v>16.999911853876799</v>
      </c>
      <c r="D192" s="8">
        <v>5.34604928365113</v>
      </c>
      <c r="E192" s="8">
        <v>7.84887362382117</v>
      </c>
      <c r="F192" s="8">
        <v>4.2835862910612503</v>
      </c>
      <c r="G192" s="8" t="s">
        <v>44</v>
      </c>
      <c r="H192" s="8">
        <v>19.739638976381102</v>
      </c>
      <c r="I192" s="8">
        <v>8.4012527166430804</v>
      </c>
      <c r="J192" s="8">
        <v>11.810506979212001</v>
      </c>
      <c r="K192" s="8">
        <v>16.1115802688462</v>
      </c>
      <c r="L192" s="8">
        <v>10.0404830900808</v>
      </c>
      <c r="M192" s="8">
        <v>4.2357586936743301</v>
      </c>
      <c r="N192" s="8" t="s">
        <v>44</v>
      </c>
      <c r="O192" s="8">
        <v>8.4901193383927698</v>
      </c>
      <c r="P192" s="8">
        <v>2.6748607252330698</v>
      </c>
      <c r="Q192" s="8">
        <v>4.9372542663030696</v>
      </c>
      <c r="R192" s="8">
        <v>5.9580292482749497</v>
      </c>
      <c r="S192" s="8" t="s">
        <v>44</v>
      </c>
      <c r="T192" s="8">
        <v>2.4192419941219798</v>
      </c>
      <c r="U192" s="8">
        <v>10.6614585918466</v>
      </c>
      <c r="V192" s="8">
        <v>11.6216871568336</v>
      </c>
    </row>
    <row r="193" spans="1:22" x14ac:dyDescent="0.2">
      <c r="A193" s="8">
        <v>16</v>
      </c>
      <c r="B193" s="8">
        <f t="shared" si="72"/>
        <v>8.0667594714754163</v>
      </c>
      <c r="C193" s="8">
        <v>15.7298209996449</v>
      </c>
      <c r="D193" s="8">
        <v>20.6536712611084</v>
      </c>
      <c r="E193" s="8">
        <v>5.2280831224724196</v>
      </c>
      <c r="F193" s="8">
        <v>3.0700877995119802</v>
      </c>
      <c r="G193" s="8">
        <v>2.84912266451986</v>
      </c>
      <c r="H193" s="8">
        <v>21.410960634679402</v>
      </c>
      <c r="I193" s="8">
        <v>6.8030048867389903</v>
      </c>
      <c r="J193" s="8">
        <v>5.4474202540109697</v>
      </c>
      <c r="K193" s="8" t="s">
        <v>44</v>
      </c>
      <c r="L193" s="8">
        <v>5.6771099950922901</v>
      </c>
      <c r="M193" s="8">
        <v>6.66842835942637</v>
      </c>
      <c r="N193" s="8">
        <v>7.7632975968672699</v>
      </c>
      <c r="O193" s="8">
        <v>7.21494247114041</v>
      </c>
      <c r="P193" s="8">
        <v>10.111358893351399</v>
      </c>
      <c r="Q193" s="8">
        <v>6.6451168531481901</v>
      </c>
      <c r="R193" s="8">
        <v>7.3480858034522196</v>
      </c>
      <c r="S193" s="8">
        <v>6.2639459435098797</v>
      </c>
      <c r="T193" s="8">
        <v>2.9629782676123502</v>
      </c>
      <c r="U193" s="8">
        <v>6.0624482425027804</v>
      </c>
      <c r="V193" s="8">
        <v>5.35854590924286</v>
      </c>
    </row>
    <row r="194" spans="1:22" x14ac:dyDescent="0.2">
      <c r="A194" s="209">
        <v>17</v>
      </c>
    </row>
    <row r="195" spans="1:22" x14ac:dyDescent="0.2">
      <c r="A195" s="8">
        <v>18</v>
      </c>
      <c r="B195" s="8">
        <f t="shared" si="72"/>
        <v>12.665415987611819</v>
      </c>
      <c r="C195" s="8">
        <v>8.0420739189409005</v>
      </c>
      <c r="D195" s="8">
        <v>17.0662479614438</v>
      </c>
      <c r="E195" s="8">
        <v>5.2719081448885596</v>
      </c>
      <c r="F195" s="8">
        <v>9.85579139432833</v>
      </c>
      <c r="G195" s="8">
        <v>7.0682759614269903</v>
      </c>
      <c r="H195" s="8">
        <v>18.946915335577099</v>
      </c>
      <c r="I195" s="8">
        <v>10.0696255516209</v>
      </c>
      <c r="J195" s="8">
        <v>8.4556452408759508</v>
      </c>
      <c r="K195" s="8">
        <v>36.191182263946601</v>
      </c>
      <c r="L195" s="8">
        <v>28.750758925867199</v>
      </c>
      <c r="M195" s="8">
        <v>14.687308932492799</v>
      </c>
      <c r="N195" s="8">
        <v>10.549636227692099</v>
      </c>
      <c r="O195" s="8">
        <v>8.3296876689337296</v>
      </c>
      <c r="P195" s="8">
        <v>3.2472447550268302</v>
      </c>
      <c r="Q195" s="8">
        <v>5.4502596931397598</v>
      </c>
      <c r="R195" s="8">
        <v>29.267253163699099</v>
      </c>
      <c r="S195" s="8">
        <v>8.6461850982124506</v>
      </c>
      <c r="T195" s="8">
        <v>8.8468029744411201</v>
      </c>
      <c r="U195" s="8">
        <v>11.1706759238388</v>
      </c>
      <c r="V195" s="8">
        <v>3.39484061584333</v>
      </c>
    </row>
    <row r="196" spans="1:22" x14ac:dyDescent="0.2">
      <c r="A196" s="8">
        <v>19</v>
      </c>
      <c r="B196" s="8">
        <f t="shared" si="72"/>
        <v>8.3827417875564585</v>
      </c>
      <c r="C196" s="8" t="s">
        <v>44</v>
      </c>
      <c r="D196" s="8">
        <v>17.1267531613857</v>
      </c>
      <c r="E196" s="8">
        <v>2.2008514608610099</v>
      </c>
      <c r="F196" s="8">
        <v>0.248037925762843</v>
      </c>
      <c r="G196" s="8">
        <v>3.1883449666210599</v>
      </c>
      <c r="H196" s="8">
        <v>3.7172119245310098</v>
      </c>
      <c r="I196" s="8">
        <v>7.0686930891802602</v>
      </c>
      <c r="J196" s="8">
        <v>7.7864367045923899</v>
      </c>
      <c r="K196" s="8">
        <v>20.005589151546602</v>
      </c>
      <c r="L196" s="8" t="s">
        <v>44</v>
      </c>
      <c r="M196" s="8">
        <v>4.2935749348894801</v>
      </c>
      <c r="N196" s="8">
        <v>5.7822162876714804</v>
      </c>
      <c r="O196" s="8">
        <v>1.01294495997728</v>
      </c>
      <c r="P196" s="8">
        <v>18.879456080531501</v>
      </c>
      <c r="Q196" s="8">
        <v>13.2371722192695</v>
      </c>
      <c r="R196" s="8">
        <v>10.426985066136201</v>
      </c>
      <c r="S196" s="8">
        <v>12.972713363196601</v>
      </c>
      <c r="T196" s="8">
        <v>4.4732629770579901</v>
      </c>
      <c r="U196" s="8">
        <v>4.5002150939247301</v>
      </c>
      <c r="V196" s="8">
        <v>13.9688928088806</v>
      </c>
    </row>
    <row r="197" spans="1:22" x14ac:dyDescent="0.2">
      <c r="A197" s="8">
        <v>20</v>
      </c>
      <c r="B197" s="8">
        <f t="shared" si="72"/>
        <v>11.453556552528919</v>
      </c>
      <c r="C197" s="8">
        <v>1.80874341993458</v>
      </c>
      <c r="D197" s="8">
        <v>8.1475166236650907</v>
      </c>
      <c r="E197" s="8">
        <v>18.882038761405799</v>
      </c>
      <c r="F197" s="8">
        <v>13.846004976887</v>
      </c>
      <c r="G197" s="8">
        <v>4.5777747145677097</v>
      </c>
      <c r="H197" s="8">
        <v>3.0416369329926001</v>
      </c>
      <c r="I197" s="8">
        <v>2.55355318929533</v>
      </c>
      <c r="J197" s="8">
        <v>3.60124986207857</v>
      </c>
      <c r="K197" s="8">
        <v>70.608217711496806</v>
      </c>
      <c r="L197" s="8">
        <v>9.6477944706216991</v>
      </c>
      <c r="M197" s="8">
        <v>5.2440716197366104</v>
      </c>
      <c r="N197" s="8">
        <v>2.63338733339384</v>
      </c>
      <c r="O197" s="8">
        <v>12.0183411793868</v>
      </c>
      <c r="P197" s="8">
        <v>15.1665862005619</v>
      </c>
      <c r="Q197" s="8">
        <v>7.6250396073886302</v>
      </c>
      <c r="R197" s="8">
        <v>15.546385246096399</v>
      </c>
      <c r="S197" s="8">
        <v>2.95007564728951</v>
      </c>
      <c r="T197" s="8">
        <v>10.8841715367635</v>
      </c>
      <c r="U197" s="8">
        <v>16.3576690484553</v>
      </c>
      <c r="V197" s="8">
        <v>3.93087296856072</v>
      </c>
    </row>
    <row r="198" spans="1:22" x14ac:dyDescent="0.2">
      <c r="A198" s="8">
        <v>21</v>
      </c>
      <c r="B198" s="8">
        <f t="shared" si="72"/>
        <v>13.59295543051693</v>
      </c>
      <c r="C198" s="8" t="s">
        <v>44</v>
      </c>
      <c r="D198" s="8">
        <v>8.7286489339862801</v>
      </c>
      <c r="E198" s="8">
        <v>11.006362016395199</v>
      </c>
      <c r="F198" s="8">
        <v>1.1379824540614401</v>
      </c>
      <c r="G198" s="8">
        <v>15.570793220810399</v>
      </c>
      <c r="H198" s="8">
        <v>4.8541536749982397</v>
      </c>
      <c r="I198" s="8">
        <v>10.6277850868508</v>
      </c>
      <c r="J198" s="8">
        <v>2.3895853552138302</v>
      </c>
      <c r="K198" s="8">
        <v>78.487074426206505</v>
      </c>
      <c r="L198" s="8">
        <v>7.3434211289981901</v>
      </c>
      <c r="M198" s="8">
        <v>10.5038593857685</v>
      </c>
      <c r="N198" s="8">
        <v>10.5728821324269</v>
      </c>
      <c r="O198" s="8">
        <v>11.4228122203378</v>
      </c>
      <c r="P198" s="8">
        <v>23.4546490242837</v>
      </c>
      <c r="Q198" s="8">
        <v>4.1581653237337299</v>
      </c>
      <c r="R198" s="8">
        <v>14.1251407349736</v>
      </c>
      <c r="S198" s="8">
        <v>10.5980225606726</v>
      </c>
      <c r="T198" s="8">
        <v>13.934500141166801</v>
      </c>
      <c r="U198" s="8">
        <v>10.075627662929501</v>
      </c>
      <c r="V198" s="8">
        <v>9.2746876960076907</v>
      </c>
    </row>
    <row r="199" spans="1:22" x14ac:dyDescent="0.2">
      <c r="A199" s="209">
        <v>22</v>
      </c>
    </row>
    <row r="200" spans="1:22" x14ac:dyDescent="0.2">
      <c r="A200" s="8">
        <v>23</v>
      </c>
      <c r="B200" s="8">
        <f t="shared" si="72"/>
        <v>12.818926304366354</v>
      </c>
      <c r="C200" s="8" t="s">
        <v>44</v>
      </c>
      <c r="D200" s="8">
        <v>1.97835263896216</v>
      </c>
      <c r="E200" s="8">
        <v>3.08070664053849</v>
      </c>
      <c r="F200" s="8">
        <v>10.208735954701501</v>
      </c>
      <c r="G200" s="8">
        <v>4.9487677351574799</v>
      </c>
      <c r="H200" s="8" t="s">
        <v>44</v>
      </c>
      <c r="I200" s="8">
        <v>11.511343788454299</v>
      </c>
      <c r="J200" s="8">
        <v>4.5115058510295496</v>
      </c>
      <c r="K200" s="8">
        <v>84.022098781918103</v>
      </c>
      <c r="L200" s="8">
        <v>11.4463289465721</v>
      </c>
      <c r="M200" s="8">
        <v>7.8933668693950798</v>
      </c>
      <c r="N200" s="8">
        <v>10.9159824413754</v>
      </c>
      <c r="O200" s="8" t="s">
        <v>44</v>
      </c>
      <c r="P200" s="8">
        <v>8.0076188653079203</v>
      </c>
      <c r="Q200" s="8">
        <v>13.824214954676901</v>
      </c>
      <c r="R200" s="8">
        <v>26.509447040615601</v>
      </c>
      <c r="S200" s="8">
        <v>5.0932826632438601</v>
      </c>
      <c r="T200" s="8">
        <v>3.65331289851679</v>
      </c>
      <c r="U200" s="8">
        <v>7.2733551002908099</v>
      </c>
      <c r="V200" s="8">
        <v>3.0433260034719698</v>
      </c>
    </row>
    <row r="201" spans="1:22" x14ac:dyDescent="0.2">
      <c r="A201" s="8">
        <v>24</v>
      </c>
      <c r="B201" s="8">
        <f t="shared" si="72"/>
        <v>8.6128739514650974</v>
      </c>
      <c r="C201" s="8">
        <v>7.3884199443442196</v>
      </c>
      <c r="D201" s="8">
        <v>6.0529081501147299</v>
      </c>
      <c r="E201" s="8">
        <v>11.697056371514901</v>
      </c>
      <c r="F201" s="8">
        <v>13.4057133097151</v>
      </c>
      <c r="G201" s="8">
        <v>24.856105870021899</v>
      </c>
      <c r="H201" s="8">
        <v>15.357219746268299</v>
      </c>
      <c r="I201" s="8">
        <v>0.83029389217476102</v>
      </c>
      <c r="J201" s="8">
        <v>13.5539294747651</v>
      </c>
      <c r="K201" s="8">
        <v>0.74780590224976295</v>
      </c>
      <c r="L201" s="8">
        <v>2.7951741068396601</v>
      </c>
      <c r="M201" s="8">
        <v>1.98314695259476</v>
      </c>
      <c r="N201" s="8">
        <v>20.758464163391899</v>
      </c>
      <c r="O201" s="8">
        <v>3.2325671835953602</v>
      </c>
      <c r="P201" s="8">
        <v>7.3229657477912902</v>
      </c>
      <c r="Q201" s="8">
        <v>2.9415111650087402</v>
      </c>
      <c r="R201" s="8">
        <v>6.3552016714087696</v>
      </c>
      <c r="S201" s="8">
        <v>2.8149440033039599</v>
      </c>
      <c r="T201" s="8">
        <v>5.34178864651164</v>
      </c>
      <c r="U201" s="8">
        <v>2.2344979806421499</v>
      </c>
      <c r="V201" s="8">
        <v>22.587764747044901</v>
      </c>
    </row>
    <row r="202" spans="1:22" x14ac:dyDescent="0.2">
      <c r="A202" s="8">
        <v>25</v>
      </c>
      <c r="B202" s="8">
        <f t="shared" si="72"/>
        <v>6.342488022249789</v>
      </c>
      <c r="C202" s="8" t="s">
        <v>44</v>
      </c>
      <c r="D202" s="8">
        <v>8.6884307990094296</v>
      </c>
      <c r="E202" s="8" t="s">
        <v>44</v>
      </c>
      <c r="F202" s="8">
        <v>13.7014849578089</v>
      </c>
      <c r="G202" s="8">
        <v>1.5075394272931799</v>
      </c>
      <c r="H202" s="8">
        <v>8.9003643524146501</v>
      </c>
      <c r="I202" s="8">
        <v>7.05714313675802</v>
      </c>
      <c r="J202" s="8">
        <v>0.87940691075107003</v>
      </c>
      <c r="K202" s="8" t="s">
        <v>44</v>
      </c>
      <c r="L202" s="8">
        <v>3.9135788555190598</v>
      </c>
      <c r="M202" s="8">
        <v>6.23818759011845</v>
      </c>
      <c r="N202" s="8">
        <v>3.9744237511670399</v>
      </c>
      <c r="O202" s="8">
        <v>7.2052200601358702</v>
      </c>
      <c r="P202" s="8" t="s">
        <v>44</v>
      </c>
      <c r="Q202" s="8">
        <v>9.9238981301170597</v>
      </c>
      <c r="R202" s="8" t="s">
        <v>44</v>
      </c>
      <c r="S202" s="8">
        <v>2.10293324476106</v>
      </c>
      <c r="T202" s="8" t="s">
        <v>44</v>
      </c>
      <c r="U202" s="8">
        <v>7.4659586659022503</v>
      </c>
      <c r="V202" s="8">
        <v>7.2362624297410099</v>
      </c>
    </row>
    <row r="203" spans="1:22" x14ac:dyDescent="0.2">
      <c r="A203" s="8">
        <v>26</v>
      </c>
      <c r="B203" s="8">
        <f t="shared" si="72"/>
        <v>11.865559968435786</v>
      </c>
      <c r="C203" s="8">
        <v>11.214245066711999</v>
      </c>
      <c r="D203" s="8">
        <v>13.112596421761101</v>
      </c>
      <c r="E203" s="8">
        <v>9.5304713169053699</v>
      </c>
      <c r="F203" s="8">
        <v>5.76772739136441</v>
      </c>
      <c r="G203" s="8">
        <v>14.711307013199599</v>
      </c>
      <c r="H203" s="8">
        <v>19.899118921606899</v>
      </c>
      <c r="I203" s="8">
        <v>6.9431053827787803</v>
      </c>
      <c r="J203" s="8">
        <v>24.892144102024499</v>
      </c>
      <c r="K203" s="8" t="s">
        <v>44</v>
      </c>
      <c r="L203" s="8">
        <v>10.823215361956199</v>
      </c>
      <c r="M203" s="8">
        <v>5.1799924765394296</v>
      </c>
      <c r="N203" s="8">
        <v>10.514684923552499</v>
      </c>
      <c r="O203" s="8">
        <v>3.2451133292356702</v>
      </c>
      <c r="P203" s="8">
        <v>18.228656065052601</v>
      </c>
      <c r="Q203" s="8">
        <v>5.9602266668434201</v>
      </c>
      <c r="R203" s="8">
        <v>9.59945461098925</v>
      </c>
      <c r="S203" s="8">
        <v>17.210653393922101</v>
      </c>
      <c r="T203" s="8">
        <v>14.2901521151295</v>
      </c>
      <c r="U203" s="8">
        <v>17.146284502775899</v>
      </c>
      <c r="V203" s="8">
        <v>7.1764903379307103</v>
      </c>
    </row>
    <row r="204" spans="1:22" x14ac:dyDescent="0.2">
      <c r="A204" s="8">
        <v>27</v>
      </c>
      <c r="B204" s="8">
        <f t="shared" si="72"/>
        <v>11.655294527578183</v>
      </c>
      <c r="C204" s="8">
        <v>6.1333808535460301</v>
      </c>
      <c r="D204" s="8">
        <v>8.4546901185509</v>
      </c>
      <c r="E204" s="8">
        <v>9.9101834493202006</v>
      </c>
      <c r="F204" s="8">
        <v>2.1283134038168701</v>
      </c>
      <c r="G204" s="8">
        <v>11.6760948311964</v>
      </c>
      <c r="H204" s="8">
        <v>22.6761555831797</v>
      </c>
      <c r="I204" s="8">
        <v>2.6457253289866198</v>
      </c>
      <c r="J204" s="8">
        <v>12.464057496702701</v>
      </c>
      <c r="K204" s="8">
        <v>82.800533997762898</v>
      </c>
      <c r="L204" s="8">
        <v>9.6415563675553901</v>
      </c>
      <c r="M204" s="8">
        <v>6.8627571889497103</v>
      </c>
      <c r="N204" s="8">
        <v>6.6761894334965497</v>
      </c>
      <c r="O204" s="8">
        <v>1.3128580015753699</v>
      </c>
      <c r="P204" s="8">
        <v>6.0176415208295699</v>
      </c>
      <c r="Q204" s="8">
        <v>15.4262494871295</v>
      </c>
      <c r="R204" s="8">
        <v>5.2473479416174698</v>
      </c>
      <c r="S204" s="8">
        <v>9.3189841045942501</v>
      </c>
      <c r="T204" s="8">
        <v>8.1582982797463597</v>
      </c>
      <c r="U204" s="8">
        <v>2.1722766561985001</v>
      </c>
      <c r="V204" s="8">
        <v>3.3825965068086998</v>
      </c>
    </row>
    <row r="205" spans="1:22" x14ac:dyDescent="0.2">
      <c r="A205" s="8">
        <v>28</v>
      </c>
      <c r="B205" s="8">
        <f t="shared" si="72"/>
        <v>13.741294360114869</v>
      </c>
      <c r="C205" s="8">
        <v>6.82805542068016</v>
      </c>
      <c r="D205" s="8">
        <v>19.465076614946199</v>
      </c>
      <c r="E205" s="8">
        <v>12.2012955274052</v>
      </c>
      <c r="F205" s="8">
        <v>12.7361647494783</v>
      </c>
      <c r="G205" s="8">
        <v>30.980724545694301</v>
      </c>
      <c r="H205" s="8" t="s">
        <v>44</v>
      </c>
      <c r="I205" s="8">
        <v>13.0189945995128</v>
      </c>
      <c r="J205" s="8">
        <v>9.8020435170155</v>
      </c>
      <c r="K205" s="8">
        <v>66.449901926269604</v>
      </c>
      <c r="L205" s="8">
        <v>7.7794271616426096</v>
      </c>
      <c r="M205" s="8">
        <v>10.348058757653099</v>
      </c>
      <c r="N205" s="8">
        <v>6.6321506128331</v>
      </c>
      <c r="O205" s="8">
        <v>2.4488192830216802</v>
      </c>
      <c r="P205" s="8">
        <v>10.3771830676784</v>
      </c>
      <c r="Q205" s="8">
        <v>11.567471653872101</v>
      </c>
      <c r="R205" s="8">
        <v>6.5561781300126203</v>
      </c>
      <c r="S205" s="8">
        <v>14.444434507594</v>
      </c>
      <c r="T205" s="8">
        <v>9.8198827462423601</v>
      </c>
      <c r="U205" s="8">
        <v>5.3086281780122704</v>
      </c>
      <c r="V205" s="8">
        <v>4.3201018426181701</v>
      </c>
    </row>
    <row r="206" spans="1:22" x14ac:dyDescent="0.2">
      <c r="A206" s="209">
        <v>29</v>
      </c>
    </row>
    <row r="207" spans="1:22" x14ac:dyDescent="0.2">
      <c r="A207" s="8">
        <v>30</v>
      </c>
      <c r="B207" s="8">
        <f t="shared" si="72"/>
        <v>11.065197544206777</v>
      </c>
      <c r="C207" s="8">
        <v>7.7909069598278498</v>
      </c>
      <c r="D207" s="8">
        <v>6.4410251661292497</v>
      </c>
      <c r="E207" s="8">
        <v>7.3215687498551301</v>
      </c>
      <c r="F207" s="8">
        <v>6.9444335231749204</v>
      </c>
      <c r="G207" s="8">
        <v>7.1117325299955798</v>
      </c>
      <c r="H207" s="8">
        <v>37.1385572095516</v>
      </c>
      <c r="I207" s="8">
        <v>9.1498964401452003</v>
      </c>
      <c r="J207" s="8">
        <v>16.285240599522002</v>
      </c>
      <c r="K207" s="8">
        <v>12.868750396879699</v>
      </c>
      <c r="L207" s="8">
        <v>3.14388770939886</v>
      </c>
      <c r="M207" s="8">
        <v>14.0140762153257</v>
      </c>
      <c r="N207" s="8">
        <v>10.703738077396499</v>
      </c>
      <c r="O207" s="8">
        <v>20.195520534133198</v>
      </c>
      <c r="P207" s="8">
        <v>4.0960557319482698</v>
      </c>
      <c r="Q207" s="8">
        <v>8.04353884244453</v>
      </c>
      <c r="R207" s="8">
        <v>25.791271695317501</v>
      </c>
      <c r="S207" s="8">
        <v>3.0920594712095202</v>
      </c>
      <c r="T207" s="8">
        <v>7.1346603042591301</v>
      </c>
      <c r="U207" s="8">
        <v>4.9087648318781802</v>
      </c>
      <c r="V207" s="8">
        <v>9.1282658957428904</v>
      </c>
    </row>
    <row r="208" spans="1:22" x14ac:dyDescent="0.2">
      <c r="A208" s="8">
        <v>31</v>
      </c>
      <c r="B208" s="8">
        <f t="shared" si="72"/>
        <v>8.2549381871282872</v>
      </c>
      <c r="C208" s="8">
        <v>3.37720990986212</v>
      </c>
      <c r="D208" s="8">
        <v>5.1986799166530799</v>
      </c>
      <c r="E208" s="8">
        <v>4.75655766761788</v>
      </c>
      <c r="F208" s="8">
        <v>12.383552479422599</v>
      </c>
      <c r="G208" s="8">
        <v>8.4835181285739107</v>
      </c>
      <c r="H208" s="8">
        <v>3.18866223776782</v>
      </c>
      <c r="I208" s="8">
        <v>11.9201572099077</v>
      </c>
      <c r="J208" s="8">
        <v>9.6636835597375406</v>
      </c>
      <c r="K208" s="8">
        <v>13.438332543917801</v>
      </c>
      <c r="L208" s="8">
        <v>0.50187001949376897</v>
      </c>
      <c r="M208" s="8" t="s">
        <v>44</v>
      </c>
      <c r="N208" s="8">
        <v>4.3893164374518099</v>
      </c>
      <c r="O208" s="8">
        <v>4.6238944176927399</v>
      </c>
      <c r="P208" s="8">
        <v>26.779465714417999</v>
      </c>
      <c r="Q208" s="8">
        <v>10.9364346045797</v>
      </c>
      <c r="R208" s="8">
        <v>10.505721142309101</v>
      </c>
      <c r="S208" s="8">
        <v>7.5958186925477102</v>
      </c>
      <c r="T208" s="8" t="s">
        <v>44</v>
      </c>
      <c r="U208" s="8">
        <v>6.03106899998581</v>
      </c>
      <c r="V208" s="8">
        <v>4.8149436863700803</v>
      </c>
    </row>
    <row r="209" spans="1:22" x14ac:dyDescent="0.2">
      <c r="A209" s="8">
        <v>32</v>
      </c>
      <c r="B209" s="8">
        <f t="shared" si="72"/>
        <v>12.242291857298406</v>
      </c>
      <c r="C209" s="8">
        <v>10.9333829282526</v>
      </c>
      <c r="D209" s="8">
        <v>17.291391272277401</v>
      </c>
      <c r="E209" s="8">
        <v>3.8911909846918298</v>
      </c>
      <c r="F209" s="8">
        <v>5.3377242429512499</v>
      </c>
      <c r="G209" s="8">
        <v>4.6113419354818497</v>
      </c>
      <c r="H209" s="8">
        <v>72.650498935462096</v>
      </c>
      <c r="I209" s="8">
        <v>7.5617991069997199</v>
      </c>
      <c r="J209" s="8">
        <v>12.005751523094499</v>
      </c>
      <c r="K209" s="8" t="s">
        <v>44</v>
      </c>
      <c r="L209" s="8">
        <v>10.613096146563</v>
      </c>
      <c r="M209" s="8">
        <v>12.384628004611701</v>
      </c>
      <c r="N209" s="8">
        <v>1.55846453866945</v>
      </c>
      <c r="O209" s="8">
        <v>4.5839296326632404</v>
      </c>
      <c r="P209" s="8">
        <v>5.7607245319567904</v>
      </c>
      <c r="Q209" s="8">
        <v>11.591551192253901</v>
      </c>
      <c r="R209" s="8">
        <v>27.408497430628</v>
      </c>
      <c r="S209" s="8">
        <v>8.6844508278684103</v>
      </c>
      <c r="T209" s="8">
        <v>3.6678151481281498</v>
      </c>
      <c r="U209" s="8">
        <v>4.0786912956489099</v>
      </c>
      <c r="V209" s="8">
        <v>7.9886156104669803</v>
      </c>
    </row>
    <row r="210" spans="1:22" x14ac:dyDescent="0.2">
      <c r="A210" s="8">
        <v>33</v>
      </c>
      <c r="B210" s="8">
        <f t="shared" si="72"/>
        <v>5.9522515136265444</v>
      </c>
      <c r="C210" s="8">
        <v>12.6570035366559</v>
      </c>
      <c r="D210" s="8">
        <v>4.2478695497746397</v>
      </c>
      <c r="E210" s="8">
        <v>2.7430858562138098</v>
      </c>
      <c r="F210" s="8">
        <v>17.388177608885702</v>
      </c>
      <c r="G210" s="8">
        <v>5.0725274887470801</v>
      </c>
      <c r="H210" s="8">
        <v>8.2454840769732005</v>
      </c>
      <c r="I210" s="8">
        <v>1.76993435508773</v>
      </c>
      <c r="J210" s="8">
        <v>0.242124932486144</v>
      </c>
      <c r="K210" s="8">
        <v>10.345430641290401</v>
      </c>
      <c r="L210" s="8">
        <v>1.0542994063908799</v>
      </c>
      <c r="M210" s="8">
        <v>3.2765956980259499</v>
      </c>
      <c r="N210" s="8">
        <v>11.047391530699899</v>
      </c>
      <c r="O210" s="8">
        <v>2.01485287425804</v>
      </c>
      <c r="P210" s="8">
        <v>3.6411611514376601</v>
      </c>
      <c r="Q210" s="8">
        <v>3.3752530897114199</v>
      </c>
      <c r="R210" s="8">
        <v>7.2650696066564402</v>
      </c>
      <c r="S210" s="8">
        <v>0.97656832686481798</v>
      </c>
      <c r="T210" s="8">
        <v>15.079009189608101</v>
      </c>
      <c r="U210" s="8">
        <v>4.7990787250276199</v>
      </c>
      <c r="V210" s="8">
        <v>3.80411262773548</v>
      </c>
    </row>
    <row r="211" spans="1:22" x14ac:dyDescent="0.2">
      <c r="A211" s="8">
        <v>34</v>
      </c>
      <c r="B211" s="8">
        <f t="shared" si="72"/>
        <v>7.4465821555902112</v>
      </c>
      <c r="C211" s="8">
        <v>22.778610536377698</v>
      </c>
      <c r="D211" s="8" t="s">
        <v>44</v>
      </c>
      <c r="E211" s="8">
        <v>5.4471534944215101</v>
      </c>
      <c r="F211" s="8">
        <v>7.3598838516587799</v>
      </c>
      <c r="G211" s="8">
        <v>5.5740925077101604</v>
      </c>
      <c r="H211" s="8">
        <v>5.7762783918304699</v>
      </c>
      <c r="I211" s="8">
        <v>2.3779924564002699</v>
      </c>
      <c r="J211" s="8">
        <v>5.8880588570172296</v>
      </c>
      <c r="K211" s="8" t="s">
        <v>44</v>
      </c>
      <c r="L211" s="8">
        <v>14.662267475379201</v>
      </c>
      <c r="M211" s="8">
        <v>1.7850068307362901</v>
      </c>
      <c r="N211" s="8">
        <v>15.6250055119382</v>
      </c>
      <c r="O211" s="8">
        <v>0.49665127446477098</v>
      </c>
      <c r="P211" s="8">
        <v>5.4101529838881097</v>
      </c>
      <c r="Q211" s="8">
        <v>11.373228600883699</v>
      </c>
      <c r="R211" s="8">
        <v>12.766220281666801</v>
      </c>
      <c r="S211" s="8">
        <v>6.4268812565991302</v>
      </c>
      <c r="T211" s="8">
        <v>6.5285593858059601</v>
      </c>
      <c r="U211" s="8">
        <v>0.77065628399208597</v>
      </c>
      <c r="V211" s="8">
        <v>2.9917788198534301</v>
      </c>
    </row>
    <row r="212" spans="1:22" x14ac:dyDescent="0.2">
      <c r="A212" s="8">
        <v>35</v>
      </c>
      <c r="B212" s="8">
        <f t="shared" si="72"/>
        <v>11.335956130750736</v>
      </c>
      <c r="C212" s="8">
        <v>13.873081744894099</v>
      </c>
      <c r="D212" s="8">
        <v>5.5610888242366601</v>
      </c>
      <c r="E212" s="8" t="s">
        <v>44</v>
      </c>
      <c r="F212" s="8">
        <v>4.1230497477118302</v>
      </c>
      <c r="G212" s="8">
        <v>5.9240096905030502</v>
      </c>
      <c r="H212" s="8" t="s">
        <v>44</v>
      </c>
      <c r="I212" s="8">
        <v>13.655183791493499</v>
      </c>
      <c r="J212" s="8">
        <v>7.2930243289441297</v>
      </c>
      <c r="K212" s="8">
        <v>53.250883351164703</v>
      </c>
      <c r="L212" s="8">
        <v>9.3228911185391095</v>
      </c>
      <c r="M212" s="8">
        <v>4.8723409764276902</v>
      </c>
      <c r="N212" s="8">
        <v>7.2853267358914904</v>
      </c>
      <c r="O212" s="8">
        <v>24.3343889627259</v>
      </c>
      <c r="P212" s="8" t="s">
        <v>44</v>
      </c>
      <c r="Q212" s="8">
        <v>3.2525382729180299</v>
      </c>
      <c r="R212" s="8">
        <v>18.864414936402</v>
      </c>
      <c r="S212" s="8">
        <v>2.3193904973816202</v>
      </c>
      <c r="T212" s="8">
        <v>6.9068345298603102</v>
      </c>
      <c r="U212" s="8">
        <v>8.7474062561149992</v>
      </c>
      <c r="V212" s="8">
        <v>3.1254004575533698</v>
      </c>
    </row>
    <row r="213" spans="1:22" x14ac:dyDescent="0.2">
      <c r="A213" s="8">
        <v>36</v>
      </c>
      <c r="B213" s="8">
        <f t="shared" si="72"/>
        <v>9.8936973172168301</v>
      </c>
      <c r="C213" s="8">
        <v>10.595341767118301</v>
      </c>
      <c r="D213" s="8">
        <v>10.245021354208101</v>
      </c>
      <c r="E213" s="8">
        <v>3.30118436877799</v>
      </c>
      <c r="F213" s="8">
        <v>4.1599990102368301</v>
      </c>
      <c r="G213" s="8">
        <v>11.989180384662699</v>
      </c>
      <c r="H213" s="8">
        <v>6.7794424361061703</v>
      </c>
      <c r="I213" s="8">
        <v>11.0186313326424</v>
      </c>
      <c r="J213" s="8">
        <v>9.98335393922825</v>
      </c>
      <c r="K213" s="8">
        <v>6.8289138508188501</v>
      </c>
      <c r="L213" s="8">
        <v>2.4809335913541202</v>
      </c>
      <c r="M213" s="8">
        <v>10.3329091135874</v>
      </c>
      <c r="N213" s="8">
        <v>6.7184855892639996</v>
      </c>
      <c r="O213" s="8">
        <v>5.9663271467958001</v>
      </c>
      <c r="P213" s="8">
        <v>6.6898685555631001</v>
      </c>
      <c r="Q213" s="8">
        <v>27.642207803351901</v>
      </c>
      <c r="R213" s="8">
        <v>15.8790036856456</v>
      </c>
      <c r="S213" s="8">
        <v>18.9044570260507</v>
      </c>
      <c r="T213" s="8">
        <v>14.2584695608323</v>
      </c>
      <c r="U213" s="8">
        <v>6.3747847826111901</v>
      </c>
      <c r="V213" s="8">
        <v>7.7254310454809101</v>
      </c>
    </row>
    <row r="214" spans="1:22" x14ac:dyDescent="0.2">
      <c r="A214" s="8">
        <v>37</v>
      </c>
      <c r="B214" s="8">
        <f t="shared" si="72"/>
        <v>14.0158937623385</v>
      </c>
      <c r="C214" s="8">
        <v>10.853349371181601</v>
      </c>
      <c r="D214" s="8">
        <v>13.1134056824362</v>
      </c>
      <c r="E214" s="8">
        <v>4.1946854952820898</v>
      </c>
      <c r="F214" s="8">
        <v>10.430636979555199</v>
      </c>
      <c r="G214" s="8">
        <v>11.917602727453099</v>
      </c>
      <c r="H214" s="8">
        <v>15.137344570608899</v>
      </c>
      <c r="I214" s="8" t="s">
        <v>44</v>
      </c>
      <c r="J214" s="8">
        <v>8.0877571595608408</v>
      </c>
      <c r="K214" s="8">
        <v>69.423871205714804</v>
      </c>
      <c r="L214" s="8">
        <v>1.9002262579495699</v>
      </c>
      <c r="M214" s="8">
        <v>10.7602449068286</v>
      </c>
      <c r="N214" s="8">
        <v>14.3738543020749</v>
      </c>
      <c r="O214" s="8">
        <v>14.851482649817999</v>
      </c>
      <c r="P214" s="8">
        <v>11.7930230133669</v>
      </c>
      <c r="Q214" s="8">
        <v>7.8684551863209302</v>
      </c>
      <c r="R214" s="8">
        <v>15.3328453702876</v>
      </c>
      <c r="S214" s="8">
        <v>9.1819542396124607</v>
      </c>
      <c r="T214" s="8">
        <v>10.2378933331068</v>
      </c>
      <c r="U214" s="8">
        <v>12.8274552709345</v>
      </c>
      <c r="V214" s="8" t="s">
        <v>44</v>
      </c>
    </row>
    <row r="215" spans="1:22" x14ac:dyDescent="0.2">
      <c r="A215" s="8">
        <v>38</v>
      </c>
      <c r="B215" s="8">
        <f t="shared" si="72"/>
        <v>4.850203195019942</v>
      </c>
      <c r="C215" s="8">
        <v>1.0372426489490201</v>
      </c>
      <c r="D215" s="8">
        <v>5.3114261381432897</v>
      </c>
      <c r="E215" s="8" t="s">
        <v>44</v>
      </c>
      <c r="F215" s="8">
        <v>0.95637255580943603</v>
      </c>
      <c r="G215" s="8">
        <v>6.4501622210474601</v>
      </c>
      <c r="H215" s="8">
        <v>6.2675484757368203</v>
      </c>
      <c r="I215" s="8">
        <v>5.0573403763450901</v>
      </c>
      <c r="J215" s="8">
        <v>4.2625534435682502</v>
      </c>
      <c r="K215" s="8">
        <v>1.61063928644795</v>
      </c>
      <c r="L215" s="8">
        <v>2.9164783901429301</v>
      </c>
      <c r="M215" s="8">
        <v>6.3412033563216603</v>
      </c>
      <c r="N215" s="8">
        <v>7.1570786990611097</v>
      </c>
      <c r="O215" s="8">
        <v>1.6474422468548799</v>
      </c>
      <c r="P215" s="8">
        <v>5.2978659763178797</v>
      </c>
      <c r="Q215" s="8">
        <v>3.27107764079551</v>
      </c>
      <c r="R215" s="8">
        <v>11.3518673107935</v>
      </c>
      <c r="S215" s="8">
        <v>7.4574418966569898</v>
      </c>
      <c r="T215" s="8">
        <v>2.5905555633324902</v>
      </c>
      <c r="U215" s="8">
        <v>3.3132730590283099</v>
      </c>
      <c r="V215" s="8">
        <v>9.8562914200263396</v>
      </c>
    </row>
    <row r="216" spans="1:22" x14ac:dyDescent="0.2">
      <c r="A216" s="8">
        <v>39</v>
      </c>
      <c r="B216" s="8">
        <f t="shared" si="72"/>
        <v>6.5024225940341038</v>
      </c>
      <c r="C216" s="8">
        <v>7.0762301079586001</v>
      </c>
      <c r="D216" s="8">
        <v>2.2990589809582098</v>
      </c>
      <c r="E216" s="8">
        <v>12.898455781101299</v>
      </c>
      <c r="F216" s="8">
        <v>8.2733351229196703</v>
      </c>
      <c r="G216" s="8">
        <v>2.4838015476189601</v>
      </c>
      <c r="H216" s="8">
        <v>3.4979173837905901</v>
      </c>
      <c r="I216" s="8" t="s">
        <v>44</v>
      </c>
      <c r="J216" s="8">
        <v>4.0144482339729901</v>
      </c>
      <c r="K216" s="8">
        <v>22.675728710990299</v>
      </c>
      <c r="L216" s="8">
        <v>3.12822885197708</v>
      </c>
      <c r="M216" s="8">
        <v>6.5239358984221099</v>
      </c>
      <c r="N216" s="8">
        <v>5.5249668936271199</v>
      </c>
      <c r="O216" s="8">
        <v>4.0749813508166799</v>
      </c>
      <c r="P216" s="8">
        <v>7.3435300814035802</v>
      </c>
      <c r="Q216" s="8">
        <v>7.6437761782625202</v>
      </c>
      <c r="R216" s="8">
        <v>13.4141243884785</v>
      </c>
      <c r="S216" s="8">
        <v>4.0685053396451698</v>
      </c>
      <c r="T216" s="8">
        <v>5.9210965484481202</v>
      </c>
      <c r="U216" s="8">
        <v>1.4827653518183701</v>
      </c>
      <c r="V216" s="8">
        <v>1.20114253443807</v>
      </c>
    </row>
    <row r="217" spans="1:22" x14ac:dyDescent="0.2">
      <c r="A217" s="8">
        <v>40</v>
      </c>
      <c r="B217" s="8">
        <f t="shared" si="72"/>
        <v>12.418041309242378</v>
      </c>
      <c r="C217" s="8">
        <v>14.485410801044999</v>
      </c>
      <c r="D217" s="8">
        <v>8.32703381609603</v>
      </c>
      <c r="E217" s="8">
        <v>12.1093516360545</v>
      </c>
      <c r="F217" s="8">
        <v>17.060297567967201</v>
      </c>
      <c r="G217" s="8">
        <v>6.6705233167037896</v>
      </c>
      <c r="H217" s="8" t="s">
        <v>44</v>
      </c>
      <c r="I217" s="8">
        <v>6.45103466425397</v>
      </c>
      <c r="J217" s="8">
        <v>5.8008893550939602</v>
      </c>
      <c r="K217" s="8">
        <v>82.860660445894993</v>
      </c>
      <c r="L217" s="8">
        <v>13.325116601960801</v>
      </c>
      <c r="M217" s="8">
        <v>10.5976967886764</v>
      </c>
      <c r="N217" s="8">
        <v>5.5716618511064899</v>
      </c>
      <c r="O217" s="8">
        <v>6.5397433062504904</v>
      </c>
      <c r="P217" s="8">
        <v>2.5112377811814999</v>
      </c>
      <c r="Q217" s="8">
        <v>7.4279410652841102</v>
      </c>
      <c r="R217" s="8" t="s">
        <v>44</v>
      </c>
      <c r="S217" s="8">
        <v>1.50165268282702</v>
      </c>
      <c r="T217" s="8">
        <v>4.4429102373731997</v>
      </c>
      <c r="U217" s="8">
        <v>4.7293486013491197</v>
      </c>
      <c r="V217" s="8">
        <v>13.112233047244199</v>
      </c>
    </row>
    <row r="218" spans="1:22" x14ac:dyDescent="0.2">
      <c r="A218" s="8">
        <v>41</v>
      </c>
      <c r="B218" s="8">
        <f t="shared" si="72"/>
        <v>7.7191837353507724</v>
      </c>
      <c r="C218" s="8" t="s">
        <v>44</v>
      </c>
      <c r="D218" s="8">
        <v>5.6927894341651202</v>
      </c>
      <c r="E218" s="8">
        <v>4.52878028811402</v>
      </c>
      <c r="F218" s="8">
        <v>8.1719026710602893</v>
      </c>
      <c r="G218" s="8">
        <v>3.4535805164879201</v>
      </c>
      <c r="H218" s="8">
        <v>10.6834193895487</v>
      </c>
      <c r="I218" s="8">
        <v>4.2797393621412203</v>
      </c>
      <c r="J218" s="8" t="s">
        <v>44</v>
      </c>
      <c r="K218" s="8">
        <v>3.4306754717138701</v>
      </c>
      <c r="L218" s="8">
        <v>3.4149137786119601</v>
      </c>
      <c r="M218" s="8">
        <v>11.6614556158413</v>
      </c>
      <c r="N218" s="8">
        <v>6.6152673538005899</v>
      </c>
      <c r="O218" s="8">
        <v>2.9487874438045001</v>
      </c>
      <c r="P218" s="8">
        <v>12.3172786845748</v>
      </c>
      <c r="Q218" s="8">
        <v>12.1115778298505</v>
      </c>
      <c r="R218" s="8">
        <v>10.965850715621301</v>
      </c>
      <c r="S218" s="8">
        <v>9.4753127323478594</v>
      </c>
      <c r="T218" s="8">
        <v>8.35251734078388</v>
      </c>
      <c r="U218" s="8">
        <v>12.3506789985371</v>
      </c>
      <c r="V218" s="8">
        <v>8.4907796093089996</v>
      </c>
    </row>
    <row r="219" spans="1:22" x14ac:dyDescent="0.2">
      <c r="A219" s="8">
        <v>42</v>
      </c>
      <c r="B219" s="8">
        <f t="shared" si="72"/>
        <v>8.6585704592898427</v>
      </c>
      <c r="C219" s="8" t="s">
        <v>44</v>
      </c>
      <c r="D219" s="8">
        <v>21.890198050358499</v>
      </c>
      <c r="E219" s="8">
        <v>6.6606551265263798</v>
      </c>
      <c r="F219" s="8">
        <v>4.3057430963205103</v>
      </c>
      <c r="G219" s="8">
        <v>2.5301459022518902</v>
      </c>
      <c r="H219" s="8">
        <v>3.95990329478379</v>
      </c>
      <c r="I219" s="8">
        <v>8.2338452300134808</v>
      </c>
      <c r="J219" s="8">
        <v>9.6289469084382198</v>
      </c>
      <c r="K219" s="8" t="s">
        <v>44</v>
      </c>
      <c r="L219" s="8">
        <v>4.7973523984672104</v>
      </c>
      <c r="M219" s="8">
        <v>24.747616207375899</v>
      </c>
      <c r="N219" s="8">
        <v>11.645180467494599</v>
      </c>
      <c r="O219" s="8">
        <v>4.1173750984306299</v>
      </c>
      <c r="P219" s="8">
        <v>4.80085722802162</v>
      </c>
      <c r="Q219" s="8">
        <v>18.138243724350001</v>
      </c>
      <c r="R219" s="8">
        <v>12.6686135099783</v>
      </c>
      <c r="S219" s="8">
        <v>3.7573000182524599</v>
      </c>
      <c r="T219" s="8">
        <v>6.57564794214694</v>
      </c>
      <c r="U219" s="8">
        <v>4.0376976767471202</v>
      </c>
      <c r="V219" s="8">
        <v>3.3589463872596399</v>
      </c>
    </row>
    <row r="220" spans="1:22" x14ac:dyDescent="0.2">
      <c r="A220" s="8">
        <v>43</v>
      </c>
      <c r="B220" s="8">
        <f t="shared" si="72"/>
        <v>10.422408277128394</v>
      </c>
      <c r="C220" s="8" t="s">
        <v>44</v>
      </c>
      <c r="D220" s="8" t="s">
        <v>44</v>
      </c>
      <c r="E220" s="8">
        <v>11.510995977273501</v>
      </c>
      <c r="F220" s="8">
        <v>8.9507779614243592</v>
      </c>
      <c r="G220" s="8">
        <v>5.7615587526136798</v>
      </c>
      <c r="H220" s="8" t="s">
        <v>44</v>
      </c>
      <c r="I220" s="8" t="s">
        <v>44</v>
      </c>
      <c r="J220" s="8">
        <v>10.9180722182836</v>
      </c>
      <c r="K220" s="8">
        <v>13.129868318434999</v>
      </c>
      <c r="L220" s="8">
        <v>11.847290728337899</v>
      </c>
      <c r="M220" s="8" t="s">
        <v>44</v>
      </c>
      <c r="N220" s="8">
        <v>14.731723363293201</v>
      </c>
      <c r="O220" s="8" t="s">
        <v>44</v>
      </c>
      <c r="P220" s="8" t="s">
        <v>44</v>
      </c>
      <c r="Q220" s="8">
        <v>15.0649609464972</v>
      </c>
      <c r="R220" s="8">
        <v>7.6659527913227796</v>
      </c>
      <c r="S220" s="8">
        <v>16.609672532309599</v>
      </c>
      <c r="T220" s="8">
        <v>10.2833261309893</v>
      </c>
      <c r="U220" s="8">
        <v>0.25512154804306603</v>
      </c>
      <c r="V220" s="8">
        <v>8.7619863338459396</v>
      </c>
    </row>
    <row r="221" spans="1:22" x14ac:dyDescent="0.2">
      <c r="A221" s="8">
        <v>44</v>
      </c>
      <c r="B221" s="8">
        <f t="shared" si="72"/>
        <v>11.04318040809456</v>
      </c>
      <c r="C221" s="8">
        <v>0.81537685453077002</v>
      </c>
      <c r="D221" s="8">
        <v>6.4171402943321203</v>
      </c>
      <c r="E221" s="8">
        <v>11.467218688336599</v>
      </c>
      <c r="F221" s="8">
        <v>12.194630166734299</v>
      </c>
      <c r="G221" s="8">
        <v>6.7770872761043899</v>
      </c>
      <c r="H221" s="8">
        <v>16.805842008367801</v>
      </c>
      <c r="I221" s="8">
        <v>7.8895104786761099</v>
      </c>
      <c r="J221" s="8">
        <v>14.3414207334586</v>
      </c>
      <c r="K221" s="8" t="s">
        <v>44</v>
      </c>
      <c r="L221" s="8">
        <v>18.971792896854801</v>
      </c>
      <c r="M221" s="8">
        <v>4.2317935245793397</v>
      </c>
      <c r="N221" s="8">
        <v>12.761794255816</v>
      </c>
      <c r="O221" s="8">
        <v>12.9236305761143</v>
      </c>
      <c r="P221" s="8">
        <v>23.909673777455598</v>
      </c>
      <c r="Q221" s="8">
        <v>22.966385429388001</v>
      </c>
      <c r="R221" s="8">
        <v>3.98005761058708</v>
      </c>
      <c r="S221" s="8">
        <v>2.5800092080275698</v>
      </c>
      <c r="T221" s="8">
        <v>19.7393048851747</v>
      </c>
      <c r="U221" s="8">
        <v>5.3367078266634698</v>
      </c>
      <c r="V221" s="8">
        <v>5.7110512625950998</v>
      </c>
    </row>
    <row r="222" spans="1:22" x14ac:dyDescent="0.2">
      <c r="A222" s="8">
        <v>45</v>
      </c>
      <c r="B222" s="8">
        <f t="shared" si="72"/>
        <v>6.7885714960499657</v>
      </c>
      <c r="C222" s="8" t="s">
        <v>44</v>
      </c>
      <c r="D222" s="8">
        <v>7.9405260882815103</v>
      </c>
      <c r="E222" s="8">
        <v>9.5003169788401305</v>
      </c>
      <c r="F222" s="8">
        <v>3.5328220798829002</v>
      </c>
      <c r="G222" s="8">
        <v>5.8778472871026599</v>
      </c>
      <c r="H222" s="8">
        <v>6.8177003058913002</v>
      </c>
      <c r="I222" s="8">
        <v>5.1701234567249701</v>
      </c>
      <c r="J222" s="8">
        <v>11.6958977979222</v>
      </c>
      <c r="K222" s="8">
        <v>2.5847297265403699</v>
      </c>
      <c r="L222" s="8">
        <v>3.56657616281045</v>
      </c>
      <c r="M222" s="8">
        <v>12.826021889873299</v>
      </c>
      <c r="N222" s="8">
        <v>8.5770017132582499</v>
      </c>
      <c r="O222" s="8">
        <v>2.3812381767708599</v>
      </c>
      <c r="P222" s="8">
        <v>9.1926789892269394</v>
      </c>
      <c r="Q222" s="8">
        <v>3.5086828905909</v>
      </c>
      <c r="R222" s="8">
        <v>15.3650021294659</v>
      </c>
      <c r="S222" s="8">
        <v>7.8475350640213399</v>
      </c>
      <c r="T222" s="8">
        <v>3.35045604332598</v>
      </c>
      <c r="U222" s="8">
        <v>3.1298824288642502</v>
      </c>
      <c r="V222" s="8">
        <v>6.1178192155551203</v>
      </c>
    </row>
    <row r="223" spans="1:22" s="18" customFormat="1" x14ac:dyDescent="0.2">
      <c r="B223" s="18" t="s">
        <v>55</v>
      </c>
      <c r="C223" s="18">
        <f>AVERAGE(C178:C222)</f>
        <v>9.5406892425981358</v>
      </c>
      <c r="D223" s="18">
        <f t="shared" ref="D223" si="73">AVERAGE(D178:D222)</f>
        <v>9.4236245788962929</v>
      </c>
      <c r="E223" s="18">
        <f t="shared" ref="E223" si="74">AVERAGE(E178:E222)</f>
        <v>7.5757564106764379</v>
      </c>
      <c r="F223" s="18">
        <f t="shared" ref="F223" si="75">AVERAGE(F178:F222)</f>
        <v>7.9524656228516761</v>
      </c>
      <c r="G223" s="18">
        <f t="shared" ref="G223" si="76">AVERAGE(G178:G222)</f>
        <v>8.1961254762402529</v>
      </c>
      <c r="H223" s="18">
        <f t="shared" ref="H223" si="77">AVERAGE(H178:H222)</f>
        <v>12.617089891086861</v>
      </c>
      <c r="I223" s="18">
        <f t="shared" ref="I223" si="78">AVERAGE(I178:I222)</f>
        <v>8.1267615364731736</v>
      </c>
      <c r="J223" s="18">
        <f t="shared" ref="J223" si="79">AVERAGE(J178:J222)</f>
        <v>8.5208494046056913</v>
      </c>
      <c r="K223" s="18">
        <f t="shared" ref="K223" si="80">AVERAGE(K178:K222)</f>
        <v>29.99169743164904</v>
      </c>
      <c r="L223" s="18">
        <f t="shared" ref="L223" si="81">AVERAGE(L178:L222)</f>
        <v>7.9428267285771161</v>
      </c>
      <c r="M223" s="18">
        <f t="shared" ref="M223" si="82">AVERAGE(M178:M222)</f>
        <v>8.5549433277456082</v>
      </c>
      <c r="N223" s="18">
        <f t="shared" ref="N223" si="83">AVERAGE(N178:N222)</f>
        <v>9.0478784424978613</v>
      </c>
      <c r="O223" s="18">
        <f t="shared" ref="O223" si="84">AVERAGE(O178:O222)</f>
        <v>7.4067045407851877</v>
      </c>
      <c r="P223" s="18">
        <f t="shared" ref="P223" si="85">AVERAGE(P178:P222)</f>
        <v>9.7105654637098695</v>
      </c>
      <c r="Q223" s="18">
        <f t="shared" ref="Q223" si="86">AVERAGE(Q178:Q222)</f>
        <v>9.2601128571189442</v>
      </c>
      <c r="R223" s="18">
        <f t="shared" ref="R223" si="87">AVERAGE(R178:R222)</f>
        <v>12.634593301299509</v>
      </c>
      <c r="S223" s="18">
        <f t="shared" ref="S223" si="88">AVERAGE(S178:S222)</f>
        <v>7.4199307309133973</v>
      </c>
      <c r="T223" s="18">
        <f t="shared" ref="T223" si="89">AVERAGE(T178:T222)</f>
        <v>8.1128625184021459</v>
      </c>
      <c r="U223" s="18">
        <f t="shared" ref="U223" si="90">AVERAGE(U178:U222)</f>
        <v>7.6656994230247211</v>
      </c>
      <c r="V223" s="18">
        <f t="shared" ref="V223" si="91">AVERAGE(V178:V222)</f>
        <v>7.7898125799080278</v>
      </c>
    </row>
    <row r="224" spans="1:22" x14ac:dyDescent="0.2">
      <c r="C224" s="8">
        <v>10.484749621352824</v>
      </c>
      <c r="D224" s="8">
        <v>10.81422643817433</v>
      </c>
      <c r="E224" s="8">
        <v>8.9395776858783584</v>
      </c>
      <c r="F224" s="8">
        <v>8.3681067309939419</v>
      </c>
      <c r="G224" s="8">
        <v>8.0842296262353699</v>
      </c>
      <c r="H224" s="8">
        <v>14.124077220225239</v>
      </c>
      <c r="I224" s="8">
        <v>8.4813697498396561</v>
      </c>
      <c r="J224" s="8">
        <v>8.3455248345833173</v>
      </c>
      <c r="K224" s="8">
        <v>34.062922728028703</v>
      </c>
      <c r="L224" s="8">
        <v>8.2200838532517544</v>
      </c>
      <c r="M224" s="8">
        <v>8.385584482678567</v>
      </c>
      <c r="N224" s="8">
        <v>9.5791607338946729</v>
      </c>
      <c r="O224" s="8">
        <v>7.7867936285491162</v>
      </c>
      <c r="P224" s="8">
        <v>9.5028115035699212</v>
      </c>
      <c r="Q224" s="8">
        <v>10.042102126824092</v>
      </c>
      <c r="R224" s="8">
        <v>12.344497080003485</v>
      </c>
      <c r="S224" s="8">
        <v>8.4709254368448672</v>
      </c>
      <c r="T224" s="8">
        <v>8.6391757411101526</v>
      </c>
      <c r="U224" s="8">
        <v>8.1646232829261169</v>
      </c>
      <c r="V224" s="8">
        <v>8.0636904398203004</v>
      </c>
    </row>
    <row r="225" spans="3:22" x14ac:dyDescent="0.2">
      <c r="C225" s="8">
        <v>9.5406892425981358</v>
      </c>
      <c r="D225" s="8">
        <v>9.4236245788962929</v>
      </c>
      <c r="E225" s="8">
        <v>7.5757564106764379</v>
      </c>
      <c r="F225" s="8">
        <v>7.9524656228516761</v>
      </c>
      <c r="G225" s="8">
        <v>8.1961254762402529</v>
      </c>
      <c r="H225" s="8">
        <v>12.617089891086861</v>
      </c>
      <c r="I225" s="8">
        <v>8.1267615364731736</v>
      </c>
      <c r="J225" s="8">
        <v>8.5208494046056913</v>
      </c>
      <c r="K225" s="8">
        <v>29.99169743164904</v>
      </c>
      <c r="L225" s="8">
        <v>7.9428267285771161</v>
      </c>
      <c r="M225" s="8">
        <v>8.5549433277456082</v>
      </c>
      <c r="N225" s="8">
        <v>9.0478784424978613</v>
      </c>
      <c r="O225" s="8">
        <v>7.4067045407851877</v>
      </c>
      <c r="P225" s="8">
        <v>9.7105654637098695</v>
      </c>
      <c r="Q225" s="8">
        <v>9.2601128571189442</v>
      </c>
      <c r="R225" s="8">
        <v>12.634593301299509</v>
      </c>
      <c r="S225" s="8">
        <v>7.4199307309133973</v>
      </c>
      <c r="T225" s="8">
        <v>8.1128625184021459</v>
      </c>
      <c r="U225" s="8">
        <v>7.6656994230247211</v>
      </c>
      <c r="V225" s="8">
        <v>7.7898125799080278</v>
      </c>
    </row>
  </sheetData>
  <mergeCells count="18">
    <mergeCell ref="AB78:AG78"/>
    <mergeCell ref="AI78:AM78"/>
    <mergeCell ref="AG5:AK5"/>
    <mergeCell ref="AG42:AK42"/>
    <mergeCell ref="G40:V40"/>
    <mergeCell ref="Y42:AA42"/>
    <mergeCell ref="AB42:AD42"/>
    <mergeCell ref="G42:I42"/>
    <mergeCell ref="J42:L42"/>
    <mergeCell ref="O42:S42"/>
    <mergeCell ref="G3:V3"/>
    <mergeCell ref="Y3:AN3"/>
    <mergeCell ref="Y40:AN40"/>
    <mergeCell ref="G5:I5"/>
    <mergeCell ref="J5:L5"/>
    <mergeCell ref="Y5:AA5"/>
    <mergeCell ref="AB5:AD5"/>
    <mergeCell ref="O5:S5"/>
  </mergeCells>
  <phoneticPr fontId="1" type="noConversion"/>
  <conditionalFormatting sqref="B129:B173">
    <cfRule type="cellIs" dxfId="32" priority="4" operator="greaterThan">
      <formula>10.5</formula>
    </cfRule>
  </conditionalFormatting>
  <conditionalFormatting sqref="B178:B222">
    <cfRule type="top10" dxfId="31" priority="1" percent="1" rank="10"/>
  </conditionalFormatting>
  <conditionalFormatting sqref="AH103:AH122">
    <cfRule type="colorScale" priority="9">
      <colorScale>
        <cfvo type="min"/>
        <cfvo type="max"/>
        <color rgb="FFFCFCFF"/>
        <color rgb="FF63BE7B"/>
      </colorScale>
    </cfRule>
  </conditionalFormatting>
  <conditionalFormatting sqref="AI103:AI122">
    <cfRule type="colorScale" priority="8">
      <colorScale>
        <cfvo type="min"/>
        <cfvo type="max"/>
        <color rgb="FFFCFCFF"/>
        <color rgb="FF63BE7B"/>
      </colorScale>
    </cfRule>
  </conditionalFormatting>
  <conditionalFormatting sqref="AJ103:AJ12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103:AK122">
    <cfRule type="colorScale" priority="6">
      <colorScale>
        <cfvo type="min"/>
        <cfvo type="max"/>
        <color rgb="FFFCFCFF"/>
        <color rgb="FF63BE7B"/>
      </colorScale>
    </cfRule>
  </conditionalFormatting>
  <conditionalFormatting sqref="AL103:AL122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7E3E-646E-40D6-9D3D-DC7B615F187C}">
  <dimension ref="B1:CL70"/>
  <sheetViews>
    <sheetView zoomScale="85" zoomScaleNormal="85" workbookViewId="0">
      <selection activeCell="CA41" sqref="CA41"/>
    </sheetView>
  </sheetViews>
  <sheetFormatPr defaultColWidth="8.625" defaultRowHeight="12.75" x14ac:dyDescent="0.2"/>
  <cols>
    <col min="1" max="1" width="8.625" style="170"/>
    <col min="2" max="2" width="13.75" style="170" customWidth="1"/>
    <col min="3" max="12" width="8.625" style="170" customWidth="1"/>
    <col min="13" max="13" width="8.625" style="170"/>
    <col min="14" max="14" width="14.875" style="170" customWidth="1"/>
    <col min="15" max="16" width="8.75" style="170" bestFit="1" customWidth="1"/>
    <col min="17" max="17" width="8.875" style="170" bestFit="1" customWidth="1"/>
    <col min="18" max="20" width="8.75" style="170" bestFit="1" customWidth="1"/>
    <col min="21" max="21" width="8.875" style="170" bestFit="1" customWidth="1"/>
    <col min="22" max="22" width="8.75" style="170" bestFit="1" customWidth="1"/>
    <col min="23" max="23" width="8.625" style="170"/>
    <col min="24" max="24" width="13.5" style="170" customWidth="1"/>
    <col min="25" max="37" width="8.625" style="170"/>
    <col min="38" max="38" width="9.875" style="170" customWidth="1"/>
    <col min="39" max="59" width="6.625" style="170" customWidth="1"/>
    <col min="60" max="61" width="8.625" style="170"/>
    <col min="62" max="62" width="13.625" style="170" customWidth="1"/>
    <col min="63" max="71" width="8.625" style="170"/>
    <col min="72" max="74" width="8.625" style="170" customWidth="1"/>
    <col min="75" max="82" width="8.625" style="170"/>
    <col min="83" max="83" width="10.875" style="170" customWidth="1"/>
    <col min="84" max="16384" width="8.625" style="170"/>
  </cols>
  <sheetData>
    <row r="1" spans="2:90" ht="13.5" thickBot="1" x14ac:dyDescent="0.25">
      <c r="B1" s="322" t="s">
        <v>224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N1" s="322" t="s">
        <v>206</v>
      </c>
      <c r="O1" s="322"/>
      <c r="P1" s="322"/>
      <c r="Q1" s="322"/>
      <c r="R1" s="322"/>
      <c r="S1" s="322"/>
      <c r="T1" s="322"/>
      <c r="U1" s="322"/>
      <c r="V1" s="322"/>
      <c r="X1" s="322" t="s">
        <v>225</v>
      </c>
      <c r="Y1" s="322"/>
      <c r="Z1" s="322"/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L1" s="321" t="s">
        <v>234</v>
      </c>
      <c r="AM1" s="321"/>
      <c r="AN1" s="321"/>
      <c r="AO1" s="321"/>
      <c r="AP1" s="321"/>
      <c r="AQ1" s="321"/>
      <c r="AR1" s="321"/>
      <c r="AS1" s="321"/>
      <c r="AT1" s="321"/>
      <c r="AU1" s="321"/>
      <c r="AV1" s="321"/>
      <c r="AW1" s="321"/>
      <c r="AX1" s="321"/>
      <c r="AY1" s="321"/>
      <c r="AZ1" s="321"/>
      <c r="BA1" s="321"/>
      <c r="BB1" s="321"/>
      <c r="BC1" s="321"/>
      <c r="BD1" s="321"/>
      <c r="BE1" s="321"/>
      <c r="BF1" s="321"/>
      <c r="BG1" s="321"/>
      <c r="BJ1" s="321" t="s">
        <v>209</v>
      </c>
      <c r="BK1" s="321"/>
      <c r="BL1" s="321"/>
      <c r="BM1" s="321"/>
      <c r="BN1" s="321"/>
      <c r="BO1" s="321"/>
      <c r="BP1" s="321"/>
      <c r="BQ1" s="321"/>
      <c r="BR1" s="321"/>
      <c r="BS1" s="321"/>
      <c r="BT1" s="321"/>
      <c r="BU1" s="321"/>
      <c r="BV1" s="321"/>
      <c r="BW1" s="321"/>
      <c r="BX1" s="321"/>
      <c r="BY1" s="321"/>
      <c r="BZ1" s="321"/>
      <c r="CA1" s="321"/>
      <c r="CB1" s="321"/>
      <c r="CC1" s="321"/>
      <c r="CE1" s="328" t="s">
        <v>228</v>
      </c>
      <c r="CF1" s="328"/>
      <c r="CG1" s="328"/>
      <c r="CH1" s="328"/>
      <c r="CI1" s="328"/>
      <c r="CJ1" s="328"/>
      <c r="CK1" s="328"/>
      <c r="CL1" s="328"/>
    </row>
    <row r="2" spans="2:90" ht="27" thickTop="1" thickBot="1" x14ac:dyDescent="0.25">
      <c r="B2" s="323" t="s">
        <v>184</v>
      </c>
      <c r="C2" s="325" t="s">
        <v>189</v>
      </c>
      <c r="D2" s="326"/>
      <c r="E2" s="326"/>
      <c r="F2" s="326"/>
      <c r="G2" s="323"/>
      <c r="H2" s="325" t="s">
        <v>190</v>
      </c>
      <c r="I2" s="326"/>
      <c r="J2" s="326"/>
      <c r="K2" s="326"/>
      <c r="L2" s="326"/>
      <c r="N2" s="323" t="s">
        <v>184</v>
      </c>
      <c r="O2" s="325" t="s">
        <v>189</v>
      </c>
      <c r="P2" s="326"/>
      <c r="Q2" s="326"/>
      <c r="R2" s="323"/>
      <c r="S2" s="325" t="s">
        <v>190</v>
      </c>
      <c r="T2" s="326"/>
      <c r="U2" s="326"/>
      <c r="V2" s="326"/>
      <c r="X2" s="323" t="s">
        <v>184</v>
      </c>
      <c r="Y2" s="325" t="s">
        <v>207</v>
      </c>
      <c r="Z2" s="326"/>
      <c r="AA2" s="326"/>
      <c r="AB2" s="325" t="s">
        <v>208</v>
      </c>
      <c r="AC2" s="326"/>
      <c r="AD2" s="326"/>
      <c r="AE2" s="325" t="s">
        <v>41</v>
      </c>
      <c r="AF2" s="326"/>
      <c r="AG2" s="326"/>
      <c r="AH2" s="325" t="s">
        <v>40</v>
      </c>
      <c r="AI2" s="326"/>
      <c r="AJ2" s="326"/>
      <c r="AL2" s="316" t="s">
        <v>215</v>
      </c>
      <c r="AM2" s="315" t="s">
        <v>148</v>
      </c>
      <c r="AN2" s="316"/>
      <c r="AO2" s="317"/>
      <c r="AP2" s="315" t="s">
        <v>151</v>
      </c>
      <c r="AQ2" s="316"/>
      <c r="AR2" s="317"/>
      <c r="AS2" s="315" t="s">
        <v>152</v>
      </c>
      <c r="AT2" s="316"/>
      <c r="AU2" s="317"/>
      <c r="AV2" s="315" t="s">
        <v>207</v>
      </c>
      <c r="AW2" s="316"/>
      <c r="AX2" s="319"/>
      <c r="AY2" s="320" t="s">
        <v>208</v>
      </c>
      <c r="AZ2" s="316"/>
      <c r="BA2" s="319"/>
      <c r="BB2" s="320" t="s">
        <v>41</v>
      </c>
      <c r="BC2" s="316"/>
      <c r="BD2" s="317"/>
      <c r="BE2" s="316" t="s">
        <v>40</v>
      </c>
      <c r="BF2" s="316"/>
      <c r="BG2" s="316"/>
      <c r="BJ2" s="317" t="s">
        <v>184</v>
      </c>
      <c r="BK2" s="315" t="s">
        <v>210</v>
      </c>
      <c r="BL2" s="316"/>
      <c r="BM2" s="316"/>
      <c r="BN2" s="316"/>
      <c r="BO2" s="316"/>
      <c r="BP2" s="316"/>
      <c r="BQ2" s="316"/>
      <c r="BR2" s="316"/>
      <c r="BS2" s="317"/>
      <c r="BT2" s="315" t="s">
        <v>211</v>
      </c>
      <c r="BU2" s="316"/>
      <c r="BV2" s="316"/>
      <c r="BW2" s="316"/>
      <c r="BX2" s="316"/>
      <c r="BY2" s="316"/>
      <c r="BZ2" s="316"/>
      <c r="CA2" s="316"/>
      <c r="CB2" s="317"/>
      <c r="CC2" s="315" t="s">
        <v>93</v>
      </c>
      <c r="CE2" s="250" t="s">
        <v>215</v>
      </c>
      <c r="CF2" s="251" t="s">
        <v>148</v>
      </c>
      <c r="CG2" s="225" t="s">
        <v>151</v>
      </c>
      <c r="CH2" s="225" t="s">
        <v>152</v>
      </c>
      <c r="CI2" s="252" t="s">
        <v>207</v>
      </c>
      <c r="CJ2" s="252" t="s">
        <v>208</v>
      </c>
      <c r="CK2" s="252" t="s">
        <v>41</v>
      </c>
      <c r="CL2" s="252" t="s">
        <v>40</v>
      </c>
    </row>
    <row r="3" spans="2:90" ht="27" thickTop="1" thickBot="1" x14ac:dyDescent="0.25">
      <c r="B3" s="324"/>
      <c r="C3" s="173" t="s">
        <v>229</v>
      </c>
      <c r="D3" s="174" t="s">
        <v>232</v>
      </c>
      <c r="E3" s="174" t="s">
        <v>233</v>
      </c>
      <c r="F3" s="174" t="s">
        <v>197</v>
      </c>
      <c r="G3" s="172" t="s">
        <v>198</v>
      </c>
      <c r="H3" s="173" t="s">
        <v>229</v>
      </c>
      <c r="I3" s="174" t="s">
        <v>232</v>
      </c>
      <c r="J3" s="174" t="s">
        <v>233</v>
      </c>
      <c r="K3" s="174" t="s">
        <v>197</v>
      </c>
      <c r="L3" s="174" t="s">
        <v>198</v>
      </c>
      <c r="N3" s="327"/>
      <c r="O3" s="190" t="s">
        <v>230</v>
      </c>
      <c r="P3" s="194" t="s">
        <v>231</v>
      </c>
      <c r="Q3" s="194" t="s">
        <v>197</v>
      </c>
      <c r="R3" s="183" t="s">
        <v>198</v>
      </c>
      <c r="S3" s="190" t="s">
        <v>230</v>
      </c>
      <c r="T3" s="194" t="s">
        <v>231</v>
      </c>
      <c r="U3" s="194" t="s">
        <v>197</v>
      </c>
      <c r="V3" s="194" t="s">
        <v>198</v>
      </c>
      <c r="X3" s="324"/>
      <c r="Y3" s="173" t="s">
        <v>229</v>
      </c>
      <c r="Z3" s="174" t="s">
        <v>232</v>
      </c>
      <c r="AA3" s="174" t="s">
        <v>233</v>
      </c>
      <c r="AB3" s="173" t="s">
        <v>229</v>
      </c>
      <c r="AC3" s="174" t="s">
        <v>232</v>
      </c>
      <c r="AD3" s="174" t="s">
        <v>233</v>
      </c>
      <c r="AE3" s="173" t="s">
        <v>229</v>
      </c>
      <c r="AF3" s="174" t="s">
        <v>232</v>
      </c>
      <c r="AG3" s="174" t="s">
        <v>233</v>
      </c>
      <c r="AH3" s="173" t="s">
        <v>229</v>
      </c>
      <c r="AI3" s="174" t="s">
        <v>232</v>
      </c>
      <c r="AJ3" s="174" t="s">
        <v>233</v>
      </c>
      <c r="AL3" s="318"/>
      <c r="AM3" s="224" t="s">
        <v>229</v>
      </c>
      <c r="AN3" s="225" t="s">
        <v>232</v>
      </c>
      <c r="AO3" s="226" t="s">
        <v>233</v>
      </c>
      <c r="AP3" s="224" t="s">
        <v>229</v>
      </c>
      <c r="AQ3" s="225" t="s">
        <v>232</v>
      </c>
      <c r="AR3" s="226" t="s">
        <v>233</v>
      </c>
      <c r="AS3" s="224" t="s">
        <v>229</v>
      </c>
      <c r="AT3" s="225" t="s">
        <v>232</v>
      </c>
      <c r="AU3" s="226" t="s">
        <v>233</v>
      </c>
      <c r="AV3" s="224" t="s">
        <v>229</v>
      </c>
      <c r="AW3" s="225" t="s">
        <v>232</v>
      </c>
      <c r="AX3" s="225" t="s">
        <v>233</v>
      </c>
      <c r="AY3" s="284" t="s">
        <v>229</v>
      </c>
      <c r="AZ3" s="225" t="s">
        <v>232</v>
      </c>
      <c r="BA3" s="225" t="s">
        <v>233</v>
      </c>
      <c r="BB3" s="284" t="s">
        <v>229</v>
      </c>
      <c r="BC3" s="225" t="s">
        <v>232</v>
      </c>
      <c r="BD3" s="226" t="s">
        <v>233</v>
      </c>
      <c r="BE3" s="174" t="s">
        <v>229</v>
      </c>
      <c r="BF3" s="174" t="s">
        <v>232</v>
      </c>
      <c r="BG3" s="174" t="s">
        <v>233</v>
      </c>
      <c r="BJ3" s="329"/>
      <c r="BK3" s="224" t="s">
        <v>148</v>
      </c>
      <c r="BL3" s="225" t="s">
        <v>213</v>
      </c>
      <c r="BM3" s="225" t="s">
        <v>214</v>
      </c>
      <c r="BN3" s="225" t="s">
        <v>151</v>
      </c>
      <c r="BO3" s="225" t="s">
        <v>152</v>
      </c>
      <c r="BP3" s="225" t="s">
        <v>207</v>
      </c>
      <c r="BQ3" s="225" t="s">
        <v>208</v>
      </c>
      <c r="BR3" s="225" t="s">
        <v>41</v>
      </c>
      <c r="BS3" s="226" t="s">
        <v>40</v>
      </c>
      <c r="BT3" s="224" t="s">
        <v>148</v>
      </c>
      <c r="BU3" s="225" t="s">
        <v>213</v>
      </c>
      <c r="BV3" s="225" t="s">
        <v>214</v>
      </c>
      <c r="BW3" s="225" t="s">
        <v>151</v>
      </c>
      <c r="BX3" s="225" t="s">
        <v>152</v>
      </c>
      <c r="BY3" s="225" t="s">
        <v>207</v>
      </c>
      <c r="BZ3" s="225" t="s">
        <v>208</v>
      </c>
      <c r="CA3" s="225" t="s">
        <v>41</v>
      </c>
      <c r="CB3" s="226" t="s">
        <v>40</v>
      </c>
      <c r="CC3" s="330"/>
      <c r="CE3" s="253" t="s">
        <v>216</v>
      </c>
      <c r="CF3" s="254">
        <v>2.4188816551329002</v>
      </c>
      <c r="CG3" s="255">
        <v>7.3237290837596998</v>
      </c>
      <c r="CH3" s="255">
        <v>5.7672233687117904</v>
      </c>
      <c r="CI3" s="255">
        <v>1.34463606743466</v>
      </c>
      <c r="CJ3" s="255">
        <v>0.79653335436464001</v>
      </c>
      <c r="CK3" s="255">
        <v>3.82147726168016</v>
      </c>
      <c r="CL3" s="255">
        <v>0.11197527199547901</v>
      </c>
    </row>
    <row r="4" spans="2:90" ht="15" thickTop="1" x14ac:dyDescent="0.2">
      <c r="B4" s="171" t="s">
        <v>166</v>
      </c>
      <c r="C4" s="260">
        <v>3.0930578043747898</v>
      </c>
      <c r="D4" s="261">
        <v>3.37399817251814</v>
      </c>
      <c r="E4" s="261">
        <v>4.9573311196218901</v>
      </c>
      <c r="F4" s="175">
        <v>14.4</v>
      </c>
      <c r="G4" s="176">
        <v>5</v>
      </c>
      <c r="H4" s="260">
        <v>4.0274436931917403</v>
      </c>
      <c r="I4" s="261">
        <v>3.4661195078920701</v>
      </c>
      <c r="J4" s="261">
        <v>5.4725647490192202</v>
      </c>
      <c r="K4" s="175">
        <v>23.1</v>
      </c>
      <c r="L4" s="175">
        <v>7</v>
      </c>
      <c r="N4" s="171" t="s">
        <v>166</v>
      </c>
      <c r="O4" s="260">
        <v>3.0930578043747898</v>
      </c>
      <c r="P4" s="175">
        <v>7.6</v>
      </c>
      <c r="Q4" s="175">
        <v>14.4</v>
      </c>
      <c r="R4" s="176">
        <v>5</v>
      </c>
      <c r="S4" s="260">
        <v>4.0274436931917403</v>
      </c>
      <c r="T4" s="175">
        <v>9.5</v>
      </c>
      <c r="U4" s="175">
        <v>23.1</v>
      </c>
      <c r="V4" s="175">
        <v>7</v>
      </c>
      <c r="X4" s="171" t="s">
        <v>166</v>
      </c>
      <c r="Y4" s="197">
        <v>1.4369953251168867E-2</v>
      </c>
      <c r="Z4" s="198">
        <v>5.3598066298342982E-2</v>
      </c>
      <c r="AA4" s="198">
        <v>4.0181553100061163E-2</v>
      </c>
      <c r="AB4" s="197">
        <v>0.25282954685754305</v>
      </c>
      <c r="AC4" s="198">
        <v>0.23416166707052663</v>
      </c>
      <c r="AD4" s="198">
        <v>5.081020694596633E-2</v>
      </c>
      <c r="AE4" s="197">
        <v>0.52670270820394838</v>
      </c>
      <c r="AF4" s="198">
        <v>0.25400861754165838</v>
      </c>
      <c r="AG4" s="198">
        <v>0.24012282951510977</v>
      </c>
      <c r="AH4" s="197">
        <v>3.1681552457546121E-2</v>
      </c>
      <c r="AI4" s="198">
        <v>2.5102574755723698E-2</v>
      </c>
      <c r="AJ4" s="198">
        <v>1.6222752393154741E-2</v>
      </c>
      <c r="AL4" s="253" t="s">
        <v>216</v>
      </c>
      <c r="AM4" s="285">
        <v>1.97347039878991</v>
      </c>
      <c r="AN4" s="286">
        <v>3.0592866398684802</v>
      </c>
      <c r="AO4" s="287">
        <v>3.6031662748770099</v>
      </c>
      <c r="AP4" s="285">
        <v>2.8341689176468599</v>
      </c>
      <c r="AQ4" s="286">
        <v>7.4512268222312796</v>
      </c>
      <c r="AR4" s="287">
        <v>10.613291165399399</v>
      </c>
      <c r="AS4" s="285">
        <v>2.7146860165772302</v>
      </c>
      <c r="AT4" s="286">
        <v>4.3453707455514596</v>
      </c>
      <c r="AU4" s="287">
        <v>5.4285470173063404</v>
      </c>
      <c r="AV4" s="288">
        <v>0.72585489544822601</v>
      </c>
      <c r="AW4" s="289">
        <v>1.6894580393465</v>
      </c>
      <c r="AX4" s="289">
        <v>1.8118472457517201</v>
      </c>
      <c r="AY4" s="307">
        <v>0.94142635051646395</v>
      </c>
      <c r="AZ4" s="290">
        <v>0.938442734186685</v>
      </c>
      <c r="BA4" s="310">
        <v>0.68447692747726097</v>
      </c>
      <c r="BB4" s="291">
        <v>12.910703432698201</v>
      </c>
      <c r="BC4" s="290">
        <v>9.7491868658197696</v>
      </c>
      <c r="BD4" s="292">
        <v>3.2285779219983102</v>
      </c>
      <c r="BE4" s="293">
        <v>0.152350200100211</v>
      </c>
      <c r="BF4" s="289">
        <v>0.21827035928344701</v>
      </c>
      <c r="BG4" s="289">
        <v>0.22527876746798001</v>
      </c>
      <c r="BJ4" s="194" t="s">
        <v>166</v>
      </c>
      <c r="BK4" s="231">
        <v>25.820015171291999</v>
      </c>
      <c r="BL4" s="232">
        <v>-19.085014950587901</v>
      </c>
      <c r="BM4" s="232">
        <v>16.182055834688299</v>
      </c>
      <c r="BN4" s="232">
        <v>25.0219249199803</v>
      </c>
      <c r="BO4" s="232">
        <v>139.705612624949</v>
      </c>
      <c r="BP4" s="232">
        <v>14.2948313303476</v>
      </c>
      <c r="BQ4" s="232">
        <v>5.4310745663320299</v>
      </c>
      <c r="BR4" s="232">
        <v>38.625817053225802</v>
      </c>
      <c r="BS4" s="233">
        <v>0.31578947368421101</v>
      </c>
      <c r="BT4" s="231">
        <v>23.856465579662899</v>
      </c>
      <c r="BU4" s="232">
        <v>-14.458099687876601</v>
      </c>
      <c r="BV4" s="232">
        <v>5.6165709528244498</v>
      </c>
      <c r="BW4" s="216">
        <v>15.510722608978901</v>
      </c>
      <c r="BX4" s="216">
        <v>158.77023160417599</v>
      </c>
      <c r="BY4" s="216">
        <v>14.910476573787699</v>
      </c>
      <c r="BZ4" s="216">
        <v>4.5657731048778603</v>
      </c>
      <c r="CA4" s="240">
        <v>46.411871184285701</v>
      </c>
      <c r="CB4" s="241">
        <v>0.36046511627907002</v>
      </c>
      <c r="CC4" s="216">
        <v>6.7906713842205804</v>
      </c>
      <c r="CE4" s="253" t="s">
        <v>217</v>
      </c>
      <c r="CF4" s="256">
        <v>2.0111538461538498</v>
      </c>
      <c r="CG4" s="257">
        <v>6.1992307692307698</v>
      </c>
      <c r="CH4" s="257">
        <v>4.0003846153846201</v>
      </c>
      <c r="CI4" s="257">
        <v>1.0746153846153801</v>
      </c>
      <c r="CJ4" s="257">
        <v>0.69423076923076898</v>
      </c>
      <c r="CK4" s="257">
        <v>2.855</v>
      </c>
      <c r="CL4" s="257">
        <v>9.3076923076923099E-2</v>
      </c>
    </row>
    <row r="5" spans="2:90" ht="14.25" x14ac:dyDescent="0.2">
      <c r="B5" s="177" t="s">
        <v>199</v>
      </c>
      <c r="C5" s="262">
        <v>1.2689159191519901</v>
      </c>
      <c r="D5" s="263">
        <v>4.5083392488606098</v>
      </c>
      <c r="E5" s="263">
        <v>6.0803428773672703</v>
      </c>
      <c r="F5" s="178">
        <v>10.8</v>
      </c>
      <c r="G5" s="179">
        <v>5.4</v>
      </c>
      <c r="H5" s="262">
        <v>1.34134958905055</v>
      </c>
      <c r="I5" s="263">
        <v>4.7190308160104104</v>
      </c>
      <c r="J5" s="263">
        <v>5.74147536190089</v>
      </c>
      <c r="K5" s="178">
        <v>21.5</v>
      </c>
      <c r="L5" s="178">
        <v>10.7</v>
      </c>
      <c r="N5" s="177" t="s">
        <v>199</v>
      </c>
      <c r="O5" s="262">
        <v>1.2689159191519901</v>
      </c>
      <c r="P5" s="178">
        <v>7.3</v>
      </c>
      <c r="Q5" s="178">
        <v>10.8</v>
      </c>
      <c r="R5" s="179">
        <v>5.4</v>
      </c>
      <c r="S5" s="262">
        <v>1.34134958905055</v>
      </c>
      <c r="T5" s="178">
        <v>9.4</v>
      </c>
      <c r="U5" s="178">
        <v>21.5</v>
      </c>
      <c r="V5" s="178">
        <v>10.7</v>
      </c>
      <c r="X5" s="177" t="s">
        <v>199</v>
      </c>
      <c r="Y5" s="199">
        <v>4.6672077439807044E-2</v>
      </c>
      <c r="Z5" s="200">
        <v>3.9940267599571408E-2</v>
      </c>
      <c r="AA5" s="200">
        <v>2.5987000676938724E-2</v>
      </c>
      <c r="AB5" s="199">
        <v>9.3988814916402388E-2</v>
      </c>
      <c r="AC5" s="200">
        <v>6.0512205152004589E-2</v>
      </c>
      <c r="AD5" s="200">
        <v>3.9038705899046983E-2</v>
      </c>
      <c r="AE5" s="199">
        <v>0.55953195862658522</v>
      </c>
      <c r="AF5" s="200">
        <v>0.52601306910682943</v>
      </c>
      <c r="AG5" s="200">
        <v>0.17964995785797866</v>
      </c>
      <c r="AH5" s="199">
        <v>4.8655972424536058E-4</v>
      </c>
      <c r="AI5" s="200">
        <v>3.6516307304601786E-2</v>
      </c>
      <c r="AJ5" s="200">
        <v>8.4742485306036792E-3</v>
      </c>
      <c r="AL5" s="253" t="s">
        <v>217</v>
      </c>
      <c r="AM5" s="285">
        <v>1.6227766666666701</v>
      </c>
      <c r="AN5" s="286">
        <v>2.4496844444444399</v>
      </c>
      <c r="AO5" s="287">
        <v>2.9231444444444401</v>
      </c>
      <c r="AP5" s="285">
        <v>2.4290366666666698</v>
      </c>
      <c r="AQ5" s="286">
        <v>5.78223833333334</v>
      </c>
      <c r="AR5" s="287">
        <v>9.1203277777777796</v>
      </c>
      <c r="AS5" s="285">
        <v>2.0276900000000002</v>
      </c>
      <c r="AT5" s="286">
        <v>3.3524561111111102</v>
      </c>
      <c r="AU5" s="287">
        <v>3.7246705555555599</v>
      </c>
      <c r="AV5" s="288">
        <v>0.60461082222222196</v>
      </c>
      <c r="AW5" s="289">
        <v>1.3685769000000001</v>
      </c>
      <c r="AX5" s="289">
        <v>1.17920568888889</v>
      </c>
      <c r="AY5" s="308">
        <v>0.77665810555555603</v>
      </c>
      <c r="AZ5" s="289">
        <v>0.788215038888889</v>
      </c>
      <c r="BA5" s="293">
        <v>0.46537580000000001</v>
      </c>
      <c r="BB5" s="294">
        <v>12.0178714944444</v>
      </c>
      <c r="BC5" s="289">
        <v>9.1534797000000001</v>
      </c>
      <c r="BD5" s="295">
        <v>2.6137842777777802</v>
      </c>
      <c r="BE5" s="293">
        <v>0.123969133333333</v>
      </c>
      <c r="BF5" s="289">
        <v>0.196438761111111</v>
      </c>
      <c r="BG5" s="289">
        <v>0.19558404444444399</v>
      </c>
      <c r="BJ5" s="227" t="s">
        <v>199</v>
      </c>
      <c r="BK5" s="234">
        <v>69.235675564823794</v>
      </c>
      <c r="BL5" s="220">
        <v>-38.257146081620697</v>
      </c>
      <c r="BM5" s="220">
        <v>38.388948270039897</v>
      </c>
      <c r="BN5" s="220">
        <v>54.197053200245698</v>
      </c>
      <c r="BO5" s="220">
        <v>134.90147310509201</v>
      </c>
      <c r="BP5" s="220">
        <v>10.2754873730442</v>
      </c>
      <c r="BQ5" s="220">
        <v>5.3210504268844998</v>
      </c>
      <c r="BR5" s="220">
        <v>34.920580487499997</v>
      </c>
      <c r="BS5" s="211">
        <v>1.3947368421052599</v>
      </c>
      <c r="BT5" s="234">
        <v>66.243318528009496</v>
      </c>
      <c r="BU5" s="220">
        <v>-53.611377319393</v>
      </c>
      <c r="BV5" s="220">
        <v>46.5984352304704</v>
      </c>
      <c r="BW5" s="220">
        <v>71.032344351081903</v>
      </c>
      <c r="BX5" s="220">
        <v>139.0031802062</v>
      </c>
      <c r="BY5" s="220">
        <v>11.6215647490645</v>
      </c>
      <c r="BZ5" s="220">
        <v>5.7573551410419403</v>
      </c>
      <c r="CA5" s="242">
        <v>38.315036211538498</v>
      </c>
      <c r="CB5" s="243">
        <v>1.34883720930233</v>
      </c>
      <c r="CC5" s="220">
        <v>5.3801064112179198</v>
      </c>
      <c r="CE5" s="253" t="s">
        <v>226</v>
      </c>
      <c r="CF5" s="256">
        <v>5.7137170045071697</v>
      </c>
      <c r="CG5" s="257">
        <v>13.292833237761799</v>
      </c>
      <c r="CH5" s="257">
        <v>4.2179979580559896</v>
      </c>
      <c r="CI5" s="257">
        <v>11.243556159079199</v>
      </c>
      <c r="CJ5" s="257">
        <v>15.6791751270096</v>
      </c>
      <c r="CK5" s="257">
        <v>7.8982213975446598</v>
      </c>
      <c r="CL5" s="257">
        <v>6.8742096870429004</v>
      </c>
    </row>
    <row r="6" spans="2:90" ht="14.25" x14ac:dyDescent="0.2">
      <c r="B6" s="177" t="s">
        <v>167</v>
      </c>
      <c r="C6" s="262">
        <v>1.5331147841099899</v>
      </c>
      <c r="D6" s="263">
        <v>5.32061356194935</v>
      </c>
      <c r="E6" s="263">
        <v>7.7465262506630204</v>
      </c>
      <c r="F6" s="178">
        <v>10.199999999999999</v>
      </c>
      <c r="G6" s="179">
        <v>3.6</v>
      </c>
      <c r="H6" s="262">
        <v>2.04350115933007</v>
      </c>
      <c r="I6" s="263">
        <v>6.0359490391525199</v>
      </c>
      <c r="J6" s="263">
        <v>9.0562367558174905</v>
      </c>
      <c r="K6" s="178">
        <v>20.7</v>
      </c>
      <c r="L6" s="178">
        <v>7.9</v>
      </c>
      <c r="N6" s="177" t="s">
        <v>167</v>
      </c>
      <c r="O6" s="262">
        <v>1.5331147841099899</v>
      </c>
      <c r="P6" s="178">
        <v>6.3</v>
      </c>
      <c r="Q6" s="178">
        <v>10.199999999999999</v>
      </c>
      <c r="R6" s="179">
        <v>3.6</v>
      </c>
      <c r="S6" s="262">
        <v>2.04350115933007</v>
      </c>
      <c r="T6" s="178">
        <v>7.6</v>
      </c>
      <c r="U6" s="178">
        <v>20.7</v>
      </c>
      <c r="V6" s="178">
        <v>7.9</v>
      </c>
      <c r="X6" s="177" t="s">
        <v>167</v>
      </c>
      <c r="Y6" s="199">
        <v>6.7755192713513223E-3</v>
      </c>
      <c r="Z6" s="200">
        <v>0.10117654498022365</v>
      </c>
      <c r="AA6" s="200">
        <v>9.9094226185973151E-3</v>
      </c>
      <c r="AB6" s="199">
        <v>7.6392829627176861E-2</v>
      </c>
      <c r="AC6" s="200">
        <v>1.1950192562144296E-2</v>
      </c>
      <c r="AD6" s="200">
        <v>0.35561474802542642</v>
      </c>
      <c r="AE6" s="199">
        <v>0.36356778456713146</v>
      </c>
      <c r="AF6" s="200">
        <v>0.42189613317531632</v>
      </c>
      <c r="AG6" s="200">
        <v>0.18317777126480875</v>
      </c>
      <c r="AH6" s="199">
        <v>6.7707766359155652E-2</v>
      </c>
      <c r="AI6" s="200">
        <v>2.8587723573865662E-2</v>
      </c>
      <c r="AJ6" s="200">
        <v>0.10910981164025425</v>
      </c>
      <c r="AL6" s="253" t="s">
        <v>226</v>
      </c>
      <c r="AM6" s="285">
        <v>4.3971221776906999</v>
      </c>
      <c r="AN6" s="286">
        <v>6.7546599041210502</v>
      </c>
      <c r="AO6" s="287">
        <v>8.5723164506298506</v>
      </c>
      <c r="AP6" s="285">
        <v>3.9103997149680301</v>
      </c>
      <c r="AQ6" s="286">
        <v>10.0684294887813</v>
      </c>
      <c r="AR6" s="287">
        <v>14.621401905238301</v>
      </c>
      <c r="AS6" s="285">
        <v>28.839886737969898</v>
      </c>
      <c r="AT6" s="286">
        <v>69.247409132187997</v>
      </c>
      <c r="AU6" s="287">
        <v>130.04364677392601</v>
      </c>
      <c r="AV6" s="288">
        <v>5.6093399664718602</v>
      </c>
      <c r="AW6" s="289">
        <v>12.912055117284201</v>
      </c>
      <c r="AX6" s="289">
        <v>10.001952142535499</v>
      </c>
      <c r="AY6" s="308">
        <v>20.720268947350899</v>
      </c>
      <c r="AZ6" s="289">
        <v>20.251677810730701</v>
      </c>
      <c r="BA6" s="293">
        <v>10.8641692518481</v>
      </c>
      <c r="BB6" s="294">
        <v>54.9830311764862</v>
      </c>
      <c r="BC6" s="289">
        <v>42.2499087121586</v>
      </c>
      <c r="BD6" s="295">
        <v>11.474674423877101</v>
      </c>
      <c r="BE6" s="293">
        <v>9.1892678323928401</v>
      </c>
      <c r="BF6" s="289">
        <v>13.8840648511901</v>
      </c>
      <c r="BG6" s="289">
        <v>13.8358963906764</v>
      </c>
      <c r="BJ6" s="227" t="s">
        <v>167</v>
      </c>
      <c r="BK6" s="234">
        <v>25.584676165183499</v>
      </c>
      <c r="BL6" s="220">
        <v>-40.794697421753803</v>
      </c>
      <c r="BM6" s="220">
        <v>28.525802764376699</v>
      </c>
      <c r="BN6" s="220">
        <v>49.778798308964497</v>
      </c>
      <c r="BO6" s="220">
        <v>145.03672580304399</v>
      </c>
      <c r="BP6" s="220">
        <v>10.2772096940736</v>
      </c>
      <c r="BQ6" s="220">
        <v>4.0854139022812799</v>
      </c>
      <c r="BR6" s="220">
        <v>33.526339490540501</v>
      </c>
      <c r="BS6" s="211">
        <v>1.4736842105263199</v>
      </c>
      <c r="BT6" s="234">
        <v>29.349531192532002</v>
      </c>
      <c r="BU6" s="220">
        <v>-45.782476115613598</v>
      </c>
      <c r="BV6" s="220">
        <v>29.627713877743801</v>
      </c>
      <c r="BW6" s="220">
        <v>54.532894191471101</v>
      </c>
      <c r="BX6" s="220">
        <v>147.09144146397199</v>
      </c>
      <c r="BY6" s="220">
        <v>14.023899401968</v>
      </c>
      <c r="BZ6" s="220">
        <v>3.97406471476158</v>
      </c>
      <c r="CA6" s="242">
        <v>37.558888444047597</v>
      </c>
      <c r="CB6" s="243">
        <v>1.48837209302326</v>
      </c>
      <c r="CC6" s="220">
        <v>3.2929071339712301</v>
      </c>
      <c r="CE6" s="253" t="s">
        <v>227</v>
      </c>
      <c r="CF6" s="256">
        <v>5.6943615235862204</v>
      </c>
      <c r="CG6" s="257">
        <v>13.898504092248301</v>
      </c>
      <c r="CH6" s="257">
        <v>4.1355621415120503</v>
      </c>
      <c r="CI6" s="257">
        <v>10.992074348312</v>
      </c>
      <c r="CJ6" s="257">
        <v>16.800794233011299</v>
      </c>
      <c r="CK6" s="257">
        <v>8.0993090323268895</v>
      </c>
      <c r="CL6" s="257">
        <v>6.64747818742691</v>
      </c>
    </row>
    <row r="7" spans="2:90" ht="14.25" x14ac:dyDescent="0.2">
      <c r="B7" s="180" t="s">
        <v>176</v>
      </c>
      <c r="C7" s="262">
        <v>1.34828349230162</v>
      </c>
      <c r="D7" s="263">
        <v>3.4587553468677501</v>
      </c>
      <c r="E7" s="263">
        <v>2.7823190165629401</v>
      </c>
      <c r="F7" s="178">
        <v>8.8000000000000007</v>
      </c>
      <c r="G7" s="179">
        <v>4.9000000000000004</v>
      </c>
      <c r="H7" s="262">
        <v>1.2946620578499799</v>
      </c>
      <c r="I7" s="263">
        <v>3.3604232148403801</v>
      </c>
      <c r="J7" s="263">
        <v>2.79097004758074</v>
      </c>
      <c r="K7" s="178">
        <v>17.2</v>
      </c>
      <c r="L7" s="178">
        <v>8.1999999999999993</v>
      </c>
      <c r="N7" s="180" t="s">
        <v>176</v>
      </c>
      <c r="O7" s="262">
        <v>1.34828349230162</v>
      </c>
      <c r="P7" s="178">
        <v>8.1</v>
      </c>
      <c r="Q7" s="178">
        <v>8.8000000000000007</v>
      </c>
      <c r="R7" s="179">
        <v>4.9000000000000004</v>
      </c>
      <c r="S7" s="262">
        <v>1.2946620578499799</v>
      </c>
      <c r="T7" s="178">
        <v>8</v>
      </c>
      <c r="U7" s="178">
        <v>17.2</v>
      </c>
      <c r="V7" s="178">
        <v>8.1999999999999993</v>
      </c>
      <c r="X7" s="180" t="s">
        <v>176</v>
      </c>
      <c r="Y7" s="199">
        <v>5.0588059082829123E-2</v>
      </c>
      <c r="Z7" s="200">
        <v>3.5147427438652311E-2</v>
      </c>
      <c r="AA7" s="200">
        <v>2.773473065699816E-2</v>
      </c>
      <c r="AB7" s="199">
        <v>3.7198749674395279E-2</v>
      </c>
      <c r="AC7" s="200">
        <v>4.2537917860554914E-2</v>
      </c>
      <c r="AD7" s="200">
        <v>0.27197336111834636</v>
      </c>
      <c r="AE7" s="199">
        <v>0.4900380597238233</v>
      </c>
      <c r="AF7" s="200">
        <v>0.3059691428886121</v>
      </c>
      <c r="AG7" s="200">
        <v>2.3923429110452622E-2</v>
      </c>
      <c r="AH7" s="199">
        <v>2.5842804458397824E-2</v>
      </c>
      <c r="AI7" s="200">
        <v>6.5468437961274634E-2</v>
      </c>
      <c r="AJ7" s="200">
        <v>3.3862985152383424E-2</v>
      </c>
      <c r="AL7" s="253" t="s">
        <v>227</v>
      </c>
      <c r="AM7" s="285">
        <v>4.3033094882488196</v>
      </c>
      <c r="AN7" s="286">
        <v>6.4560781772978499</v>
      </c>
      <c r="AO7" s="287">
        <v>7.8301719690056997</v>
      </c>
      <c r="AP7" s="285">
        <v>3.97458388174738</v>
      </c>
      <c r="AQ7" s="286">
        <v>9.5321024573496107</v>
      </c>
      <c r="AR7" s="287">
        <v>13.4133576651925</v>
      </c>
      <c r="AS7" s="296">
        <v>20.682737839136699</v>
      </c>
      <c r="AT7" s="297">
        <v>12.273903393867499</v>
      </c>
      <c r="AU7" s="287">
        <v>12.8793327738675</v>
      </c>
      <c r="AV7" s="288">
        <v>5.7941575252027704</v>
      </c>
      <c r="AW7" s="289">
        <v>13.0457489613059</v>
      </c>
      <c r="AX7" s="289">
        <v>10.357658481693001</v>
      </c>
      <c r="AY7" s="308">
        <v>18.576545692543899</v>
      </c>
      <c r="AZ7" s="289">
        <v>17.650259029100098</v>
      </c>
      <c r="BA7" s="293">
        <v>11.085553613172699</v>
      </c>
      <c r="BB7" s="294">
        <v>41.995817778094903</v>
      </c>
      <c r="BC7" s="289">
        <v>34.070803128288603</v>
      </c>
      <c r="BD7" s="295">
        <v>12.2586989194727</v>
      </c>
      <c r="BE7" s="293">
        <v>9.3671800038817601</v>
      </c>
      <c r="BF7" s="289">
        <v>12.857487516924101</v>
      </c>
      <c r="BG7" s="289">
        <v>12.629365310072</v>
      </c>
      <c r="BJ7" s="228" t="s">
        <v>176</v>
      </c>
      <c r="BK7" s="235">
        <v>58.131974725084902</v>
      </c>
      <c r="BL7" s="216">
        <v>47.312592258511103</v>
      </c>
      <c r="BM7" s="216">
        <v>61.7859073202197</v>
      </c>
      <c r="BN7" s="216">
        <v>77.820175594783294</v>
      </c>
      <c r="BO7" s="216">
        <v>52.556893755648403</v>
      </c>
      <c r="BP7" s="216">
        <v>9.2274403588561107</v>
      </c>
      <c r="BQ7" s="216">
        <v>5.8179474579557899</v>
      </c>
      <c r="BR7" s="216">
        <v>29.734623713157902</v>
      </c>
      <c r="BS7" s="212">
        <v>1.9605263157894699</v>
      </c>
      <c r="BT7" s="235">
        <v>59.026079046054399</v>
      </c>
      <c r="BU7" s="216">
        <v>55.161003933672298</v>
      </c>
      <c r="BV7" s="216">
        <v>64.407892097635596</v>
      </c>
      <c r="BW7" s="216">
        <v>84.800429948386906</v>
      </c>
      <c r="BX7" s="216">
        <v>49.422180378202299</v>
      </c>
      <c r="BY7" s="216">
        <v>7.6675272333810902</v>
      </c>
      <c r="BZ7" s="216">
        <v>4.1730626736612999</v>
      </c>
      <c r="CA7" s="240">
        <v>28.306441567499999</v>
      </c>
      <c r="CB7" s="241">
        <v>1.87209302325581</v>
      </c>
      <c r="CC7" s="216">
        <v>3.0108274409970499</v>
      </c>
      <c r="CE7" s="253" t="s">
        <v>218</v>
      </c>
      <c r="CF7" s="256">
        <v>0.988129931760514</v>
      </c>
      <c r="CG7" s="257">
        <v>0.915525750995831</v>
      </c>
      <c r="CH7" s="257">
        <v>0.99652552376471804</v>
      </c>
      <c r="CI7" s="257">
        <v>0.59290551190989604</v>
      </c>
      <c r="CJ7" s="267">
        <v>4.3782806672719103E-2</v>
      </c>
      <c r="CK7" s="257">
        <v>0.55714156569826201</v>
      </c>
      <c r="CL7" s="257">
        <v>0.94931631439432196</v>
      </c>
    </row>
    <row r="8" spans="2:90" ht="14.25" x14ac:dyDescent="0.2">
      <c r="B8" s="181" t="s">
        <v>168</v>
      </c>
      <c r="C8" s="262">
        <v>0.81104262709743502</v>
      </c>
      <c r="D8" s="263">
        <v>1.15706049880469</v>
      </c>
      <c r="E8" s="263">
        <v>2.7707320360717902</v>
      </c>
      <c r="F8" s="178">
        <v>7.5</v>
      </c>
      <c r="G8" s="179">
        <v>3.7</v>
      </c>
      <c r="H8" s="262">
        <v>1.0255065945520501</v>
      </c>
      <c r="I8" s="263">
        <v>1.11735667359114</v>
      </c>
      <c r="J8" s="263">
        <v>3.6320054002319502</v>
      </c>
      <c r="K8" s="178">
        <v>14.8</v>
      </c>
      <c r="L8" s="178">
        <v>7.2</v>
      </c>
      <c r="N8" s="181" t="s">
        <v>168</v>
      </c>
      <c r="O8" s="262">
        <v>0.81104262709743502</v>
      </c>
      <c r="P8" s="178">
        <v>7.7</v>
      </c>
      <c r="Q8" s="178">
        <v>7.5</v>
      </c>
      <c r="R8" s="179">
        <v>3.7</v>
      </c>
      <c r="S8" s="262">
        <v>1.0255065945520501</v>
      </c>
      <c r="T8" s="178">
        <v>8.1999999999999993</v>
      </c>
      <c r="U8" s="178">
        <v>14.8</v>
      </c>
      <c r="V8" s="178">
        <v>7.2</v>
      </c>
      <c r="X8" s="181" t="s">
        <v>168</v>
      </c>
      <c r="Y8" s="199">
        <v>8.4046911055854212E-2</v>
      </c>
      <c r="Z8" s="200">
        <v>0.29482465229283217</v>
      </c>
      <c r="AA8" s="200">
        <v>5.5008758326600425E-2</v>
      </c>
      <c r="AB8" s="199">
        <v>7.8650360346780704E-2</v>
      </c>
      <c r="AC8" s="200">
        <v>5.6829515871818753E-2</v>
      </c>
      <c r="AD8" s="200">
        <v>8.5489180292483508E-2</v>
      </c>
      <c r="AE8" s="199">
        <v>0.31536625072353935</v>
      </c>
      <c r="AF8" s="200">
        <v>0.26074012855644713</v>
      </c>
      <c r="AG8" s="200">
        <v>2.0764268472293349E-2</v>
      </c>
      <c r="AH8" s="199">
        <v>5.6926241513582637E-2</v>
      </c>
      <c r="AI8" s="200">
        <v>5.0241998961665028E-2</v>
      </c>
      <c r="AJ8" s="200">
        <v>5.0241998961665028E-2</v>
      </c>
      <c r="AL8" s="253" t="s">
        <v>218</v>
      </c>
      <c r="AM8" s="285">
        <v>0.98910880809840995</v>
      </c>
      <c r="AN8" s="286">
        <v>0.973826938993683</v>
      </c>
      <c r="AO8" s="287">
        <v>0.96369363369368799</v>
      </c>
      <c r="AP8" s="285">
        <v>0.97134951207262799</v>
      </c>
      <c r="AQ8" s="286">
        <v>0.80196765565400796</v>
      </c>
      <c r="AR8" s="287">
        <v>0.59822702708457198</v>
      </c>
      <c r="AS8" s="285">
        <v>0.99919385944458505</v>
      </c>
      <c r="AT8" s="286">
        <v>0.99793449984960503</v>
      </c>
      <c r="AU8" s="287">
        <v>0.99677641767538805</v>
      </c>
      <c r="AV8" s="288">
        <v>0.917620870420921</v>
      </c>
      <c r="AW8" s="289">
        <v>0.55371488913643396</v>
      </c>
      <c r="AX8" s="289">
        <v>0.48671244018975501</v>
      </c>
      <c r="AY8" s="308">
        <v>-0.16002909669198001</v>
      </c>
      <c r="AZ8" s="289">
        <v>-0.15268790163038101</v>
      </c>
      <c r="BA8" s="293">
        <v>0.38678353197138099</v>
      </c>
      <c r="BB8" s="294">
        <v>-28.086364441508898</v>
      </c>
      <c r="BC8" s="289">
        <v>-15.585417960093899</v>
      </c>
      <c r="BD8" s="298">
        <v>-0.81891404381479005</v>
      </c>
      <c r="BE8" s="293">
        <v>0.88246381430157905</v>
      </c>
      <c r="BF8" s="289">
        <v>0.75874570068532399</v>
      </c>
      <c r="BG8" s="289">
        <v>0.74300418119035305</v>
      </c>
      <c r="BJ8" s="229" t="s">
        <v>168</v>
      </c>
      <c r="BK8" s="236">
        <v>79.960960028916901</v>
      </c>
      <c r="BL8" s="221">
        <v>8.57256868515279</v>
      </c>
      <c r="BM8" s="221">
        <v>80.004767503200597</v>
      </c>
      <c r="BN8" s="221">
        <v>80.462735207690102</v>
      </c>
      <c r="BO8" s="221">
        <v>83.884050865932906</v>
      </c>
      <c r="BP8" s="221">
        <v>6.7926903892994099</v>
      </c>
      <c r="BQ8" s="221">
        <v>3.5082134835530998</v>
      </c>
      <c r="BR8" s="221">
        <v>29.886750844736898</v>
      </c>
      <c r="BS8" s="213">
        <v>2.1578947368421102</v>
      </c>
      <c r="BT8" s="236">
        <v>78.541856823090299</v>
      </c>
      <c r="BU8" s="221">
        <v>6.8523494139743004</v>
      </c>
      <c r="BV8" s="221">
        <v>86.130263611669093</v>
      </c>
      <c r="BW8" s="221">
        <v>86.402413174093695</v>
      </c>
      <c r="BX8" s="221">
        <v>85.451244696741199</v>
      </c>
      <c r="BY8" s="221">
        <v>8.9463696125581702</v>
      </c>
      <c r="BZ8" s="221">
        <v>3.14438811458374</v>
      </c>
      <c r="CA8" s="244">
        <v>28.009198682142902</v>
      </c>
      <c r="CB8" s="245">
        <v>2.0465116279069799</v>
      </c>
      <c r="CC8" s="221">
        <v>2.0650045698702399</v>
      </c>
      <c r="CE8" s="253" t="s">
        <v>219</v>
      </c>
      <c r="CF8" s="256">
        <v>0.98709775191360205</v>
      </c>
      <c r="CG8" s="257">
        <v>0.90818016412590397</v>
      </c>
      <c r="CH8" s="257">
        <v>0.99622339539643301</v>
      </c>
      <c r="CI8" s="257">
        <v>0.55750599120640898</v>
      </c>
      <c r="CJ8" s="267">
        <v>-3.9366514486175001E-2</v>
      </c>
      <c r="CK8" s="257">
        <v>0.51863213662854601</v>
      </c>
      <c r="CL8" s="257">
        <v>0.94490903738513299</v>
      </c>
    </row>
    <row r="9" spans="2:90" ht="14.25" x14ac:dyDescent="0.2">
      <c r="B9" s="182" t="s">
        <v>178</v>
      </c>
      <c r="C9" s="262">
        <v>2.8387097644998298</v>
      </c>
      <c r="D9" s="263">
        <v>3.5661005165729498</v>
      </c>
      <c r="E9" s="263">
        <v>3.10339006714368</v>
      </c>
      <c r="F9" s="178">
        <v>17.7</v>
      </c>
      <c r="G9" s="179">
        <v>5.6</v>
      </c>
      <c r="H9" s="262">
        <v>2.9269502092780799</v>
      </c>
      <c r="I9" s="263">
        <v>5.5957307794601796</v>
      </c>
      <c r="J9" s="263">
        <v>5.0161621569856898</v>
      </c>
      <c r="K9" s="178">
        <v>33.1</v>
      </c>
      <c r="L9" s="178">
        <v>11.5</v>
      </c>
      <c r="N9" s="182" t="s">
        <v>178</v>
      </c>
      <c r="O9" s="262">
        <v>2.8387097644998298</v>
      </c>
      <c r="P9" s="178">
        <v>8.6</v>
      </c>
      <c r="Q9" s="178">
        <v>17.7</v>
      </c>
      <c r="R9" s="179">
        <v>5.6</v>
      </c>
      <c r="S9" s="262">
        <v>2.9269502092780799</v>
      </c>
      <c r="T9" s="178">
        <v>12.6</v>
      </c>
      <c r="U9" s="178">
        <v>33.1</v>
      </c>
      <c r="V9" s="178">
        <v>11.5</v>
      </c>
      <c r="X9" s="182" t="s">
        <v>178</v>
      </c>
      <c r="Y9" s="199">
        <v>4.3376000199380121E-2</v>
      </c>
      <c r="Z9" s="200">
        <v>0.19184345030424435</v>
      </c>
      <c r="AA9" s="200">
        <v>0.3312142577212413</v>
      </c>
      <c r="AB9" s="199">
        <v>0.15355176652454355</v>
      </c>
      <c r="AC9" s="200">
        <v>0.21426759581474031</v>
      </c>
      <c r="AD9" s="200">
        <v>7.3233325440159633E-2</v>
      </c>
      <c r="AE9" s="199">
        <v>0.9689709173868537</v>
      </c>
      <c r="AF9" s="200">
        <v>0.61541665069924623</v>
      </c>
      <c r="AG9" s="200">
        <v>9.5644111286679774E-3</v>
      </c>
      <c r="AH9" s="199">
        <v>1.0325019214860762E-2</v>
      </c>
      <c r="AI9" s="200">
        <v>3.369600388473383E-2</v>
      </c>
      <c r="AJ9" s="200">
        <v>4.1696881519465157E-2</v>
      </c>
      <c r="AL9" s="253" t="s">
        <v>219</v>
      </c>
      <c r="AM9" s="285">
        <v>0.98765664917819795</v>
      </c>
      <c r="AN9" s="286">
        <v>0.97033719752617498</v>
      </c>
      <c r="AO9" s="287">
        <v>0.95885278485284597</v>
      </c>
      <c r="AP9" s="285">
        <v>0.96752944701564603</v>
      </c>
      <c r="AQ9" s="286">
        <v>0.775563343074543</v>
      </c>
      <c r="AR9" s="287">
        <v>0.544657297362515</v>
      </c>
      <c r="AS9" s="285">
        <v>0.99908637403719702</v>
      </c>
      <c r="AT9" s="286">
        <v>0.99765909982955303</v>
      </c>
      <c r="AU9" s="287">
        <v>0.99634660669877395</v>
      </c>
      <c r="AV9" s="288">
        <v>0.90663698647704405</v>
      </c>
      <c r="AW9" s="289">
        <v>0.49421020768795898</v>
      </c>
      <c r="AX9" s="289">
        <v>0.41827409888172301</v>
      </c>
      <c r="AY9" s="308">
        <v>-0.31469964291757702</v>
      </c>
      <c r="AZ9" s="289">
        <v>-0.30637962184776502</v>
      </c>
      <c r="BA9" s="293">
        <v>0.305021336234231</v>
      </c>
      <c r="BB9" s="294">
        <v>-31.9645463670434</v>
      </c>
      <c r="BC9" s="289">
        <v>-17.796807021439701</v>
      </c>
      <c r="BD9" s="298">
        <v>-1.0614359163234299</v>
      </c>
      <c r="BE9" s="293">
        <v>0.86679232287512198</v>
      </c>
      <c r="BF9" s="289">
        <v>0.72657846077669996</v>
      </c>
      <c r="BG9" s="289">
        <v>0.70873807201573302</v>
      </c>
      <c r="BJ9" s="210" t="s">
        <v>178</v>
      </c>
      <c r="BK9" s="237">
        <v>33.562018857159103</v>
      </c>
      <c r="BL9" s="222">
        <v>16.607700079736901</v>
      </c>
      <c r="BM9" s="222">
        <v>-51.411048993307098</v>
      </c>
      <c r="BN9" s="222">
        <v>54.0269530931619</v>
      </c>
      <c r="BO9" s="222">
        <v>287.90240556270697</v>
      </c>
      <c r="BP9" s="222">
        <v>16.991509043564299</v>
      </c>
      <c r="BQ9" s="222">
        <v>5.5654027284960303</v>
      </c>
      <c r="BR9" s="222">
        <v>47.365477467741997</v>
      </c>
      <c r="BS9" s="214">
        <v>0.73684210526315796</v>
      </c>
      <c r="BT9" s="237">
        <v>33.1738251000315</v>
      </c>
      <c r="BU9" s="222">
        <v>2.9579925659146</v>
      </c>
      <c r="BV9" s="222">
        <v>-40.5546191208933</v>
      </c>
      <c r="BW9" s="222">
        <v>40.662351777297999</v>
      </c>
      <c r="BX9" s="222">
        <v>274.17168013281298</v>
      </c>
      <c r="BY9" s="222">
        <v>17.2320649680765</v>
      </c>
      <c r="BZ9" s="222">
        <v>4.3785079883787397</v>
      </c>
      <c r="CA9" s="246">
        <v>46.514807733749997</v>
      </c>
      <c r="CB9" s="247">
        <v>0.72093023255814004</v>
      </c>
      <c r="CC9" s="222">
        <v>5.5557791291493404</v>
      </c>
      <c r="CE9" s="253" t="s">
        <v>220</v>
      </c>
      <c r="CF9" s="256">
        <v>0.99457919108385595</v>
      </c>
      <c r="CG9" s="257">
        <v>0.98252448048583596</v>
      </c>
      <c r="CH9" s="257">
        <v>0.99845496269965694</v>
      </c>
      <c r="CI9" s="257">
        <v>0.84130239611382596</v>
      </c>
      <c r="CJ9" s="267">
        <v>0.65173454919759599</v>
      </c>
      <c r="CK9" s="257">
        <v>0.79596251975376897</v>
      </c>
      <c r="CL9" s="257">
        <v>0.97803716424744003</v>
      </c>
    </row>
    <row r="10" spans="2:90" ht="14.25" x14ac:dyDescent="0.2">
      <c r="B10" s="183" t="s">
        <v>200</v>
      </c>
      <c r="C10" s="262">
        <v>1.39030420917689</v>
      </c>
      <c r="D10" s="263">
        <v>2.1342573460467098</v>
      </c>
      <c r="E10" s="263">
        <v>4.28971898998791</v>
      </c>
      <c r="F10" s="178">
        <v>8.6</v>
      </c>
      <c r="G10" s="179">
        <v>3.1</v>
      </c>
      <c r="H10" s="262">
        <v>1.5118062123490399</v>
      </c>
      <c r="I10" s="263">
        <v>2.44342903357213</v>
      </c>
      <c r="J10" s="263">
        <v>4.6415450489011798</v>
      </c>
      <c r="K10" s="178">
        <v>19.8</v>
      </c>
      <c r="L10" s="178">
        <v>6.2</v>
      </c>
      <c r="N10" s="183" t="s">
        <v>200</v>
      </c>
      <c r="O10" s="262">
        <v>1.39030420917689</v>
      </c>
      <c r="P10" s="178">
        <v>6.9</v>
      </c>
      <c r="Q10" s="178">
        <v>8.6</v>
      </c>
      <c r="R10" s="179">
        <v>3.1</v>
      </c>
      <c r="S10" s="262">
        <v>1.5118062123490399</v>
      </c>
      <c r="T10" s="178">
        <v>8.1</v>
      </c>
      <c r="U10" s="178">
        <v>19.8</v>
      </c>
      <c r="V10" s="178">
        <v>6.2</v>
      </c>
      <c r="X10" s="183" t="s">
        <v>200</v>
      </c>
      <c r="Y10" s="199">
        <v>2.0872920972665483E-4</v>
      </c>
      <c r="Z10" s="200">
        <v>5.7091194404483795E-3</v>
      </c>
      <c r="AA10" s="200">
        <v>0.1246509690836653</v>
      </c>
      <c r="AB10" s="199">
        <v>0.45121110209581589</v>
      </c>
      <c r="AC10" s="200">
        <v>0.31097537213095966</v>
      </c>
      <c r="AD10" s="200">
        <v>4.9563999909937477E-2</v>
      </c>
      <c r="AE10" s="199">
        <v>0.33987585946506199</v>
      </c>
      <c r="AF10" s="200">
        <v>0.58148189382852822</v>
      </c>
      <c r="AG10" s="200">
        <v>0.11814071642507386</v>
      </c>
      <c r="AH10" s="199">
        <v>1.6568104367031909E-2</v>
      </c>
      <c r="AI10" s="200">
        <v>1.5288008003133121E-2</v>
      </c>
      <c r="AJ10" s="200">
        <v>6.7823162777536458E-2</v>
      </c>
      <c r="AL10" s="253" t="s">
        <v>220</v>
      </c>
      <c r="AM10" s="285">
        <v>0.99564917136252296</v>
      </c>
      <c r="AN10" s="286">
        <v>0.98924874936100204</v>
      </c>
      <c r="AO10" s="287">
        <v>0.99072939947831895</v>
      </c>
      <c r="AP10" s="285">
        <v>0.98987613771168803</v>
      </c>
      <c r="AQ10" s="286">
        <v>0.94179471860131703</v>
      </c>
      <c r="AR10" s="287">
        <v>0.93272898880982302</v>
      </c>
      <c r="AS10" s="285">
        <v>0.99960650646359395</v>
      </c>
      <c r="AT10" s="286">
        <v>0.99903126621409399</v>
      </c>
      <c r="AU10" s="287">
        <v>0.99840546179385803</v>
      </c>
      <c r="AV10" s="288">
        <v>0.97812322271219798</v>
      </c>
      <c r="AW10" s="289">
        <v>0.83098830526863099</v>
      </c>
      <c r="AX10" s="289">
        <v>0.92309918224577503</v>
      </c>
      <c r="AY10" s="294">
        <v>0.22918358108472001</v>
      </c>
      <c r="AZ10" s="293">
        <v>0.78685912121129598</v>
      </c>
      <c r="BA10" s="289">
        <v>0.72141111686912196</v>
      </c>
      <c r="BB10" s="288">
        <v>0.49106964902746703</v>
      </c>
      <c r="BC10" s="289">
        <v>0.46103501843994599</v>
      </c>
      <c r="BD10" s="298">
        <v>0.46146077455405299</v>
      </c>
      <c r="BE10" s="293">
        <v>0.96302747476579298</v>
      </c>
      <c r="BF10" s="289">
        <v>0.93327301809984398</v>
      </c>
      <c r="BG10" s="289">
        <v>0.95112225089685098</v>
      </c>
      <c r="BJ10" s="194" t="s">
        <v>200</v>
      </c>
      <c r="BK10" s="235">
        <v>62.083567045748801</v>
      </c>
      <c r="BL10" s="216">
        <v>69.198167869120994</v>
      </c>
      <c r="BM10" s="216">
        <v>-1.4338630056905499</v>
      </c>
      <c r="BN10" s="216">
        <v>69.213021893009</v>
      </c>
      <c r="BO10" s="216">
        <v>358.81293759448602</v>
      </c>
      <c r="BP10" s="216">
        <v>8.6643117845137301</v>
      </c>
      <c r="BQ10" s="216">
        <v>3.7749427332324701</v>
      </c>
      <c r="BR10" s="216">
        <v>30.3763022594595</v>
      </c>
      <c r="BS10" s="212">
        <v>1.98684210526316</v>
      </c>
      <c r="BT10" s="235">
        <v>60.224774878297303</v>
      </c>
      <c r="BU10" s="216">
        <v>68.643843235253101</v>
      </c>
      <c r="BV10" s="216">
        <v>-0.73546030734433199</v>
      </c>
      <c r="BW10" s="216">
        <v>68.647783037543704</v>
      </c>
      <c r="BX10" s="216">
        <v>359.38614801672401</v>
      </c>
      <c r="BY10" s="216">
        <v>7.63382706932203</v>
      </c>
      <c r="BZ10" s="216">
        <v>3.1774155372650399</v>
      </c>
      <c r="CA10" s="240">
        <v>29.275683947619001</v>
      </c>
      <c r="CB10" s="241">
        <v>1.97674418604651</v>
      </c>
      <c r="CC10" s="216">
        <v>1.6412232055679099</v>
      </c>
      <c r="CE10" s="253" t="s">
        <v>221</v>
      </c>
      <c r="CF10" s="256">
        <v>0.97538461538461496</v>
      </c>
      <c r="CG10" s="257">
        <v>0.87076923076923096</v>
      </c>
      <c r="CH10" s="257">
        <v>0.95692307692307699</v>
      </c>
      <c r="CI10" s="267">
        <v>0.52777777777777801</v>
      </c>
      <c r="CJ10" s="267">
        <v>0.44513190725972601</v>
      </c>
      <c r="CK10" s="267">
        <v>0.57538461538461505</v>
      </c>
      <c r="CL10" s="257">
        <v>0.83540372670807495</v>
      </c>
    </row>
    <row r="11" spans="2:90" ht="14.25" x14ac:dyDescent="0.2">
      <c r="B11" s="180" t="s">
        <v>177</v>
      </c>
      <c r="C11" s="262">
        <v>2.1311212459608302</v>
      </c>
      <c r="D11" s="263">
        <v>1.2027762556131201</v>
      </c>
      <c r="E11" s="263">
        <v>3.6196097866566901</v>
      </c>
      <c r="F11" s="178">
        <v>8.6</v>
      </c>
      <c r="G11" s="179">
        <v>4.4000000000000004</v>
      </c>
      <c r="H11" s="262">
        <v>2.1842702121312598</v>
      </c>
      <c r="I11" s="263">
        <v>1.17896732737237</v>
      </c>
      <c r="J11" s="263">
        <v>4.2559297653116701</v>
      </c>
      <c r="K11" s="178">
        <v>15.6</v>
      </c>
      <c r="L11" s="178">
        <v>8.1999999999999993</v>
      </c>
      <c r="N11" s="180" t="s">
        <v>177</v>
      </c>
      <c r="O11" s="262">
        <v>2.1311212459608302</v>
      </c>
      <c r="P11" s="178">
        <v>7.7</v>
      </c>
      <c r="Q11" s="178">
        <v>8.6</v>
      </c>
      <c r="R11" s="179">
        <v>4.4000000000000004</v>
      </c>
      <c r="S11" s="262">
        <v>2.1842702121312598</v>
      </c>
      <c r="T11" s="178">
        <v>8.5</v>
      </c>
      <c r="U11" s="178">
        <v>15.6</v>
      </c>
      <c r="V11" s="178">
        <v>8.1999999999999993</v>
      </c>
      <c r="X11" s="206" t="s">
        <v>177</v>
      </c>
      <c r="Y11" s="207"/>
      <c r="Z11" s="208"/>
      <c r="AA11" s="208"/>
      <c r="AB11" s="207"/>
      <c r="AC11" s="208"/>
      <c r="AD11" s="208"/>
      <c r="AE11" s="207"/>
      <c r="AF11" s="208"/>
      <c r="AG11" s="208"/>
      <c r="AH11" s="207"/>
      <c r="AI11" s="208"/>
      <c r="AJ11" s="208"/>
      <c r="AL11" s="253" t="s">
        <v>221</v>
      </c>
      <c r="AM11" s="285">
        <v>0.973856209150327</v>
      </c>
      <c r="AN11" s="286">
        <v>0.934640522875817</v>
      </c>
      <c r="AO11" s="287">
        <v>0.973856209150327</v>
      </c>
      <c r="AP11" s="285">
        <v>0.908496732026144</v>
      </c>
      <c r="AQ11" s="286">
        <v>0.85620915032679701</v>
      </c>
      <c r="AR11" s="287">
        <v>0.86928104575163401</v>
      </c>
      <c r="AS11" s="285">
        <v>0.973856209150327</v>
      </c>
      <c r="AT11" s="286">
        <v>0.947712418300654</v>
      </c>
      <c r="AU11" s="287">
        <v>0.947712418300654</v>
      </c>
      <c r="AV11" s="288">
        <v>0.84313725490196101</v>
      </c>
      <c r="AW11" s="289">
        <v>0.34640522875816998</v>
      </c>
      <c r="AX11" s="289">
        <v>0.75163398692810501</v>
      </c>
      <c r="AY11" s="294">
        <v>0.15032679738562099</v>
      </c>
      <c r="AZ11" s="289">
        <v>0.58169934640522902</v>
      </c>
      <c r="BA11" s="293">
        <v>0.64705882352941202</v>
      </c>
      <c r="BB11" s="308">
        <v>0.26797385620914999</v>
      </c>
      <c r="BC11" s="293">
        <v>0.34640522875816998</v>
      </c>
      <c r="BD11" s="298">
        <v>0.22875816993464099</v>
      </c>
      <c r="BE11" s="293">
        <v>0.76568073763368905</v>
      </c>
      <c r="BF11" s="289">
        <v>0.66006960140835202</v>
      </c>
      <c r="BG11" s="289">
        <v>0.66006960140835202</v>
      </c>
      <c r="BJ11" s="228" t="s">
        <v>177</v>
      </c>
      <c r="BK11" s="235">
        <v>63.587216172749201</v>
      </c>
      <c r="BL11" s="216">
        <v>45.413298196126398</v>
      </c>
      <c r="BM11" s="216">
        <v>68.882946626824094</v>
      </c>
      <c r="BN11" s="216">
        <v>82.505926993423898</v>
      </c>
      <c r="BO11" s="216">
        <v>56.603847552285899</v>
      </c>
      <c r="BP11" s="216">
        <v>9.6377513093348792</v>
      </c>
      <c r="BQ11" s="216">
        <v>4.2602275112654704</v>
      </c>
      <c r="BR11" s="216">
        <v>27.872928868421099</v>
      </c>
      <c r="BS11" s="212">
        <v>2.0394736842105301</v>
      </c>
      <c r="BT11" s="235">
        <v>63.235249611900898</v>
      </c>
      <c r="BU11" s="216">
        <v>52.462065156455303</v>
      </c>
      <c r="BV11" s="216">
        <v>73.376788453622197</v>
      </c>
      <c r="BW11" s="216">
        <v>90.202113967732501</v>
      </c>
      <c r="BX11" s="216">
        <v>54.436440363366899</v>
      </c>
      <c r="BY11" s="216">
        <v>7.4677923334396397</v>
      </c>
      <c r="BZ11" s="216">
        <v>3.3417944195393998</v>
      </c>
      <c r="CA11" s="240">
        <v>30.3086808174419</v>
      </c>
      <c r="CB11" s="241">
        <v>1.98837209302326</v>
      </c>
      <c r="CC11" s="216">
        <v>2.4075182280506802</v>
      </c>
      <c r="CE11" s="253" t="s">
        <v>222</v>
      </c>
      <c r="CF11" s="256">
        <v>0.99726495726495701</v>
      </c>
      <c r="CG11" s="257">
        <v>0.97128205128205103</v>
      </c>
      <c r="CH11" s="257">
        <v>0.99247863247863199</v>
      </c>
      <c r="CI11" s="257">
        <v>0.72161422708618295</v>
      </c>
      <c r="CJ11" s="267">
        <v>0.618094758483961</v>
      </c>
      <c r="CK11" s="257">
        <v>0.79487179487179505</v>
      </c>
      <c r="CL11" s="257">
        <v>0.94541409993155401</v>
      </c>
    </row>
    <row r="12" spans="2:90" ht="15" thickBot="1" x14ac:dyDescent="0.25">
      <c r="B12" s="184" t="s">
        <v>169</v>
      </c>
      <c r="C12" s="262">
        <v>1.5489667100265401</v>
      </c>
      <c r="D12" s="263">
        <v>18.102556210232802</v>
      </c>
      <c r="E12" s="263">
        <v>2.1249588892532199</v>
      </c>
      <c r="F12" s="178">
        <v>10.3</v>
      </c>
      <c r="G12" s="179">
        <v>3.2</v>
      </c>
      <c r="H12" s="262">
        <v>1.73630672607919</v>
      </c>
      <c r="I12" s="263">
        <v>23.8895770540157</v>
      </c>
      <c r="J12" s="263">
        <v>2.1402503349188202</v>
      </c>
      <c r="K12" s="178">
        <v>19.399999999999999</v>
      </c>
      <c r="L12" s="178">
        <v>6.4</v>
      </c>
      <c r="N12" s="191" t="s">
        <v>169</v>
      </c>
      <c r="O12" s="266">
        <v>1.5489667100265401</v>
      </c>
      <c r="P12" s="192">
        <v>16.8</v>
      </c>
      <c r="Q12" s="192">
        <v>10.3</v>
      </c>
      <c r="R12" s="193">
        <v>3.2</v>
      </c>
      <c r="S12" s="262">
        <v>1.73630672607919</v>
      </c>
      <c r="T12" s="192">
        <v>30</v>
      </c>
      <c r="U12" s="192">
        <v>19.399999999999999</v>
      </c>
      <c r="V12" s="192">
        <v>6.4</v>
      </c>
      <c r="X12" s="184" t="s">
        <v>169</v>
      </c>
      <c r="Y12" s="199"/>
      <c r="Z12" s="200"/>
      <c r="AA12" s="200"/>
      <c r="AB12" s="199"/>
      <c r="AC12" s="200"/>
      <c r="AD12" s="200"/>
      <c r="AE12" s="199"/>
      <c r="AF12" s="200"/>
      <c r="AG12" s="200"/>
      <c r="AH12" s="199"/>
      <c r="AI12" s="200"/>
      <c r="AJ12" s="200"/>
      <c r="AL12" s="253" t="s">
        <v>222</v>
      </c>
      <c r="AM12" s="285">
        <v>0.99587203302373595</v>
      </c>
      <c r="AN12" s="286">
        <v>0.98761609907120695</v>
      </c>
      <c r="AO12" s="287">
        <v>0.99380804953560398</v>
      </c>
      <c r="AP12" s="285">
        <v>0.98348813209494301</v>
      </c>
      <c r="AQ12" s="286">
        <v>0.95665634674922595</v>
      </c>
      <c r="AR12" s="287">
        <v>0.95872033023735803</v>
      </c>
      <c r="AS12" s="285">
        <v>0.99587203302373595</v>
      </c>
      <c r="AT12" s="286">
        <v>0.98968008255934004</v>
      </c>
      <c r="AU12" s="287">
        <v>0.98968008255934004</v>
      </c>
      <c r="AV12" s="288">
        <v>0.94633642930856599</v>
      </c>
      <c r="AW12" s="289">
        <v>0.46336429308565502</v>
      </c>
      <c r="AX12" s="289">
        <v>0.90092879256965896</v>
      </c>
      <c r="AY12" s="294">
        <v>0.22600619195046401</v>
      </c>
      <c r="AZ12" s="309">
        <v>0.76470588235294101</v>
      </c>
      <c r="BA12" s="293">
        <v>0.76676986584107298</v>
      </c>
      <c r="BB12" s="308">
        <v>0.38493292053663603</v>
      </c>
      <c r="BC12" s="293">
        <v>0.46955624355005199</v>
      </c>
      <c r="BD12" s="298">
        <v>0.36842105263157898</v>
      </c>
      <c r="BE12" s="293">
        <v>0.92196394740754195</v>
      </c>
      <c r="BF12" s="289">
        <v>0.816020780805218</v>
      </c>
      <c r="BG12" s="289">
        <v>0.83255825071387402</v>
      </c>
      <c r="BJ12" s="230" t="s">
        <v>169</v>
      </c>
      <c r="BK12" s="238">
        <v>39.499531613649303</v>
      </c>
      <c r="BL12" s="223">
        <v>63.533406872111598</v>
      </c>
      <c r="BM12" s="223">
        <v>45.0264210298199</v>
      </c>
      <c r="BN12" s="223">
        <v>77.870869903526099</v>
      </c>
      <c r="BO12" s="223">
        <v>35.325377903237197</v>
      </c>
      <c r="BP12" s="223">
        <v>11.032252040314599</v>
      </c>
      <c r="BQ12" s="223">
        <v>3.6567984382290901</v>
      </c>
      <c r="BR12" s="223">
        <v>35.747162025000002</v>
      </c>
      <c r="BS12" s="215">
        <v>1.6184210526315801</v>
      </c>
      <c r="BT12" s="238">
        <v>43.250783728321501</v>
      </c>
      <c r="BU12" s="223">
        <v>68.3268493421416</v>
      </c>
      <c r="BV12" s="223">
        <v>53.456969802983501</v>
      </c>
      <c r="BW12" s="223">
        <v>86.753708632777304</v>
      </c>
      <c r="BX12" s="223">
        <v>38.038608237628502</v>
      </c>
      <c r="BY12" s="223">
        <v>9.5738265672391005</v>
      </c>
      <c r="BZ12" s="223">
        <v>3.2840483066368402</v>
      </c>
      <c r="CA12" s="248">
        <v>33.276438196341502</v>
      </c>
      <c r="CB12" s="249">
        <v>1.5813953488372099</v>
      </c>
      <c r="CC12" s="223">
        <v>4.3615657050713903</v>
      </c>
      <c r="CE12" s="252" t="s">
        <v>223</v>
      </c>
      <c r="CF12" s="258">
        <v>4.1379445970610202</v>
      </c>
      <c r="CG12" s="259">
        <v>9.2913051446393702</v>
      </c>
      <c r="CH12" s="259">
        <v>3.4364242489707499</v>
      </c>
      <c r="CI12" s="259">
        <v>12.5622246155189</v>
      </c>
      <c r="CJ12" s="259">
        <v>15.632583405047599</v>
      </c>
      <c r="CK12" s="259">
        <v>10.7350395716518</v>
      </c>
      <c r="CL12" s="259">
        <v>6.9218764602239498</v>
      </c>
    </row>
    <row r="13" spans="2:90" ht="15.75" thickTop="1" thickBot="1" x14ac:dyDescent="0.25">
      <c r="B13" s="184" t="s">
        <v>170</v>
      </c>
      <c r="C13" s="262">
        <v>1.6961089055986101</v>
      </c>
      <c r="D13" s="263">
        <v>3.0579530087212201</v>
      </c>
      <c r="E13" s="263">
        <v>4.5184547831164101</v>
      </c>
      <c r="F13" s="178">
        <v>11.6</v>
      </c>
      <c r="G13" s="179">
        <v>5.0999999999999996</v>
      </c>
      <c r="H13" s="262">
        <v>1.7848747449431499</v>
      </c>
      <c r="I13" s="263">
        <v>2.7585549599095698</v>
      </c>
      <c r="J13" s="263">
        <v>4.5441872660222202</v>
      </c>
      <c r="K13" s="178">
        <v>20.6</v>
      </c>
      <c r="L13" s="178">
        <v>9.4</v>
      </c>
      <c r="N13" s="184" t="s">
        <v>170</v>
      </c>
      <c r="O13" s="262">
        <v>1.6961089055986101</v>
      </c>
      <c r="P13" s="178">
        <v>7</v>
      </c>
      <c r="Q13" s="178">
        <v>11.6</v>
      </c>
      <c r="R13" s="179">
        <v>5.0999999999999996</v>
      </c>
      <c r="S13" s="262">
        <v>1.7848747449431499</v>
      </c>
      <c r="T13" s="178">
        <v>7.9</v>
      </c>
      <c r="U13" s="178">
        <v>20.6</v>
      </c>
      <c r="V13" s="178">
        <v>9.4</v>
      </c>
      <c r="X13" s="184" t="s">
        <v>170</v>
      </c>
      <c r="Y13" s="199">
        <v>9.8550088008833456E-2</v>
      </c>
      <c r="Z13" s="200">
        <v>0.23007755663940979</v>
      </c>
      <c r="AA13" s="200">
        <v>0.20980811770545207</v>
      </c>
      <c r="AB13" s="199">
        <v>0.1382872441646272</v>
      </c>
      <c r="AC13" s="200">
        <v>2.5451781822110234E-2</v>
      </c>
      <c r="AD13" s="200">
        <v>0.35870272148781118</v>
      </c>
      <c r="AE13" s="199">
        <v>0.870933394263676</v>
      </c>
      <c r="AF13" s="200">
        <v>0.67721154980792397</v>
      </c>
      <c r="AG13" s="200">
        <v>8.7831393308124856E-3</v>
      </c>
      <c r="AH13" s="199">
        <v>1.3984441842301324E-3</v>
      </c>
      <c r="AI13" s="200">
        <v>7.1866712553393636E-2</v>
      </c>
      <c r="AJ13" s="200">
        <v>5.2128671781686925E-2</v>
      </c>
      <c r="AL13" s="252" t="s">
        <v>223</v>
      </c>
      <c r="AM13" s="299">
        <v>3.2953796387626002</v>
      </c>
      <c r="AN13" s="300">
        <v>5.5503981218676204</v>
      </c>
      <c r="AO13" s="301">
        <v>5.5481141163188603</v>
      </c>
      <c r="AP13" s="299">
        <v>3.5408737578257701</v>
      </c>
      <c r="AQ13" s="300">
        <v>8.4747130139838092</v>
      </c>
      <c r="AR13" s="301">
        <v>9.1156037090014994</v>
      </c>
      <c r="AS13" s="299">
        <v>1.59644841576428</v>
      </c>
      <c r="AT13" s="300">
        <v>2.5221755238291501</v>
      </c>
      <c r="AU13" s="301">
        <v>3.2250515586194499</v>
      </c>
      <c r="AV13" s="302">
        <v>4.8353556977163699</v>
      </c>
      <c r="AW13" s="303">
        <v>15.464886794266601</v>
      </c>
      <c r="AX13" s="303">
        <v>16.605863935052</v>
      </c>
      <c r="AY13" s="306">
        <v>20.588089860335501</v>
      </c>
      <c r="AZ13" s="305">
        <v>12.7588127324835</v>
      </c>
      <c r="BA13" s="303">
        <v>15.9469890339379</v>
      </c>
      <c r="BB13" s="306">
        <v>13.9595101657568</v>
      </c>
      <c r="BC13" s="305">
        <v>11.705077134900399</v>
      </c>
      <c r="BD13" s="304">
        <v>12.664728384898901</v>
      </c>
      <c r="BE13" s="305">
        <v>7.9974518436868003</v>
      </c>
      <c r="BF13" s="303">
        <v>9.7385394790007709</v>
      </c>
      <c r="BG13" s="303">
        <v>8.43767716256116</v>
      </c>
      <c r="BJ13" s="230" t="s">
        <v>170</v>
      </c>
      <c r="BK13" s="238">
        <v>43.979111519614399</v>
      </c>
      <c r="BL13" s="223">
        <v>66.970279489102793</v>
      </c>
      <c r="BM13" s="223">
        <v>42.839579237956599</v>
      </c>
      <c r="BN13" s="223">
        <v>79.499986692663697</v>
      </c>
      <c r="BO13" s="223">
        <v>32.606252926099003</v>
      </c>
      <c r="BP13" s="223">
        <v>10.4855832818309</v>
      </c>
      <c r="BQ13" s="223">
        <v>4.3412605441080903</v>
      </c>
      <c r="BR13" s="223">
        <v>38.881370502702701</v>
      </c>
      <c r="BS13" s="215">
        <v>1.2763157894736801</v>
      </c>
      <c r="BT13" s="238">
        <v>46.723259188715197</v>
      </c>
      <c r="BU13" s="223">
        <v>70.682928403626804</v>
      </c>
      <c r="BV13" s="223">
        <v>48.272667148866198</v>
      </c>
      <c r="BW13" s="223">
        <v>85.593964514897095</v>
      </c>
      <c r="BX13" s="223">
        <v>34.330990523135398</v>
      </c>
      <c r="BY13" s="223">
        <v>9.7487849704490408</v>
      </c>
      <c r="BZ13" s="223">
        <v>4.5124241212253002</v>
      </c>
      <c r="CA13" s="248">
        <v>31.4089603142857</v>
      </c>
      <c r="CB13" s="249">
        <v>1.4418604651162801</v>
      </c>
      <c r="CC13" s="223">
        <v>3.1768353970230998</v>
      </c>
    </row>
    <row r="14" spans="2:90" ht="15" thickTop="1" x14ac:dyDescent="0.2">
      <c r="B14" s="183" t="s">
        <v>175</v>
      </c>
      <c r="C14" s="262">
        <v>1.03248892980773</v>
      </c>
      <c r="D14" s="263">
        <v>4.0557229957024603</v>
      </c>
      <c r="E14" s="263">
        <v>5.6458947741943799</v>
      </c>
      <c r="F14" s="178">
        <v>12.3</v>
      </c>
      <c r="G14" s="179">
        <v>3.8</v>
      </c>
      <c r="H14" s="262">
        <v>1.49206997409013</v>
      </c>
      <c r="I14" s="263">
        <v>4.6720530960399298</v>
      </c>
      <c r="J14" s="263">
        <v>6.7348233327564397</v>
      </c>
      <c r="K14" s="178">
        <v>28.8</v>
      </c>
      <c r="L14" s="178">
        <v>8.3000000000000007</v>
      </c>
      <c r="N14" s="183" t="s">
        <v>175</v>
      </c>
      <c r="O14" s="262">
        <v>1.03248892980773</v>
      </c>
      <c r="P14" s="178">
        <v>7</v>
      </c>
      <c r="Q14" s="178">
        <v>12.3</v>
      </c>
      <c r="R14" s="179">
        <v>3.8</v>
      </c>
      <c r="S14" s="262">
        <v>1.49206997409013</v>
      </c>
      <c r="T14" s="178">
        <v>8.6</v>
      </c>
      <c r="U14" s="178">
        <v>28.8</v>
      </c>
      <c r="V14" s="178">
        <v>8.3000000000000007</v>
      </c>
      <c r="X14" s="183" t="s">
        <v>175</v>
      </c>
      <c r="Y14" s="199">
        <v>0.10206884816492463</v>
      </c>
      <c r="Z14" s="200">
        <v>0.21261742069976947</v>
      </c>
      <c r="AA14" s="200">
        <v>0.23688516041994576</v>
      </c>
      <c r="AB14" s="199">
        <v>0.30058461587592156</v>
      </c>
      <c r="AC14" s="200">
        <v>7.7535481807670628E-2</v>
      </c>
      <c r="AD14" s="200">
        <v>5.484596182768102E-2</v>
      </c>
      <c r="AE14" s="199">
        <v>0.65769419296599918</v>
      </c>
      <c r="AF14" s="200">
        <v>0.20016493428333473</v>
      </c>
      <c r="AG14" s="200">
        <v>0.2572847080211233</v>
      </c>
      <c r="AH14" s="199">
        <v>4.2476262711501317E-2</v>
      </c>
      <c r="AI14" s="200">
        <v>6.7803685882416309E-2</v>
      </c>
      <c r="AJ14" s="200">
        <v>0.10089558718339088</v>
      </c>
      <c r="BJ14" s="194" t="s">
        <v>175</v>
      </c>
      <c r="BK14" s="235">
        <v>15.4031137744921</v>
      </c>
      <c r="BL14" s="216">
        <v>35.624660569385497</v>
      </c>
      <c r="BM14" s="216">
        <v>-37.131264618231803</v>
      </c>
      <c r="BN14" s="216">
        <v>51.457237127862598</v>
      </c>
      <c r="BO14" s="216">
        <v>313.81370874115601</v>
      </c>
      <c r="BP14" s="216">
        <v>11.038750889813601</v>
      </c>
      <c r="BQ14" s="216">
        <v>3.4119929879945099</v>
      </c>
      <c r="BR14" s="216">
        <v>44.277455096052599</v>
      </c>
      <c r="BS14" s="212">
        <v>1.3815789473684199</v>
      </c>
      <c r="BT14" s="235">
        <v>18.458948831253402</v>
      </c>
      <c r="BU14" s="216">
        <v>31.882733473636002</v>
      </c>
      <c r="BV14" s="216">
        <v>-30.704209718825901</v>
      </c>
      <c r="BW14" s="216">
        <v>44.263497243310503</v>
      </c>
      <c r="BX14" s="216">
        <v>316.078762671802</v>
      </c>
      <c r="BY14" s="216">
        <v>12.930452507133401</v>
      </c>
      <c r="BZ14" s="216">
        <v>3.9924980135063999</v>
      </c>
      <c r="CA14" s="240">
        <v>47.331247674390198</v>
      </c>
      <c r="CB14" s="241">
        <v>1.2906976744186001</v>
      </c>
      <c r="CC14" s="216">
        <v>3.2194583867206998</v>
      </c>
    </row>
    <row r="15" spans="2:90" ht="14.25" x14ac:dyDescent="0.2">
      <c r="B15" s="181" t="s">
        <v>171</v>
      </c>
      <c r="C15" s="262">
        <v>2.0955613998804701</v>
      </c>
      <c r="D15" s="263">
        <v>1.8812588789089499</v>
      </c>
      <c r="E15" s="263">
        <v>2.5036614600571001</v>
      </c>
      <c r="F15" s="178">
        <v>10.1</v>
      </c>
      <c r="G15" s="179">
        <v>3.8</v>
      </c>
      <c r="H15" s="262">
        <v>2.04795073112538</v>
      </c>
      <c r="I15" s="263">
        <v>2.2634949642980602</v>
      </c>
      <c r="J15" s="263">
        <v>3.00724056662047</v>
      </c>
      <c r="K15" s="178">
        <v>19.5</v>
      </c>
      <c r="L15" s="178">
        <v>7.2</v>
      </c>
      <c r="N15" s="181" t="s">
        <v>171</v>
      </c>
      <c r="O15" s="262">
        <v>2.0955613998804701</v>
      </c>
      <c r="P15" s="178">
        <v>7.7</v>
      </c>
      <c r="Q15" s="178">
        <v>10.1</v>
      </c>
      <c r="R15" s="179">
        <v>3.8</v>
      </c>
      <c r="S15" s="262">
        <v>2.04795073112538</v>
      </c>
      <c r="T15" s="178">
        <v>9</v>
      </c>
      <c r="U15" s="178">
        <v>19.5</v>
      </c>
      <c r="V15" s="178">
        <v>7.2</v>
      </c>
      <c r="X15" s="181" t="s">
        <v>171</v>
      </c>
      <c r="Y15" s="199">
        <v>7.625256069569146E-2</v>
      </c>
      <c r="Z15" s="200">
        <v>8.3643697225253985E-2</v>
      </c>
      <c r="AA15" s="200">
        <v>0.13434282733977959</v>
      </c>
      <c r="AB15" s="199">
        <v>0.41963400409764862</v>
      </c>
      <c r="AC15" s="200">
        <v>0.22076226893693371</v>
      </c>
      <c r="AD15" s="200">
        <v>1.5435689559315709E-2</v>
      </c>
      <c r="AE15" s="199">
        <v>0.25769555223065377</v>
      </c>
      <c r="AF15" s="200">
        <v>0.19859090862436118</v>
      </c>
      <c r="AG15" s="200">
        <v>8.4305919979462865E-2</v>
      </c>
      <c r="AH15" s="199">
        <v>3.7097625862524249E-2</v>
      </c>
      <c r="AI15" s="200">
        <v>0.1057282337081942</v>
      </c>
      <c r="AJ15" s="200">
        <v>3.2305849188614864E-2</v>
      </c>
      <c r="BJ15" s="229" t="s">
        <v>171</v>
      </c>
      <c r="BK15" s="236">
        <v>77.287850201022806</v>
      </c>
      <c r="BL15" s="221">
        <v>3.4524192395696098</v>
      </c>
      <c r="BM15" s="221">
        <v>73.751309878783601</v>
      </c>
      <c r="BN15" s="221">
        <v>73.832072349637599</v>
      </c>
      <c r="BO15" s="221">
        <v>87.319847561990599</v>
      </c>
      <c r="BP15" s="221">
        <v>9.2840196198185101</v>
      </c>
      <c r="BQ15" s="221">
        <v>4.5343571987591798</v>
      </c>
      <c r="BR15" s="221">
        <v>30.992557059210501</v>
      </c>
      <c r="BS15" s="213">
        <v>1.9736842105263199</v>
      </c>
      <c r="BT15" s="236">
        <v>74.404714392185795</v>
      </c>
      <c r="BU15" s="221">
        <v>2.7678041101466002</v>
      </c>
      <c r="BV15" s="221">
        <v>78.482387875341999</v>
      </c>
      <c r="BW15" s="221">
        <v>78.531178179165096</v>
      </c>
      <c r="BX15" s="221">
        <v>87.980211837367904</v>
      </c>
      <c r="BY15" s="221">
        <v>9.9507057168904502</v>
      </c>
      <c r="BZ15" s="221">
        <v>2.9428907606880998</v>
      </c>
      <c r="CA15" s="244">
        <v>29.972428674390201</v>
      </c>
      <c r="CB15" s="245">
        <v>1.84883720930233</v>
      </c>
      <c r="CC15" s="221">
        <v>2.40119219955842</v>
      </c>
    </row>
    <row r="16" spans="2:90" ht="14.25" x14ac:dyDescent="0.2">
      <c r="B16" s="184" t="s">
        <v>201</v>
      </c>
      <c r="C16" s="262">
        <v>1.7272038263134</v>
      </c>
      <c r="D16" s="263">
        <v>6.2668072982394296</v>
      </c>
      <c r="E16" s="263">
        <v>5.82983795040305</v>
      </c>
      <c r="F16" s="178">
        <v>7.8</v>
      </c>
      <c r="G16" s="179">
        <v>2.6</v>
      </c>
      <c r="H16" s="262">
        <v>1.9575377764584601</v>
      </c>
      <c r="I16" s="263">
        <v>7.60010166229854</v>
      </c>
      <c r="J16" s="263">
        <v>7.0553861057833398</v>
      </c>
      <c r="K16" s="178">
        <v>16.2</v>
      </c>
      <c r="L16" s="178">
        <v>5.5</v>
      </c>
      <c r="N16" s="184" t="s">
        <v>201</v>
      </c>
      <c r="O16" s="262">
        <v>1.7272038263134</v>
      </c>
      <c r="P16" s="178">
        <v>6.3</v>
      </c>
      <c r="Q16" s="178">
        <v>7.8</v>
      </c>
      <c r="R16" s="179">
        <v>2.6</v>
      </c>
      <c r="S16" s="262">
        <v>1.9575377764584601</v>
      </c>
      <c r="T16" s="178">
        <v>7.4</v>
      </c>
      <c r="U16" s="178">
        <v>16.2</v>
      </c>
      <c r="V16" s="178">
        <v>5.5</v>
      </c>
      <c r="X16" s="184" t="s">
        <v>201</v>
      </c>
      <c r="Y16" s="199">
        <v>1.521825993058412E-2</v>
      </c>
      <c r="Z16" s="200">
        <v>3.756450602709694E-2</v>
      </c>
      <c r="AA16" s="200">
        <v>2.3552941668562102E-2</v>
      </c>
      <c r="AB16" s="199">
        <v>0.55694584395313829</v>
      </c>
      <c r="AC16" s="200">
        <v>0.40677810048802038</v>
      </c>
      <c r="AD16" s="200">
        <v>2.424442995541079E-2</v>
      </c>
      <c r="AE16" s="199">
        <v>0.80247830413201315</v>
      </c>
      <c r="AF16" s="200">
        <v>0.83473587680564687</v>
      </c>
      <c r="AG16" s="200">
        <v>9.2741474381531366E-2</v>
      </c>
      <c r="AH16" s="199">
        <v>8.7610110570718588E-2</v>
      </c>
      <c r="AI16" s="200">
        <v>8.6934186868986046E-2</v>
      </c>
      <c r="AJ16" s="200">
        <v>0.13830438820065982</v>
      </c>
      <c r="BJ16" s="230" t="s">
        <v>201</v>
      </c>
      <c r="BK16" s="238">
        <v>29.512920703247399</v>
      </c>
      <c r="BL16" s="223">
        <v>52.504037337466301</v>
      </c>
      <c r="BM16" s="223">
        <v>36.120028226484301</v>
      </c>
      <c r="BN16" s="223">
        <v>63.728567972425701</v>
      </c>
      <c r="BO16" s="223">
        <v>34.525935157769503</v>
      </c>
      <c r="BP16" s="223">
        <v>7.6882823808715202</v>
      </c>
      <c r="BQ16" s="223">
        <v>3.61673318440159</v>
      </c>
      <c r="BR16" s="223">
        <v>30.559508455714301</v>
      </c>
      <c r="BS16" s="215">
        <v>1.8684210526315801</v>
      </c>
      <c r="BT16" s="238">
        <v>35.113450530321003</v>
      </c>
      <c r="BU16" s="223">
        <v>59.215996143204201</v>
      </c>
      <c r="BV16" s="223">
        <v>45.056495707931298</v>
      </c>
      <c r="BW16" s="223">
        <v>74.408480731102202</v>
      </c>
      <c r="BX16" s="223">
        <v>37.266920618129603</v>
      </c>
      <c r="BY16" s="223">
        <v>8.4523045181722196</v>
      </c>
      <c r="BZ16" s="223">
        <v>3.21540246724572</v>
      </c>
      <c r="CA16" s="248">
        <v>29.8426452195122</v>
      </c>
      <c r="CB16" s="249">
        <v>1.9186046511627901</v>
      </c>
      <c r="CC16" s="223">
        <v>5.4828542390861603</v>
      </c>
    </row>
    <row r="17" spans="2:81" ht="14.25" x14ac:dyDescent="0.2">
      <c r="B17" s="182" t="s">
        <v>172</v>
      </c>
      <c r="C17" s="262">
        <v>1.2257005652281701</v>
      </c>
      <c r="D17" s="263">
        <v>3.85633233825118</v>
      </c>
      <c r="E17" s="263">
        <v>2.66935805351785</v>
      </c>
      <c r="F17" s="178">
        <v>10.4</v>
      </c>
      <c r="G17" s="179">
        <v>4</v>
      </c>
      <c r="H17" s="262">
        <v>1.4182648802748501</v>
      </c>
      <c r="I17" s="263">
        <v>4.6944150678870598</v>
      </c>
      <c r="J17" s="263">
        <v>3.2029652410458298</v>
      </c>
      <c r="K17" s="178">
        <v>19.899999999999999</v>
      </c>
      <c r="L17" s="178">
        <v>7.3</v>
      </c>
      <c r="N17" s="182" t="s">
        <v>172</v>
      </c>
      <c r="O17" s="262">
        <v>1.2257005652281701</v>
      </c>
      <c r="P17" s="178">
        <v>7.6</v>
      </c>
      <c r="Q17" s="178">
        <v>10.4</v>
      </c>
      <c r="R17" s="179">
        <v>4</v>
      </c>
      <c r="S17" s="262">
        <v>1.4182648802748501</v>
      </c>
      <c r="T17" s="178">
        <v>9.6999999999999993</v>
      </c>
      <c r="U17" s="178">
        <v>19.899999999999999</v>
      </c>
      <c r="V17" s="178">
        <v>7.3</v>
      </c>
      <c r="X17" s="182" t="s">
        <v>172</v>
      </c>
      <c r="Y17" s="199">
        <v>0.11055394934201304</v>
      </c>
      <c r="Z17" s="200">
        <v>8.6509118284073358E-2</v>
      </c>
      <c r="AA17" s="200">
        <v>6.1947146703779425E-2</v>
      </c>
      <c r="AB17" s="199">
        <v>1.2535389110707632E-2</v>
      </c>
      <c r="AC17" s="200">
        <v>0.42028736874738998</v>
      </c>
      <c r="AD17" s="200">
        <v>0.20220844255503437</v>
      </c>
      <c r="AE17" s="199">
        <v>0.67849592116528235</v>
      </c>
      <c r="AF17" s="200">
        <v>0.32344504947274999</v>
      </c>
      <c r="AG17" s="200">
        <v>0.1241540659644006</v>
      </c>
      <c r="AH17" s="199">
        <v>5.1846010883756843E-2</v>
      </c>
      <c r="AI17" s="200">
        <v>4.4989319833978608E-2</v>
      </c>
      <c r="AJ17" s="200">
        <v>3.6673758348077359E-2</v>
      </c>
      <c r="BJ17" s="210" t="s">
        <v>172</v>
      </c>
      <c r="BK17" s="237">
        <v>66.231148895013007</v>
      </c>
      <c r="BL17" s="222">
        <v>-19.108017029515501</v>
      </c>
      <c r="BM17" s="222">
        <v>-37.136279603515298</v>
      </c>
      <c r="BN17" s="222">
        <v>41.763854917748198</v>
      </c>
      <c r="BO17" s="222">
        <v>242.77247040655899</v>
      </c>
      <c r="BP17" s="222">
        <v>9.2112321272802706</v>
      </c>
      <c r="BQ17" s="222">
        <v>5.4636882577222101</v>
      </c>
      <c r="BR17" s="222">
        <v>39.262169143055601</v>
      </c>
      <c r="BS17" s="214">
        <v>1.6052631578947401</v>
      </c>
      <c r="BT17" s="237">
        <v>63.735013341098401</v>
      </c>
      <c r="BU17" s="222">
        <v>-14.331075894931301</v>
      </c>
      <c r="BV17" s="222">
        <v>-41.377382174374198</v>
      </c>
      <c r="BW17" s="222">
        <v>43.788896902188597</v>
      </c>
      <c r="BX17" s="222">
        <v>250.896448178507</v>
      </c>
      <c r="BY17" s="222">
        <v>9.8837641128943403</v>
      </c>
      <c r="BZ17" s="222">
        <v>4.4977709750394403</v>
      </c>
      <c r="CA17" s="246">
        <v>36.541191369047603</v>
      </c>
      <c r="CB17" s="247">
        <v>1.51162790697674</v>
      </c>
      <c r="CC17" s="222">
        <v>3.6658511504126401</v>
      </c>
    </row>
    <row r="18" spans="2:81" ht="14.25" x14ac:dyDescent="0.2">
      <c r="B18" s="182" t="s">
        <v>173</v>
      </c>
      <c r="C18" s="262">
        <v>0.61924760010165603</v>
      </c>
      <c r="D18" s="263">
        <v>2.2866187222645</v>
      </c>
      <c r="E18" s="263">
        <v>1.5926717856029</v>
      </c>
      <c r="F18" s="178">
        <v>8.3000000000000007</v>
      </c>
      <c r="G18" s="179">
        <v>4.5999999999999996</v>
      </c>
      <c r="H18" s="262">
        <v>0.85900818885126995</v>
      </c>
      <c r="I18" s="263">
        <v>2.7745110370067301</v>
      </c>
      <c r="J18" s="263">
        <v>2.0521467999019101</v>
      </c>
      <c r="K18" s="178">
        <v>16.899999999999999</v>
      </c>
      <c r="L18" s="178">
        <v>8.8000000000000007</v>
      </c>
      <c r="N18" s="182" t="s">
        <v>173</v>
      </c>
      <c r="O18" s="262">
        <v>0.61924760010165603</v>
      </c>
      <c r="P18" s="178">
        <v>7.7</v>
      </c>
      <c r="Q18" s="178">
        <v>8.3000000000000007</v>
      </c>
      <c r="R18" s="179">
        <v>4.5999999999999996</v>
      </c>
      <c r="S18" s="262">
        <v>0.85900818885126995</v>
      </c>
      <c r="T18" s="178">
        <v>9.3000000000000007</v>
      </c>
      <c r="U18" s="178">
        <v>16.899999999999999</v>
      </c>
      <c r="V18" s="178">
        <v>8.8000000000000007</v>
      </c>
      <c r="X18" s="182" t="s">
        <v>173</v>
      </c>
      <c r="Y18" s="199">
        <v>7.3298699115721441E-2</v>
      </c>
      <c r="Z18" s="200">
        <v>0.18103336424177194</v>
      </c>
      <c r="AA18" s="200">
        <v>9.6907285219846068E-2</v>
      </c>
      <c r="AB18" s="199">
        <v>3.7229496024553721E-2</v>
      </c>
      <c r="AC18" s="200">
        <v>0.18707709507114301</v>
      </c>
      <c r="AD18" s="200">
        <v>7.3733775654348507E-2</v>
      </c>
      <c r="AE18" s="199">
        <v>0.73494773518166678</v>
      </c>
      <c r="AF18" s="200">
        <v>0.31088439987672434</v>
      </c>
      <c r="AG18" s="200">
        <v>5.8988778995750009E-2</v>
      </c>
      <c r="AH18" s="199">
        <v>3.9876592874194511E-2</v>
      </c>
      <c r="AI18" s="200">
        <v>5.0884501721935045E-2</v>
      </c>
      <c r="AJ18" s="200">
        <v>6.5476380892195929E-2</v>
      </c>
      <c r="BJ18" s="210" t="s">
        <v>173</v>
      </c>
      <c r="BK18" s="237">
        <v>63.2227832547565</v>
      </c>
      <c r="BL18" s="222">
        <v>-14.316029685244301</v>
      </c>
      <c r="BM18" s="222">
        <v>-47.082696715046197</v>
      </c>
      <c r="BN18" s="222">
        <v>49.211066193589197</v>
      </c>
      <c r="BO18" s="222">
        <v>253.08750900232701</v>
      </c>
      <c r="BP18" s="222">
        <v>8.9182498855614494</v>
      </c>
      <c r="BQ18" s="222">
        <v>5.13104609632743</v>
      </c>
      <c r="BR18" s="222">
        <v>31.377759152631601</v>
      </c>
      <c r="BS18" s="214">
        <v>2.1052631578947398</v>
      </c>
      <c r="BT18" s="237">
        <v>59.329012090557903</v>
      </c>
      <c r="BU18" s="222">
        <v>-9.2013909629590493</v>
      </c>
      <c r="BV18" s="222">
        <v>-53.1463364239616</v>
      </c>
      <c r="BW18" s="222">
        <v>53.936987966905697</v>
      </c>
      <c r="BX18" s="222">
        <v>260.17757327386101</v>
      </c>
      <c r="BY18" s="222">
        <v>9.3897582818326395</v>
      </c>
      <c r="BZ18" s="222">
        <v>4.7004750161178297</v>
      </c>
      <c r="CA18" s="246">
        <v>30.77733527625</v>
      </c>
      <c r="CB18" s="247">
        <v>1.9186046511627901</v>
      </c>
      <c r="CC18" s="222">
        <v>4.3712026126927803</v>
      </c>
    </row>
    <row r="19" spans="2:81" ht="14.25" x14ac:dyDescent="0.2">
      <c r="B19" s="177" t="s">
        <v>174</v>
      </c>
      <c r="C19" s="262">
        <v>2.1212317034437702</v>
      </c>
      <c r="D19" s="263">
        <v>4.0227876923544796</v>
      </c>
      <c r="E19" s="263">
        <v>6.3124899162306001</v>
      </c>
      <c r="F19" s="178">
        <v>13.4</v>
      </c>
      <c r="G19" s="179">
        <v>5.0999999999999996</v>
      </c>
      <c r="H19" s="262">
        <v>2.3483218409369599</v>
      </c>
      <c r="I19" s="263">
        <v>3.9072087180114901</v>
      </c>
      <c r="J19" s="263">
        <v>6.0750579685802402</v>
      </c>
      <c r="K19" s="178">
        <v>24.7</v>
      </c>
      <c r="L19" s="178">
        <v>10</v>
      </c>
      <c r="N19" s="177" t="s">
        <v>174</v>
      </c>
      <c r="O19" s="262">
        <v>2.1212317034437702</v>
      </c>
      <c r="P19" s="178">
        <v>10</v>
      </c>
      <c r="Q19" s="178">
        <v>13.4</v>
      </c>
      <c r="R19" s="179">
        <v>5.0999999999999996</v>
      </c>
      <c r="S19" s="262">
        <v>2.3483218409369599</v>
      </c>
      <c r="T19" s="178">
        <v>12.6</v>
      </c>
      <c r="U19" s="178">
        <v>24.7</v>
      </c>
      <c r="V19" s="178">
        <v>10</v>
      </c>
      <c r="X19" s="177" t="s">
        <v>174</v>
      </c>
      <c r="Y19" s="199">
        <v>8.0707350583047718E-2</v>
      </c>
      <c r="Z19" s="200">
        <v>3.4575715942282469E-3</v>
      </c>
      <c r="AA19" s="200">
        <v>2.746659318762466E-2</v>
      </c>
      <c r="AB19" s="199">
        <v>0.18423496017123489</v>
      </c>
      <c r="AC19" s="200">
        <v>0.20558844710381213</v>
      </c>
      <c r="AD19" s="200">
        <v>1.5254055075508328E-2</v>
      </c>
      <c r="AE19" s="199">
        <v>0.74616308194040359</v>
      </c>
      <c r="AF19" s="200">
        <v>0.26185299881109519</v>
      </c>
      <c r="AG19" s="200">
        <v>8.5890988920791944E-2</v>
      </c>
      <c r="AH19" s="199">
        <v>5.3704401799913315E-2</v>
      </c>
      <c r="AI19" s="200">
        <v>2.9046503452026567E-2</v>
      </c>
      <c r="AJ19" s="200">
        <v>1.168537495196458E-2</v>
      </c>
      <c r="BJ19" s="227" t="s">
        <v>174</v>
      </c>
      <c r="BK19" s="234">
        <v>42.4866139644542</v>
      </c>
      <c r="BL19" s="220">
        <v>-48.443280742807602</v>
      </c>
      <c r="BM19" s="220">
        <v>39.251732470880697</v>
      </c>
      <c r="BN19" s="220">
        <v>62.349418209732001</v>
      </c>
      <c r="BO19" s="220">
        <v>140.983476432777</v>
      </c>
      <c r="BP19" s="220">
        <v>12.3292292051348</v>
      </c>
      <c r="BQ19" s="220">
        <v>4.9508852409799404</v>
      </c>
      <c r="BR19" s="220">
        <v>38.490745102702697</v>
      </c>
      <c r="BS19" s="211">
        <v>1.2763157894736801</v>
      </c>
      <c r="BT19" s="234">
        <v>43.385286931357903</v>
      </c>
      <c r="BU19" s="220">
        <v>-59.436615320087</v>
      </c>
      <c r="BV19" s="220">
        <v>38.575359173623099</v>
      </c>
      <c r="BW19" s="220">
        <v>70.857389001303403</v>
      </c>
      <c r="BX19" s="220">
        <v>147.01575362561701</v>
      </c>
      <c r="BY19" s="220">
        <v>13.230875955291999</v>
      </c>
      <c r="BZ19" s="220">
        <v>3.9677877966635502</v>
      </c>
      <c r="CA19" s="242">
        <v>32.575827179268302</v>
      </c>
      <c r="CB19" s="243">
        <v>1.47674418604651</v>
      </c>
      <c r="CC19" s="220">
        <v>3.7162420973527399</v>
      </c>
    </row>
    <row r="20" spans="2:81" ht="14.25" x14ac:dyDescent="0.2">
      <c r="B20" s="181" t="s">
        <v>202</v>
      </c>
      <c r="C20" s="262">
        <v>4.1226380214807401</v>
      </c>
      <c r="D20" s="263">
        <v>1.2178591483655701</v>
      </c>
      <c r="E20" s="263">
        <v>3.6801103882802502</v>
      </c>
      <c r="F20" s="178">
        <v>8.4</v>
      </c>
      <c r="G20" s="179">
        <v>3.3</v>
      </c>
      <c r="H20" s="262">
        <v>3.5490984194056501</v>
      </c>
      <c r="I20" s="263">
        <v>1.2304303664245</v>
      </c>
      <c r="J20" s="263">
        <v>4.9271319895608698</v>
      </c>
      <c r="K20" s="178">
        <v>15.6</v>
      </c>
      <c r="L20" s="178">
        <v>5.9</v>
      </c>
      <c r="N20" s="181" t="s">
        <v>202</v>
      </c>
      <c r="O20" s="262">
        <v>4.1226380214807401</v>
      </c>
      <c r="P20" s="178">
        <v>6.5</v>
      </c>
      <c r="Q20" s="178">
        <v>8.4</v>
      </c>
      <c r="R20" s="179">
        <v>3.3</v>
      </c>
      <c r="S20" s="262">
        <v>3.5490984194056501</v>
      </c>
      <c r="T20" s="178">
        <v>7.4</v>
      </c>
      <c r="U20" s="178">
        <v>15.6</v>
      </c>
      <c r="V20" s="178">
        <v>5.9</v>
      </c>
      <c r="X20" s="181" t="s">
        <v>202</v>
      </c>
      <c r="Y20" s="199">
        <v>4.615728012829238E-3</v>
      </c>
      <c r="Z20" s="200">
        <v>0.14959610721389699</v>
      </c>
      <c r="AA20" s="200">
        <v>8.2141995817317723E-2</v>
      </c>
      <c r="AB20" s="199">
        <v>0.49186017425288897</v>
      </c>
      <c r="AC20" s="200">
        <v>0.34152823225563295</v>
      </c>
      <c r="AD20" s="200">
        <v>1.6448086017658074E-2</v>
      </c>
      <c r="AE20" s="199">
        <v>0.19020821961769321</v>
      </c>
      <c r="AF20" s="200">
        <v>0.46211508849840088</v>
      </c>
      <c r="AG20" s="200">
        <v>0.10705002962596774</v>
      </c>
      <c r="AH20" s="199">
        <v>4.1374010031371145E-2</v>
      </c>
      <c r="AI20" s="200">
        <v>1.4637388752578057E-2</v>
      </c>
      <c r="AJ20" s="200">
        <v>2.1433319244846503E-2</v>
      </c>
      <c r="BJ20" s="229" t="s">
        <v>202</v>
      </c>
      <c r="BK20" s="236">
        <v>75.085631774142101</v>
      </c>
      <c r="BL20" s="221">
        <v>10.966576455771801</v>
      </c>
      <c r="BM20" s="221">
        <v>79.9219527757202</v>
      </c>
      <c r="BN20" s="221">
        <v>80.670839431883607</v>
      </c>
      <c r="BO20" s="221">
        <v>82.186890099217507</v>
      </c>
      <c r="BP20" s="221">
        <v>8.3395284326077306</v>
      </c>
      <c r="BQ20" s="221">
        <v>4.3395823050890199</v>
      </c>
      <c r="BR20" s="221">
        <v>26.237158656578998</v>
      </c>
      <c r="BS20" s="213">
        <v>2.2763157894736801</v>
      </c>
      <c r="BT20" s="236">
        <v>74.308655313700399</v>
      </c>
      <c r="BU20" s="221">
        <v>13.8960367694252</v>
      </c>
      <c r="BV20" s="221">
        <v>83.525042014548205</v>
      </c>
      <c r="BW20" s="221">
        <v>84.673091838135093</v>
      </c>
      <c r="BX20" s="221">
        <v>80.554233270488893</v>
      </c>
      <c r="BY20" s="221">
        <v>10.0552295855944</v>
      </c>
      <c r="BZ20" s="221">
        <v>3.6148462854768302</v>
      </c>
      <c r="CA20" s="244">
        <v>27.629218870930199</v>
      </c>
      <c r="CB20" s="245">
        <v>2.0697674418604701</v>
      </c>
      <c r="CC20" s="221">
        <v>1.7082789812736801</v>
      </c>
    </row>
    <row r="21" spans="2:81" ht="14.25" x14ac:dyDescent="0.2">
      <c r="B21" s="177" t="s">
        <v>203</v>
      </c>
      <c r="C21" s="262">
        <v>4.68001326647751</v>
      </c>
      <c r="D21" s="263">
        <v>3.44197126881491</v>
      </c>
      <c r="E21" s="263">
        <v>1.83063575260464</v>
      </c>
      <c r="F21" s="178">
        <v>11.2</v>
      </c>
      <c r="G21" s="179">
        <v>5</v>
      </c>
      <c r="H21" s="262">
        <v>4.8060491311651701</v>
      </c>
      <c r="I21" s="263">
        <v>3.4491328005791702</v>
      </c>
      <c r="J21" s="263">
        <v>1.81726769530859</v>
      </c>
      <c r="K21" s="178">
        <v>21.1</v>
      </c>
      <c r="L21" s="178">
        <v>11</v>
      </c>
      <c r="N21" s="177" t="s">
        <v>203</v>
      </c>
      <c r="O21" s="262">
        <v>4.68001326647751</v>
      </c>
      <c r="P21" s="178">
        <v>6.7</v>
      </c>
      <c r="Q21" s="178">
        <v>11.2</v>
      </c>
      <c r="R21" s="179">
        <v>5</v>
      </c>
      <c r="S21" s="262">
        <v>4.8060491311651701</v>
      </c>
      <c r="T21" s="178">
        <v>8.1</v>
      </c>
      <c r="U21" s="178">
        <v>21.1</v>
      </c>
      <c r="V21" s="178">
        <v>11</v>
      </c>
      <c r="X21" s="177" t="s">
        <v>203</v>
      </c>
      <c r="Y21" s="199">
        <v>9.3082102360241809E-2</v>
      </c>
      <c r="Z21" s="200">
        <v>0.22968335142509361</v>
      </c>
      <c r="AA21" s="200">
        <v>0.14133684350139195</v>
      </c>
      <c r="AB21" s="199">
        <v>1.50662833743654E-3</v>
      </c>
      <c r="AC21" s="200">
        <v>7.4435022990643918E-2</v>
      </c>
      <c r="AD21" s="200">
        <v>2.588102082601023E-2</v>
      </c>
      <c r="AE21" s="199">
        <v>0.38444592134900246</v>
      </c>
      <c r="AF21" s="200">
        <v>0.4945779039351022</v>
      </c>
      <c r="AG21" s="200">
        <v>0.1617704531435662</v>
      </c>
      <c r="AH21" s="199">
        <v>7.2792522534388176E-3</v>
      </c>
      <c r="AI21" s="200">
        <v>2.7919674063656887E-2</v>
      </c>
      <c r="AJ21" s="200">
        <v>1.0168276356517026E-2</v>
      </c>
      <c r="BJ21" s="227" t="s">
        <v>203</v>
      </c>
      <c r="BK21" s="234">
        <v>55.491927511919599</v>
      </c>
      <c r="BL21" s="220">
        <v>-70.171712710571995</v>
      </c>
      <c r="BM21" s="220">
        <v>44.381783577324804</v>
      </c>
      <c r="BN21" s="220">
        <v>83.028982760476794</v>
      </c>
      <c r="BO21" s="220">
        <v>147.68771110146901</v>
      </c>
      <c r="BP21" s="220">
        <v>10.190498141789099</v>
      </c>
      <c r="BQ21" s="220">
        <v>5.3976718670926296</v>
      </c>
      <c r="BR21" s="220">
        <v>31.682437043243201</v>
      </c>
      <c r="BS21" s="211">
        <v>1.90789473684211</v>
      </c>
      <c r="BT21" s="234">
        <v>54.227760399378298</v>
      </c>
      <c r="BU21" s="220">
        <v>-79.990997243249296</v>
      </c>
      <c r="BV21" s="220">
        <v>46.634132303843003</v>
      </c>
      <c r="BW21" s="220">
        <v>92.592126747914406</v>
      </c>
      <c r="BX21" s="220">
        <v>149.75814558503299</v>
      </c>
      <c r="BY21" s="220">
        <v>11.1717635462286</v>
      </c>
      <c r="BZ21" s="220">
        <v>5.1326813572949703</v>
      </c>
      <c r="CA21" s="242">
        <v>27.661146563095201</v>
      </c>
      <c r="CB21" s="243">
        <v>2</v>
      </c>
      <c r="CC21" s="220">
        <v>2.5354199725236799</v>
      </c>
    </row>
    <row r="22" spans="2:81" ht="14.25" x14ac:dyDescent="0.2">
      <c r="B22" s="184" t="s">
        <v>204</v>
      </c>
      <c r="C22" s="262">
        <v>1.19548730586078</v>
      </c>
      <c r="D22" s="263">
        <v>1.66449232092549</v>
      </c>
      <c r="E22" s="263">
        <v>3.4420733687609899</v>
      </c>
      <c r="F22" s="178">
        <v>9.8000000000000007</v>
      </c>
      <c r="G22" s="179">
        <v>3.5</v>
      </c>
      <c r="H22" s="262">
        <v>1.1936011414885599</v>
      </c>
      <c r="I22" s="263">
        <v>1.4544938924956701</v>
      </c>
      <c r="J22" s="263">
        <v>3.38831344874666</v>
      </c>
      <c r="K22" s="178">
        <v>18</v>
      </c>
      <c r="L22" s="178">
        <v>6.8</v>
      </c>
      <c r="N22" s="184" t="s">
        <v>204</v>
      </c>
      <c r="O22" s="262">
        <v>1.19548730586078</v>
      </c>
      <c r="P22" s="178">
        <v>6.8</v>
      </c>
      <c r="Q22" s="178">
        <v>9.8000000000000007</v>
      </c>
      <c r="R22" s="179">
        <v>3.5</v>
      </c>
      <c r="S22" s="262">
        <v>1.1936011414885599</v>
      </c>
      <c r="T22" s="178">
        <v>7.7</v>
      </c>
      <c r="U22" s="178">
        <v>18</v>
      </c>
      <c r="V22" s="178">
        <v>6.8</v>
      </c>
      <c r="X22" s="184" t="s">
        <v>204</v>
      </c>
      <c r="Y22" s="199">
        <v>4.8679122499886644E-2</v>
      </c>
      <c r="Z22" s="200">
        <v>0.19874482428689191</v>
      </c>
      <c r="AA22" s="200">
        <v>0.15603572060271756</v>
      </c>
      <c r="AB22" s="199">
        <v>0.14822153080992828</v>
      </c>
      <c r="AC22" s="200">
        <v>0.49811010496100927</v>
      </c>
      <c r="AD22" s="200">
        <v>6.2723498543002909E-2</v>
      </c>
      <c r="AE22" s="199">
        <v>0.59708267204814691</v>
      </c>
      <c r="AF22" s="200">
        <v>0.49137423438415362</v>
      </c>
      <c r="AG22" s="200">
        <v>9.131968090956652E-2</v>
      </c>
      <c r="AH22" s="199">
        <v>3.3252750201959568E-3</v>
      </c>
      <c r="AI22" s="200">
        <v>7.076185242976725E-2</v>
      </c>
      <c r="AJ22" s="200">
        <v>4.5730448849169381E-2</v>
      </c>
      <c r="BJ22" s="230" t="s">
        <v>204</v>
      </c>
      <c r="BK22" s="238">
        <v>47.867777376320298</v>
      </c>
      <c r="BL22" s="223">
        <v>73.351213734882904</v>
      </c>
      <c r="BM22" s="223">
        <v>46.7406045350874</v>
      </c>
      <c r="BN22" s="223">
        <v>86.977495185167896</v>
      </c>
      <c r="BO22" s="223">
        <v>32.505960056167801</v>
      </c>
      <c r="BP22" s="223">
        <v>9.3559723145051805</v>
      </c>
      <c r="BQ22" s="223">
        <v>3.37024503285893</v>
      </c>
      <c r="BR22" s="223">
        <v>33.482742013513501</v>
      </c>
      <c r="BS22" s="215">
        <v>2.0394736842105301</v>
      </c>
      <c r="BT22" s="238">
        <v>49.839533390940197</v>
      </c>
      <c r="BU22" s="223">
        <v>76.001570057399604</v>
      </c>
      <c r="BV22" s="223">
        <v>57.856595770998403</v>
      </c>
      <c r="BW22" s="223">
        <v>95.517664991343494</v>
      </c>
      <c r="BX22" s="223">
        <v>37.280395733199398</v>
      </c>
      <c r="BY22" s="223">
        <v>9.5247043926176005</v>
      </c>
      <c r="BZ22" s="223">
        <v>2.9001014508855198</v>
      </c>
      <c r="CA22" s="248">
        <v>32.540224959523798</v>
      </c>
      <c r="CB22" s="249">
        <v>1.96511627906977</v>
      </c>
      <c r="CC22" s="223">
        <v>4.5409703465454898</v>
      </c>
    </row>
    <row r="23" spans="2:81" ht="15" thickBot="1" x14ac:dyDescent="0.25">
      <c r="B23" s="185" t="s">
        <v>205</v>
      </c>
      <c r="C23" s="264">
        <v>4.2127763802203297</v>
      </c>
      <c r="D23" s="265">
        <v>6.3560674285102898</v>
      </c>
      <c r="E23" s="265">
        <v>3.7176711628803401</v>
      </c>
      <c r="F23" s="186">
        <v>9.3000000000000007</v>
      </c>
      <c r="G23" s="187">
        <v>3.6</v>
      </c>
      <c r="H23" s="264">
        <v>4.9036327504257899</v>
      </c>
      <c r="I23" s="265">
        <v>6.1050805234840304</v>
      </c>
      <c r="J23" s="265">
        <v>3.8921022380330199</v>
      </c>
      <c r="K23" s="186">
        <v>18.3</v>
      </c>
      <c r="L23" s="186">
        <v>7.8</v>
      </c>
      <c r="N23" s="185" t="s">
        <v>205</v>
      </c>
      <c r="O23" s="264">
        <v>4.2127763802203297</v>
      </c>
      <c r="P23" s="186">
        <v>7.4</v>
      </c>
      <c r="Q23" s="186">
        <v>9.3000000000000007</v>
      </c>
      <c r="R23" s="187">
        <v>3.6</v>
      </c>
      <c r="S23" s="264">
        <v>4.9036327504257899</v>
      </c>
      <c r="T23" s="186">
        <v>7.8</v>
      </c>
      <c r="U23" s="186">
        <v>18.3</v>
      </c>
      <c r="V23" s="186">
        <v>7.8</v>
      </c>
      <c r="X23" s="185" t="s">
        <v>205</v>
      </c>
      <c r="Y23" s="201">
        <v>6.0617245790159272E-2</v>
      </c>
      <c r="Z23" s="202">
        <v>0.18900288310368413</v>
      </c>
      <c r="AA23" s="202">
        <v>1.5240076566112756E-2</v>
      </c>
      <c r="AB23" s="201">
        <v>0.29478542878478714</v>
      </c>
      <c r="AC23" s="202">
        <v>0.25651367195882169</v>
      </c>
      <c r="AD23" s="202">
        <v>0.18034921170816653</v>
      </c>
      <c r="AE23" s="201">
        <v>0.41274709315332503</v>
      </c>
      <c r="AF23" s="202">
        <v>0.38450499428254953</v>
      </c>
      <c r="AG23" s="202">
        <v>0.21780878847041527</v>
      </c>
      <c r="AH23" s="201">
        <v>7.529316523282179E-4</v>
      </c>
      <c r="AI23" s="202">
        <v>3.4810540059301759E-2</v>
      </c>
      <c r="AJ23" s="202">
        <v>8.4403638225978364E-2</v>
      </c>
      <c r="BJ23" s="210" t="s">
        <v>205</v>
      </c>
      <c r="BK23" s="237">
        <v>51.413339182777001</v>
      </c>
      <c r="BL23" s="222">
        <v>0.41971188831556799</v>
      </c>
      <c r="BM23" s="222">
        <v>-61.164443228349498</v>
      </c>
      <c r="BN23" s="222">
        <v>61.165883247960899</v>
      </c>
      <c r="BO23" s="222">
        <v>270.39315885349998</v>
      </c>
      <c r="BP23" s="222">
        <v>8.8123968319373205</v>
      </c>
      <c r="BQ23" s="222">
        <v>3.9973561234577999</v>
      </c>
      <c r="BR23" s="222">
        <v>28.116625089189199</v>
      </c>
      <c r="BS23" s="214">
        <v>1.8947368421052599</v>
      </c>
      <c r="BT23" s="237">
        <v>50.242985252688101</v>
      </c>
      <c r="BU23" s="222">
        <v>7.4143894499749097</v>
      </c>
      <c r="BV23" s="222">
        <v>-67.281290162960602</v>
      </c>
      <c r="BW23" s="222">
        <v>67.688589709849893</v>
      </c>
      <c r="BX23" s="222">
        <v>276.28861305937602</v>
      </c>
      <c r="BY23" s="222">
        <v>7.2340354748085796</v>
      </c>
      <c r="BZ23" s="222">
        <v>2.9579491637919499</v>
      </c>
      <c r="CA23" s="246">
        <v>29.72600984875</v>
      </c>
      <c r="CB23" s="247">
        <v>2.0232558139534902</v>
      </c>
      <c r="CC23" s="222">
        <v>3.0535360395218998</v>
      </c>
    </row>
    <row r="24" spans="2:81" ht="15" thickBot="1" x14ac:dyDescent="0.25">
      <c r="B24" s="188" t="s">
        <v>187</v>
      </c>
      <c r="C24" s="195">
        <v>2.0345987230556539</v>
      </c>
      <c r="D24" s="196">
        <v>4.0466164129262303</v>
      </c>
      <c r="E24" s="196">
        <v>3.9608894214488459</v>
      </c>
      <c r="F24" s="189">
        <v>10.5</v>
      </c>
      <c r="G24" s="188">
        <v>4.0999999999999996</v>
      </c>
      <c r="H24" s="195">
        <v>2.2226103016488663</v>
      </c>
      <c r="I24" s="196">
        <v>4.6358030267170829</v>
      </c>
      <c r="J24" s="196">
        <v>4.4721881136513613</v>
      </c>
      <c r="K24" s="189">
        <v>20.2</v>
      </c>
      <c r="L24" s="189">
        <v>8.1</v>
      </c>
      <c r="N24" s="188" t="s">
        <v>187</v>
      </c>
      <c r="O24" s="195">
        <v>2.0345987230556539</v>
      </c>
      <c r="P24" s="189">
        <v>7.9</v>
      </c>
      <c r="Q24" s="189">
        <v>10.5</v>
      </c>
      <c r="R24" s="188">
        <v>4.0999999999999996</v>
      </c>
      <c r="S24" s="195">
        <v>2.2226103016488663</v>
      </c>
      <c r="T24" s="189">
        <v>9.9</v>
      </c>
      <c r="U24" s="189">
        <v>20.2</v>
      </c>
      <c r="V24" s="189">
        <v>8.1</v>
      </c>
      <c r="X24" s="188" t="s">
        <v>187</v>
      </c>
      <c r="Y24" s="203">
        <v>5.6093400223002784E-2</v>
      </c>
      <c r="Z24" s="204">
        <v>0.12912055161641589</v>
      </c>
      <c r="AA24" s="204">
        <v>0.1000195222731462</v>
      </c>
      <c r="AB24" s="203">
        <v>0.20720269364586286</v>
      </c>
      <c r="AC24" s="204">
        <v>0.20251678014477426</v>
      </c>
      <c r="AD24" s="204">
        <v>0.10864169004673968</v>
      </c>
      <c r="AE24" s="203">
        <v>0.54983031259693371</v>
      </c>
      <c r="AF24" s="204">
        <v>0.42249908747659337</v>
      </c>
      <c r="AG24" s="204">
        <v>0.11474674508432076</v>
      </c>
      <c r="AH24" s="203">
        <v>3.2015498107721863E-2</v>
      </c>
      <c r="AI24" s="204">
        <v>4.7793536320624004E-2</v>
      </c>
      <c r="AJ24" s="204">
        <v>5.1479863011009146E-2</v>
      </c>
      <c r="BJ24" s="18" t="s">
        <v>59</v>
      </c>
      <c r="BK24" s="235">
        <v>85.9260146831014</v>
      </c>
      <c r="BL24" s="216">
        <v>8.8272447656217103</v>
      </c>
      <c r="BM24" s="216">
        <v>12.5059890798955</v>
      </c>
      <c r="BN24" s="216">
        <v>15.3075149197595</v>
      </c>
      <c r="BO24" s="216">
        <v>54.783973384576797</v>
      </c>
      <c r="BP24" s="216">
        <v>9.5677677639882894</v>
      </c>
      <c r="BQ24" s="216">
        <v>3.5965921775555798</v>
      </c>
      <c r="BR24" s="216">
        <v>31.492243278124999</v>
      </c>
      <c r="BS24" s="212">
        <v>1.0526315789473699</v>
      </c>
      <c r="BT24" s="235">
        <v>83.813151337202299</v>
      </c>
      <c r="BU24" s="216">
        <v>7.6936443506759096</v>
      </c>
      <c r="BV24" s="216">
        <v>10.198215728142699</v>
      </c>
      <c r="BW24" s="216">
        <v>12.7748098785236</v>
      </c>
      <c r="BX24" s="216">
        <v>52.968702601885802</v>
      </c>
      <c r="BY24" s="216">
        <v>8.9505230946664796</v>
      </c>
      <c r="BZ24" s="216">
        <v>4.3046362531932401</v>
      </c>
      <c r="CA24" s="240">
        <v>28.798478739473701</v>
      </c>
      <c r="CB24" s="241">
        <v>1.2093023255813999</v>
      </c>
      <c r="CC24" s="216">
        <v>2.1712793141740199</v>
      </c>
    </row>
    <row r="25" spans="2:81" ht="14.25" x14ac:dyDescent="0.2">
      <c r="BJ25" s="18" t="s">
        <v>60</v>
      </c>
      <c r="BK25" s="235">
        <v>86.222022918178098</v>
      </c>
      <c r="BL25" s="216">
        <v>9.3430873090021507</v>
      </c>
      <c r="BM25" s="216">
        <v>12.0175345705205</v>
      </c>
      <c r="BN25" s="216">
        <v>15.2221686239935</v>
      </c>
      <c r="BO25" s="216">
        <v>52.136556162745002</v>
      </c>
      <c r="BP25" s="216">
        <v>8.5864102952854395</v>
      </c>
      <c r="BQ25" s="216">
        <v>4.7194939155993403</v>
      </c>
      <c r="BR25" s="216">
        <v>31.397449200000001</v>
      </c>
      <c r="BS25" s="212">
        <v>1.09210526315789</v>
      </c>
      <c r="BT25" s="235">
        <v>86.293155867905895</v>
      </c>
      <c r="BU25" s="216">
        <v>7.0495334191283696</v>
      </c>
      <c r="BV25" s="216">
        <v>7.86321063148712</v>
      </c>
      <c r="BW25" s="216">
        <v>10.560587240420899</v>
      </c>
      <c r="BX25" s="216">
        <v>48.123106552983998</v>
      </c>
      <c r="BY25" s="216">
        <v>8.7260213344629705</v>
      </c>
      <c r="BZ25" s="216">
        <v>3.6940594260287898</v>
      </c>
      <c r="CA25" s="240">
        <v>28.107021212162199</v>
      </c>
      <c r="CB25" s="241">
        <v>1.18604651162791</v>
      </c>
      <c r="CC25" s="216">
        <v>3.20707621044932</v>
      </c>
    </row>
    <row r="26" spans="2:81" ht="14.25" x14ac:dyDescent="0.2">
      <c r="BJ26" s="18" t="s">
        <v>61</v>
      </c>
      <c r="BK26" s="235">
        <v>80.480341916794202</v>
      </c>
      <c r="BL26" s="216">
        <v>10.0107513655195</v>
      </c>
      <c r="BM26" s="216">
        <v>13.336448111415001</v>
      </c>
      <c r="BN26" s="216">
        <v>16.675610667400299</v>
      </c>
      <c r="BO26" s="216">
        <v>53.1069710799934</v>
      </c>
      <c r="BP26" s="216">
        <v>9.5225795510798008</v>
      </c>
      <c r="BQ26" s="216">
        <v>3.6804820434404002</v>
      </c>
      <c r="BR26" s="216">
        <v>29.649484848648701</v>
      </c>
      <c r="BS26" s="212">
        <v>1.48684210526316</v>
      </c>
      <c r="BT26" s="235">
        <v>81.686566938027198</v>
      </c>
      <c r="BU26" s="216">
        <v>10.3095101295773</v>
      </c>
      <c r="BV26" s="216">
        <v>12.579592688898799</v>
      </c>
      <c r="BW26" s="216">
        <v>16.2644443904627</v>
      </c>
      <c r="BX26" s="216">
        <v>50.663926602779497</v>
      </c>
      <c r="BY26" s="216">
        <v>8.3525574367429396</v>
      </c>
      <c r="BZ26" s="216">
        <v>4.39288045586434</v>
      </c>
      <c r="CA26" s="240">
        <v>30.27021805875</v>
      </c>
      <c r="CB26" s="241">
        <v>1.51162790697674</v>
      </c>
      <c r="CC26" s="216">
        <v>1.0908957989727399</v>
      </c>
    </row>
    <row r="27" spans="2:81" ht="15" thickBot="1" x14ac:dyDescent="0.25">
      <c r="B27" s="322" t="s">
        <v>224</v>
      </c>
      <c r="C27" s="322"/>
      <c r="D27" s="322"/>
      <c r="E27" s="322"/>
      <c r="F27" s="322"/>
      <c r="G27" s="322"/>
      <c r="H27" s="322"/>
      <c r="I27" s="322"/>
      <c r="J27" s="322"/>
      <c r="K27" s="322"/>
      <c r="L27" s="322"/>
      <c r="N27" s="322" t="s">
        <v>206</v>
      </c>
      <c r="O27" s="322"/>
      <c r="P27" s="322"/>
      <c r="Q27" s="322"/>
      <c r="R27" s="322"/>
      <c r="S27" s="322"/>
      <c r="T27" s="322"/>
      <c r="U27" s="322"/>
      <c r="V27" s="322"/>
      <c r="X27" s="322" t="s">
        <v>225</v>
      </c>
      <c r="Y27" s="322"/>
      <c r="Z27" s="322"/>
      <c r="AA27" s="322"/>
      <c r="AB27" s="322"/>
      <c r="AC27" s="322"/>
      <c r="AD27" s="322"/>
      <c r="AE27" s="322"/>
      <c r="AF27" s="322"/>
      <c r="AG27" s="322"/>
      <c r="AH27" s="322"/>
      <c r="AI27" s="322"/>
      <c r="AJ27" s="322"/>
      <c r="BJ27" s="18" t="s">
        <v>62</v>
      </c>
      <c r="BK27" s="235">
        <v>70.926634379313597</v>
      </c>
      <c r="BL27" s="216">
        <v>11.1223061808666</v>
      </c>
      <c r="BM27" s="216">
        <v>18.148627707031601</v>
      </c>
      <c r="BN27" s="216">
        <v>21.285637938041202</v>
      </c>
      <c r="BO27" s="216">
        <v>58.498134500047399</v>
      </c>
      <c r="BP27" s="216">
        <v>12.7312797184885</v>
      </c>
      <c r="BQ27" s="216">
        <v>5.6462363799668998</v>
      </c>
      <c r="BR27" s="216">
        <v>34.510411380000001</v>
      </c>
      <c r="BS27" s="212">
        <v>1.0526315789473699</v>
      </c>
      <c r="BT27" s="235">
        <v>70.150532823012099</v>
      </c>
      <c r="BU27" s="216">
        <v>10.8202830055828</v>
      </c>
      <c r="BV27" s="216">
        <v>19.785358066400502</v>
      </c>
      <c r="BW27" s="216">
        <v>22.5508074830278</v>
      </c>
      <c r="BX27" s="216">
        <v>61.326484999154701</v>
      </c>
      <c r="BY27" s="216">
        <v>11.7659978556696</v>
      </c>
      <c r="BZ27" s="216">
        <v>5.34859360705107</v>
      </c>
      <c r="CA27" s="240">
        <v>32.859933275000003</v>
      </c>
      <c r="CB27" s="241">
        <v>1.03488372093023</v>
      </c>
      <c r="CC27" s="216">
        <v>1.3082670955751801</v>
      </c>
    </row>
    <row r="28" spans="2:81" ht="14.25" x14ac:dyDescent="0.2">
      <c r="B28" s="323" t="s">
        <v>184</v>
      </c>
      <c r="C28" s="325" t="s">
        <v>189</v>
      </c>
      <c r="D28" s="326"/>
      <c r="E28" s="326"/>
      <c r="F28" s="326"/>
      <c r="G28" s="323"/>
      <c r="H28" s="325" t="s">
        <v>190</v>
      </c>
      <c r="I28" s="326"/>
      <c r="J28" s="326"/>
      <c r="K28" s="326"/>
      <c r="L28" s="326"/>
      <c r="N28" s="323" t="s">
        <v>184</v>
      </c>
      <c r="O28" s="325" t="s">
        <v>189</v>
      </c>
      <c r="P28" s="326"/>
      <c r="Q28" s="326"/>
      <c r="R28" s="323"/>
      <c r="S28" s="325" t="s">
        <v>190</v>
      </c>
      <c r="T28" s="326"/>
      <c r="U28" s="326"/>
      <c r="V28" s="326"/>
      <c r="X28" s="323" t="s">
        <v>184</v>
      </c>
      <c r="Y28" s="325" t="s">
        <v>207</v>
      </c>
      <c r="Z28" s="326"/>
      <c r="AA28" s="326"/>
      <c r="AB28" s="325" t="s">
        <v>208</v>
      </c>
      <c r="AC28" s="326"/>
      <c r="AD28" s="326"/>
      <c r="AE28" s="325" t="s">
        <v>41</v>
      </c>
      <c r="AF28" s="326"/>
      <c r="AG28" s="326"/>
      <c r="AH28" s="325" t="s">
        <v>40</v>
      </c>
      <c r="AI28" s="326"/>
      <c r="AJ28" s="326"/>
      <c r="BJ28" s="18" t="s">
        <v>63</v>
      </c>
      <c r="BK28" s="235">
        <v>19.029766932214301</v>
      </c>
      <c r="BL28" s="216">
        <v>8.5188046465091407</v>
      </c>
      <c r="BM28" s="216">
        <v>11.5842216247063</v>
      </c>
      <c r="BN28" s="216">
        <v>14.3792984271034</v>
      </c>
      <c r="BO28" s="216">
        <v>53.6699810934266</v>
      </c>
      <c r="BP28" s="216">
        <v>11.260894805503799</v>
      </c>
      <c r="BQ28" s="216">
        <v>3.7873155853060401</v>
      </c>
      <c r="BR28" s="216">
        <v>48.8862057609375</v>
      </c>
      <c r="BS28" s="212">
        <v>0.78947368421052599</v>
      </c>
      <c r="BT28" s="235">
        <v>18.442517788083698</v>
      </c>
      <c r="BU28" s="216">
        <v>8.84219544774637</v>
      </c>
      <c r="BV28" s="216">
        <v>12.307179318641399</v>
      </c>
      <c r="BW28" s="216">
        <v>15.154243073058501</v>
      </c>
      <c r="BX28" s="216">
        <v>54.304329301989199</v>
      </c>
      <c r="BY28" s="216">
        <v>11.396083257536301</v>
      </c>
      <c r="BZ28" s="216">
        <v>4.5737937372359996</v>
      </c>
      <c r="CA28" s="240">
        <v>37.952358881579002</v>
      </c>
      <c r="CB28" s="241">
        <v>1</v>
      </c>
      <c r="CC28" s="216">
        <v>0.64443964468391701</v>
      </c>
    </row>
    <row r="29" spans="2:81" ht="26.25" thickBot="1" x14ac:dyDescent="0.25">
      <c r="B29" s="324"/>
      <c r="C29" s="173" t="s">
        <v>229</v>
      </c>
      <c r="D29" s="174" t="s">
        <v>232</v>
      </c>
      <c r="E29" s="174" t="s">
        <v>233</v>
      </c>
      <c r="F29" s="174" t="s">
        <v>197</v>
      </c>
      <c r="G29" s="172" t="s">
        <v>198</v>
      </c>
      <c r="H29" s="173" t="s">
        <v>229</v>
      </c>
      <c r="I29" s="174" t="s">
        <v>232</v>
      </c>
      <c r="J29" s="174" t="s">
        <v>233</v>
      </c>
      <c r="K29" s="174" t="s">
        <v>197</v>
      </c>
      <c r="L29" s="174" t="s">
        <v>198</v>
      </c>
      <c r="N29" s="327"/>
      <c r="O29" s="190" t="s">
        <v>230</v>
      </c>
      <c r="P29" s="194" t="s">
        <v>231</v>
      </c>
      <c r="Q29" s="194" t="s">
        <v>197</v>
      </c>
      <c r="R29" s="183" t="s">
        <v>198</v>
      </c>
      <c r="S29" s="190" t="s">
        <v>230</v>
      </c>
      <c r="T29" s="194" t="s">
        <v>231</v>
      </c>
      <c r="U29" s="194" t="s">
        <v>197</v>
      </c>
      <c r="V29" s="194" t="s">
        <v>198</v>
      </c>
      <c r="X29" s="324"/>
      <c r="Y29" s="173" t="s">
        <v>229</v>
      </c>
      <c r="Z29" s="174" t="s">
        <v>232</v>
      </c>
      <c r="AA29" s="174" t="s">
        <v>233</v>
      </c>
      <c r="AB29" s="173" t="s">
        <v>229</v>
      </c>
      <c r="AC29" s="174" t="s">
        <v>232</v>
      </c>
      <c r="AD29" s="174" t="s">
        <v>233</v>
      </c>
      <c r="AE29" s="173" t="s">
        <v>229</v>
      </c>
      <c r="AF29" s="174" t="s">
        <v>232</v>
      </c>
      <c r="AG29" s="174" t="s">
        <v>233</v>
      </c>
      <c r="AH29" s="173" t="s">
        <v>229</v>
      </c>
      <c r="AI29" s="174" t="s">
        <v>232</v>
      </c>
      <c r="AJ29" s="174" t="s">
        <v>233</v>
      </c>
      <c r="BJ29" s="18" t="s">
        <v>212</v>
      </c>
      <c r="BK29" s="235">
        <v>13.1784277199333</v>
      </c>
      <c r="BL29" s="216">
        <v>9.0239239480817304</v>
      </c>
      <c r="BM29" s="216">
        <v>9.7769695096742009</v>
      </c>
      <c r="BN29" s="216">
        <v>13.304898955417199</v>
      </c>
      <c r="BO29" s="216">
        <v>47.293682559505498</v>
      </c>
      <c r="BP29" s="216">
        <v>8.0122742987490607</v>
      </c>
      <c r="BQ29" s="216">
        <v>3.33731652168427</v>
      </c>
      <c r="BR29" s="216">
        <v>37.50896255</v>
      </c>
      <c r="BS29" s="212">
        <v>1.1315789473684199</v>
      </c>
      <c r="BT29" s="235">
        <v>9.8110236707656409</v>
      </c>
      <c r="BU29" s="216">
        <v>6.0129359865962604</v>
      </c>
      <c r="BV29" s="216">
        <v>6.4818751828477801</v>
      </c>
      <c r="BW29" s="216">
        <v>8.8413859244420596</v>
      </c>
      <c r="BX29" s="216">
        <v>47.149342791512602</v>
      </c>
      <c r="BY29" s="216">
        <v>8.06207131780873</v>
      </c>
      <c r="BZ29" s="216">
        <v>2.9527636727725199</v>
      </c>
      <c r="CA29" s="240">
        <v>37.302620374359002</v>
      </c>
      <c r="CB29" s="241">
        <v>1.2093023255813999</v>
      </c>
      <c r="CC29" s="216">
        <v>4.0302220053436804</v>
      </c>
    </row>
    <row r="30" spans="2:81" ht="14.25" thickTop="1" thickBot="1" x14ac:dyDescent="0.25">
      <c r="B30" s="171" t="s">
        <v>166</v>
      </c>
      <c r="C30" s="260">
        <v>3.0930578043747898</v>
      </c>
      <c r="D30" s="261">
        <v>3.37399817251814</v>
      </c>
      <c r="E30" s="261">
        <v>4.9573311196218901</v>
      </c>
      <c r="F30" s="175">
        <v>14.4</v>
      </c>
      <c r="G30" s="176">
        <v>5</v>
      </c>
      <c r="H30" s="260">
        <v>4.0274436931917403</v>
      </c>
      <c r="I30" s="261">
        <v>3.4661195078920701</v>
      </c>
      <c r="J30" s="261">
        <v>5.4725647490192202</v>
      </c>
      <c r="K30" s="175">
        <v>23.1</v>
      </c>
      <c r="L30" s="175">
        <v>7</v>
      </c>
      <c r="N30" s="171" t="s">
        <v>166</v>
      </c>
      <c r="O30" s="260">
        <v>3.0930578043747898</v>
      </c>
      <c r="P30" s="175">
        <v>7.6</v>
      </c>
      <c r="Q30" s="175">
        <v>14.4</v>
      </c>
      <c r="R30" s="176">
        <v>5</v>
      </c>
      <c r="S30" s="260">
        <v>4.0274436931917403</v>
      </c>
      <c r="T30" s="175">
        <v>9.5</v>
      </c>
      <c r="U30" s="175">
        <v>23.1</v>
      </c>
      <c r="V30" s="175">
        <v>7</v>
      </c>
      <c r="X30" s="171" t="s">
        <v>166</v>
      </c>
      <c r="Y30" s="197">
        <v>1.4369953251168867E-2</v>
      </c>
      <c r="Z30" s="198">
        <v>5.3598066298342982E-2</v>
      </c>
      <c r="AA30" s="198">
        <v>4.0181553100061163E-2</v>
      </c>
      <c r="AB30" s="197">
        <v>0.25282954685754305</v>
      </c>
      <c r="AC30" s="198">
        <v>0.23416166707052663</v>
      </c>
      <c r="AD30" s="198">
        <v>5.081020694596633E-2</v>
      </c>
      <c r="AE30" s="197">
        <v>0.52670270820394838</v>
      </c>
      <c r="AF30" s="198">
        <v>0.25400861754165838</v>
      </c>
      <c r="AG30" s="198">
        <v>0.24012282951510977</v>
      </c>
      <c r="AH30" s="197">
        <v>3.1681552457546121E-2</v>
      </c>
      <c r="AI30" s="198">
        <v>2.5102574755723698E-2</v>
      </c>
      <c r="AJ30" s="198">
        <v>1.6222752393154741E-2</v>
      </c>
      <c r="BJ30" s="239" t="s">
        <v>187</v>
      </c>
      <c r="BK30" s="217"/>
      <c r="BL30" s="218"/>
      <c r="BM30" s="218"/>
      <c r="BN30" s="218"/>
      <c r="BO30" s="218"/>
      <c r="BP30" s="218">
        <f t="shared" ref="BP30:CC30" si="0">AVERAGE(BP4:BP29)</f>
        <v>10.097247417984374</v>
      </c>
      <c r="BQ30" s="218">
        <f t="shared" si="0"/>
        <v>4.4132048734836014</v>
      </c>
      <c r="BR30" s="218">
        <f t="shared" si="0"/>
        <v>34.417741020849611</v>
      </c>
      <c r="BS30" s="219">
        <f t="shared" si="0"/>
        <v>1.5344129554655874</v>
      </c>
      <c r="BT30" s="218"/>
      <c r="BU30" s="218"/>
      <c r="BV30" s="218"/>
      <c r="BW30" s="218"/>
      <c r="BX30" s="218"/>
      <c r="BY30" s="218">
        <f t="shared" si="0"/>
        <v>10.303960841062958</v>
      </c>
      <c r="BZ30" s="218">
        <f t="shared" si="0"/>
        <v>3.9806909446472312</v>
      </c>
      <c r="CA30" s="218">
        <f t="shared" si="0"/>
        <v>33.433612049055171</v>
      </c>
      <c r="CB30" s="219">
        <f t="shared" si="0"/>
        <v>1.5384615384615392</v>
      </c>
      <c r="CC30" s="218">
        <f t="shared" si="0"/>
        <v>3.2626778730779411</v>
      </c>
    </row>
    <row r="31" spans="2:81" ht="13.5" thickTop="1" x14ac:dyDescent="0.2">
      <c r="B31" s="177" t="s">
        <v>199</v>
      </c>
      <c r="C31" s="262">
        <v>1.2689159191519901</v>
      </c>
      <c r="D31" s="263">
        <v>4.5083392488606098</v>
      </c>
      <c r="E31" s="263">
        <v>6.0803428773672703</v>
      </c>
      <c r="F31" s="178">
        <v>10.8</v>
      </c>
      <c r="G31" s="179">
        <v>5.4</v>
      </c>
      <c r="H31" s="262">
        <v>1.34134958905055</v>
      </c>
      <c r="I31" s="263">
        <v>4.7190308160104104</v>
      </c>
      <c r="J31" s="263">
        <v>5.74147536190089</v>
      </c>
      <c r="K31" s="178">
        <v>21.5</v>
      </c>
      <c r="L31" s="178">
        <v>10.7</v>
      </c>
      <c r="N31" s="177" t="s">
        <v>199</v>
      </c>
      <c r="O31" s="262">
        <v>1.2689159191519901</v>
      </c>
      <c r="P31" s="178">
        <v>7.3</v>
      </c>
      <c r="Q31" s="178">
        <v>10.8</v>
      </c>
      <c r="R31" s="179">
        <v>5.4</v>
      </c>
      <c r="S31" s="262">
        <v>1.34134958905055</v>
      </c>
      <c r="T31" s="178">
        <v>9.4</v>
      </c>
      <c r="U31" s="178">
        <v>21.5</v>
      </c>
      <c r="V31" s="178">
        <v>10.7</v>
      </c>
      <c r="X31" s="177" t="s">
        <v>199</v>
      </c>
      <c r="Y31" s="199">
        <v>4.6672077439807044E-2</v>
      </c>
      <c r="Z31" s="200">
        <v>3.9940267599571408E-2</v>
      </c>
      <c r="AA31" s="200">
        <v>2.5987000676938724E-2</v>
      </c>
      <c r="AB31" s="199">
        <v>9.3988814916402388E-2</v>
      </c>
      <c r="AC31" s="200">
        <v>6.0512205152004589E-2</v>
      </c>
      <c r="AD31" s="200">
        <v>3.9038705899046983E-2</v>
      </c>
      <c r="AE31" s="199">
        <v>0.55953195862658522</v>
      </c>
      <c r="AF31" s="200">
        <v>0.52601306910682943</v>
      </c>
      <c r="AG31" s="200">
        <v>0.17964995785797866</v>
      </c>
      <c r="AH31" s="199">
        <v>4.8655972424536058E-4</v>
      </c>
      <c r="AI31" s="200">
        <v>3.6516307304601786E-2</v>
      </c>
      <c r="AJ31" s="200">
        <v>8.4742485306036792E-3</v>
      </c>
    </row>
    <row r="32" spans="2:81" ht="13.5" thickBot="1" x14ac:dyDescent="0.25">
      <c r="B32" s="177" t="s">
        <v>167</v>
      </c>
      <c r="C32" s="262">
        <v>1.5331147841099899</v>
      </c>
      <c r="D32" s="263">
        <v>5.32061356194935</v>
      </c>
      <c r="E32" s="263">
        <v>7.7465262506630204</v>
      </c>
      <c r="F32" s="178">
        <v>10.199999999999999</v>
      </c>
      <c r="G32" s="179">
        <v>3.6</v>
      </c>
      <c r="H32" s="262">
        <v>2.04350115933007</v>
      </c>
      <c r="I32" s="263">
        <v>6.0359490391525199</v>
      </c>
      <c r="J32" s="263">
        <v>9.0562367558174905</v>
      </c>
      <c r="K32" s="178">
        <v>20.7</v>
      </c>
      <c r="L32" s="178">
        <v>7.9</v>
      </c>
      <c r="N32" s="177" t="s">
        <v>167</v>
      </c>
      <c r="O32" s="262">
        <v>1.5331147841099899</v>
      </c>
      <c r="P32" s="178">
        <v>6.3</v>
      </c>
      <c r="Q32" s="178">
        <v>10.199999999999999</v>
      </c>
      <c r="R32" s="179">
        <v>3.6</v>
      </c>
      <c r="S32" s="262">
        <v>2.04350115933007</v>
      </c>
      <c r="T32" s="178">
        <v>7.6</v>
      </c>
      <c r="U32" s="178">
        <v>20.7</v>
      </c>
      <c r="V32" s="178">
        <v>7.9</v>
      </c>
      <c r="X32" s="177" t="s">
        <v>167</v>
      </c>
      <c r="Y32" s="199">
        <v>6.7755192713513223E-3</v>
      </c>
      <c r="Z32" s="200">
        <v>0.10117654498022365</v>
      </c>
      <c r="AA32" s="200">
        <v>9.9094226185973151E-3</v>
      </c>
      <c r="AB32" s="199">
        <v>7.6392829627176861E-2</v>
      </c>
      <c r="AC32" s="200">
        <v>1.1950192562144296E-2</v>
      </c>
      <c r="AD32" s="200">
        <v>0.35561474802542642</v>
      </c>
      <c r="AE32" s="199">
        <v>0.36356778456713146</v>
      </c>
      <c r="AF32" s="200">
        <v>0.42189613317531632</v>
      </c>
      <c r="AG32" s="200">
        <v>0.18317777126480875</v>
      </c>
      <c r="AH32" s="199">
        <v>6.7707766359155652E-2</v>
      </c>
      <c r="AI32" s="200">
        <v>2.8587723573865662E-2</v>
      </c>
      <c r="AJ32" s="200">
        <v>0.10910981164025425</v>
      </c>
      <c r="BK32" s="170">
        <f>_xlfn.T.TEST(BK4:BK29,BT4:BT29,2,1)</f>
        <v>0.73202875100274745</v>
      </c>
      <c r="BL32" s="170">
        <f t="shared" ref="BL32:BS32" si="1">_xlfn.T.TEST(BL4:BL29,BU4:BU29,2,1)</f>
        <v>0.7519903130604606</v>
      </c>
      <c r="BM32" s="170">
        <f t="shared" si="1"/>
        <v>9.7434734637810452E-2</v>
      </c>
      <c r="BN32" s="170">
        <f t="shared" si="1"/>
        <v>3.9801014136487095E-2</v>
      </c>
      <c r="BO32" s="170">
        <f t="shared" si="1"/>
        <v>0.12100803069371371</v>
      </c>
      <c r="BP32" s="170">
        <f t="shared" si="1"/>
        <v>0.44408078496365189</v>
      </c>
      <c r="BQ32" s="170">
        <f>_xlfn.T.TEST(BQ4:BQ29,BZ4:BZ29,2,1)</f>
        <v>3.4244302724340688E-3</v>
      </c>
      <c r="BR32" s="170">
        <f t="shared" si="1"/>
        <v>0.19474342167215308</v>
      </c>
      <c r="BS32" s="170">
        <f t="shared" si="1"/>
        <v>0.85753466230160669</v>
      </c>
    </row>
    <row r="33" spans="2:82" ht="14.25" thickTop="1" thickBot="1" x14ac:dyDescent="0.25">
      <c r="B33" s="180" t="s">
        <v>176</v>
      </c>
      <c r="C33" s="262">
        <v>1.34828349230162</v>
      </c>
      <c r="D33" s="263">
        <v>3.4587553468677501</v>
      </c>
      <c r="E33" s="263">
        <v>2.7823190165629401</v>
      </c>
      <c r="F33" s="178">
        <v>8.8000000000000007</v>
      </c>
      <c r="G33" s="179">
        <v>4.9000000000000004</v>
      </c>
      <c r="H33" s="262">
        <v>1.2946620578499799</v>
      </c>
      <c r="I33" s="263">
        <v>3.3604232148403801</v>
      </c>
      <c r="J33" s="263">
        <v>2.79097004758074</v>
      </c>
      <c r="K33" s="178">
        <v>17.2</v>
      </c>
      <c r="L33" s="178">
        <v>8.1999999999999993</v>
      </c>
      <c r="N33" s="180" t="s">
        <v>176</v>
      </c>
      <c r="O33" s="262">
        <v>1.34828349230162</v>
      </c>
      <c r="P33" s="178">
        <v>8.1</v>
      </c>
      <c r="Q33" s="178">
        <v>8.8000000000000007</v>
      </c>
      <c r="R33" s="179">
        <v>4.9000000000000004</v>
      </c>
      <c r="S33" s="262">
        <v>1.2946620578499799</v>
      </c>
      <c r="T33" s="178">
        <v>8</v>
      </c>
      <c r="U33" s="178">
        <v>17.2</v>
      </c>
      <c r="V33" s="178">
        <v>8.1999999999999993</v>
      </c>
      <c r="X33" s="180" t="s">
        <v>176</v>
      </c>
      <c r="Y33" s="199">
        <v>5.0588059082829123E-2</v>
      </c>
      <c r="Z33" s="200">
        <v>3.5147427438652311E-2</v>
      </c>
      <c r="AA33" s="200">
        <v>2.773473065699816E-2</v>
      </c>
      <c r="AB33" s="199">
        <v>3.7198749674395279E-2</v>
      </c>
      <c r="AC33" s="200">
        <v>4.2537917860554914E-2</v>
      </c>
      <c r="AD33" s="200">
        <v>0.27197336111834636</v>
      </c>
      <c r="AE33" s="199">
        <v>0.4900380597238233</v>
      </c>
      <c r="AF33" s="200">
        <v>0.3059691428886121</v>
      </c>
      <c r="AG33" s="200">
        <v>2.3923429110452622E-2</v>
      </c>
      <c r="AH33" s="199">
        <v>2.5842804458397824E-2</v>
      </c>
      <c r="AI33" s="200">
        <v>6.5468437961274634E-2</v>
      </c>
      <c r="AJ33" s="200">
        <v>3.3862985152383424E-2</v>
      </c>
      <c r="BK33" s="315" t="s">
        <v>236</v>
      </c>
      <c r="BL33" s="316"/>
      <c r="BM33" s="316"/>
      <c r="BN33" s="316"/>
      <c r="BO33" s="316"/>
      <c r="BP33" s="316"/>
      <c r="BQ33" s="316"/>
      <c r="BR33" s="316"/>
      <c r="BS33" s="317"/>
      <c r="BT33" s="315" t="s">
        <v>235</v>
      </c>
      <c r="BU33" s="316"/>
      <c r="BV33" s="316"/>
      <c r="BW33" s="316"/>
      <c r="BX33" s="316"/>
      <c r="BY33" s="316"/>
      <c r="BZ33" s="316"/>
      <c r="CA33" s="316"/>
      <c r="CB33" s="317"/>
      <c r="CC33" s="170" t="s">
        <v>93</v>
      </c>
      <c r="CD33" s="170" t="s">
        <v>91</v>
      </c>
    </row>
    <row r="34" spans="2:82" ht="15" thickTop="1" x14ac:dyDescent="0.2">
      <c r="B34" s="181" t="s">
        <v>168</v>
      </c>
      <c r="C34" s="262">
        <v>0.81104262709743502</v>
      </c>
      <c r="D34" s="263">
        <v>1.15706049880469</v>
      </c>
      <c r="E34" s="263">
        <v>2.7707320360717902</v>
      </c>
      <c r="F34" s="178">
        <v>7.5</v>
      </c>
      <c r="G34" s="179">
        <v>3.7</v>
      </c>
      <c r="H34" s="262">
        <v>1.0255065945520501</v>
      </c>
      <c r="I34" s="263">
        <v>1.11735667359114</v>
      </c>
      <c r="J34" s="263">
        <v>3.6320054002319502</v>
      </c>
      <c r="K34" s="178">
        <v>14.8</v>
      </c>
      <c r="L34" s="178">
        <v>7.2</v>
      </c>
      <c r="N34" s="181" t="s">
        <v>168</v>
      </c>
      <c r="O34" s="262">
        <v>0.81104262709743502</v>
      </c>
      <c r="P34" s="178">
        <v>7.7</v>
      </c>
      <c r="Q34" s="178">
        <v>7.5</v>
      </c>
      <c r="R34" s="179">
        <v>3.7</v>
      </c>
      <c r="S34" s="262">
        <v>1.0255065945520501</v>
      </c>
      <c r="T34" s="178">
        <v>8.1999999999999993</v>
      </c>
      <c r="U34" s="178">
        <v>14.8</v>
      </c>
      <c r="V34" s="178">
        <v>7.2</v>
      </c>
      <c r="X34" s="181" t="s">
        <v>168</v>
      </c>
      <c r="Y34" s="199">
        <v>8.4046911055854212E-2</v>
      </c>
      <c r="Z34" s="200">
        <v>0.29482465229283217</v>
      </c>
      <c r="AA34" s="200">
        <v>5.5008758326600425E-2</v>
      </c>
      <c r="AB34" s="199">
        <v>7.8650360346780704E-2</v>
      </c>
      <c r="AC34" s="200">
        <v>5.6829515871818753E-2</v>
      </c>
      <c r="AD34" s="200">
        <v>8.5489180292483508E-2</v>
      </c>
      <c r="AE34" s="199">
        <v>0.31536625072353935</v>
      </c>
      <c r="AF34" s="200">
        <v>0.26074012855644713</v>
      </c>
      <c r="AG34" s="200">
        <v>2.0764268472293349E-2</v>
      </c>
      <c r="AH34" s="199">
        <v>5.6926241513582637E-2</v>
      </c>
      <c r="AI34" s="200">
        <v>5.0241998961665028E-2</v>
      </c>
      <c r="AJ34" s="200">
        <v>5.0241998961665028E-2</v>
      </c>
      <c r="BK34" s="268">
        <v>24.620702697505902</v>
      </c>
      <c r="BL34" s="268">
        <v>-15.2837443204523</v>
      </c>
      <c r="BM34" s="268">
        <v>18.9032693297907</v>
      </c>
      <c r="BN34" s="268">
        <v>24.3089784196614</v>
      </c>
      <c r="BO34" s="268">
        <v>128.95636599503601</v>
      </c>
      <c r="BP34" s="268">
        <v>15.0513293270162</v>
      </c>
      <c r="BQ34" s="268">
        <v>5.1278023231705196</v>
      </c>
      <c r="BR34" s="268">
        <v>18.987904127272699</v>
      </c>
      <c r="BS34" s="268">
        <v>0.55555555555555602</v>
      </c>
      <c r="BT34" s="231">
        <v>25.1791655463091</v>
      </c>
      <c r="BU34" s="232">
        <v>-16.780891682200501</v>
      </c>
      <c r="BV34" s="232">
        <v>1.6216885382357999</v>
      </c>
      <c r="BW34" s="216">
        <v>16.8590687573422</v>
      </c>
      <c r="BX34" s="216">
        <v>174.48013427664699</v>
      </c>
      <c r="BY34" s="216">
        <v>12.934175297509499</v>
      </c>
      <c r="BZ34" s="216">
        <v>4.7532864381818003</v>
      </c>
      <c r="CA34" s="240">
        <v>31.249656349999999</v>
      </c>
      <c r="CB34" s="241">
        <v>0.97058823529411797</v>
      </c>
      <c r="CC34" s="170">
        <v>3.6396840860167501</v>
      </c>
      <c r="CD34" s="170">
        <v>3.90354209211934</v>
      </c>
    </row>
    <row r="35" spans="2:82" ht="14.25" x14ac:dyDescent="0.2">
      <c r="B35" s="182" t="s">
        <v>178</v>
      </c>
      <c r="C35" s="262">
        <v>2.8387097644998298</v>
      </c>
      <c r="D35" s="263">
        <v>3.5661005165729498</v>
      </c>
      <c r="E35" s="263">
        <v>3.10339006714368</v>
      </c>
      <c r="F35" s="178">
        <v>17.7</v>
      </c>
      <c r="G35" s="179">
        <v>5.6</v>
      </c>
      <c r="H35" s="262">
        <v>2.9269502092780799</v>
      </c>
      <c r="I35" s="263">
        <v>5.5957307794601796</v>
      </c>
      <c r="J35" s="263">
        <v>5.0161621569856898</v>
      </c>
      <c r="K35" s="178">
        <v>33.1</v>
      </c>
      <c r="L35" s="178">
        <v>11.5</v>
      </c>
      <c r="N35" s="182" t="s">
        <v>178</v>
      </c>
      <c r="O35" s="262">
        <v>2.8387097644998298</v>
      </c>
      <c r="P35" s="178">
        <v>8.6</v>
      </c>
      <c r="Q35" s="178">
        <v>17.7</v>
      </c>
      <c r="R35" s="179">
        <v>5.6</v>
      </c>
      <c r="S35" s="262">
        <v>2.9269502092780799</v>
      </c>
      <c r="T35" s="178">
        <v>12.6</v>
      </c>
      <c r="U35" s="178">
        <v>33.1</v>
      </c>
      <c r="V35" s="178">
        <v>11.5</v>
      </c>
      <c r="X35" s="182" t="s">
        <v>178</v>
      </c>
      <c r="Y35" s="199">
        <v>4.3376000199380121E-2</v>
      </c>
      <c r="Z35" s="200">
        <v>0.19184345030424435</v>
      </c>
      <c r="AA35" s="200">
        <v>0.3312142577212413</v>
      </c>
      <c r="AB35" s="199">
        <v>0.15355176652454355</v>
      </c>
      <c r="AC35" s="200">
        <v>0.21426759581474031</v>
      </c>
      <c r="AD35" s="200">
        <v>7.3233325440159633E-2</v>
      </c>
      <c r="AE35" s="199">
        <v>0.9689709173868537</v>
      </c>
      <c r="AF35" s="200">
        <v>0.61541665069924623</v>
      </c>
      <c r="AG35" s="200">
        <v>9.5644111286679774E-3</v>
      </c>
      <c r="AH35" s="199">
        <v>1.0325019214860762E-2</v>
      </c>
      <c r="AI35" s="200">
        <v>3.369600388473383E-2</v>
      </c>
      <c r="AJ35" s="200">
        <v>4.1696881519465157E-2</v>
      </c>
      <c r="BK35" s="268">
        <v>69.993041031550106</v>
      </c>
      <c r="BL35" s="268">
        <v>-60.922168105390803</v>
      </c>
      <c r="BM35" s="268">
        <v>52.029817886756099</v>
      </c>
      <c r="BN35" s="268">
        <v>80.116243771101097</v>
      </c>
      <c r="BO35" s="268">
        <v>139.50142979118601</v>
      </c>
      <c r="BP35" s="268">
        <v>10.501519549250199</v>
      </c>
      <c r="BQ35" s="268">
        <v>5.3057709293467097</v>
      </c>
      <c r="BR35" s="268">
        <v>25.607492665476201</v>
      </c>
      <c r="BS35" s="268">
        <v>1.44444444444444</v>
      </c>
      <c r="BT35" s="234">
        <v>66.582715924033195</v>
      </c>
      <c r="BU35" s="220">
        <v>-58.105977447087</v>
      </c>
      <c r="BV35" s="220">
        <v>47.778445941956697</v>
      </c>
      <c r="BW35" s="220">
        <v>75.226886893648995</v>
      </c>
      <c r="BX35" s="220">
        <v>140.57077406993699</v>
      </c>
      <c r="BY35" s="220">
        <v>11.029747131630799</v>
      </c>
      <c r="BZ35" s="220">
        <v>4.8840022072946301</v>
      </c>
      <c r="CA35" s="242">
        <v>30.501914302941199</v>
      </c>
      <c r="CB35" s="243">
        <v>1.6764705882352899</v>
      </c>
      <c r="CC35" s="170">
        <v>1.2909909831199899</v>
      </c>
      <c r="CD35" s="170">
        <v>1.4324097164440901</v>
      </c>
    </row>
    <row r="36" spans="2:82" ht="14.25" x14ac:dyDescent="0.2">
      <c r="B36" s="183" t="s">
        <v>200</v>
      </c>
      <c r="C36" s="262">
        <v>1.39030420917689</v>
      </c>
      <c r="D36" s="263">
        <v>2.1342573460467098</v>
      </c>
      <c r="E36" s="263">
        <v>4.28971898998791</v>
      </c>
      <c r="F36" s="178">
        <v>8.6</v>
      </c>
      <c r="G36" s="179">
        <v>3.1</v>
      </c>
      <c r="H36" s="262">
        <v>1.5118062123490399</v>
      </c>
      <c r="I36" s="263">
        <v>2.44342903357213</v>
      </c>
      <c r="J36" s="263">
        <v>4.6415450489011798</v>
      </c>
      <c r="K36" s="178">
        <v>19.8</v>
      </c>
      <c r="L36" s="178">
        <v>6.2</v>
      </c>
      <c r="N36" s="183" t="s">
        <v>200</v>
      </c>
      <c r="O36" s="262">
        <v>1.39030420917689</v>
      </c>
      <c r="P36" s="178">
        <v>6.9</v>
      </c>
      <c r="Q36" s="178">
        <v>8.6</v>
      </c>
      <c r="R36" s="179">
        <v>3.1</v>
      </c>
      <c r="S36" s="262">
        <v>1.5118062123490399</v>
      </c>
      <c r="T36" s="178">
        <v>8.1</v>
      </c>
      <c r="U36" s="178">
        <v>19.8</v>
      </c>
      <c r="V36" s="178">
        <v>6.2</v>
      </c>
      <c r="X36" s="183" t="s">
        <v>200</v>
      </c>
      <c r="Y36" s="199">
        <v>2.0872920972665483E-4</v>
      </c>
      <c r="Z36" s="200">
        <v>5.7091194404483795E-3</v>
      </c>
      <c r="AA36" s="200">
        <v>0.1246509690836653</v>
      </c>
      <c r="AB36" s="199">
        <v>0.45121110209581589</v>
      </c>
      <c r="AC36" s="200">
        <v>0.31097537213095966</v>
      </c>
      <c r="AD36" s="200">
        <v>4.9563999909937477E-2</v>
      </c>
      <c r="AE36" s="199">
        <v>0.33987585946506199</v>
      </c>
      <c r="AF36" s="200">
        <v>0.58148189382852822</v>
      </c>
      <c r="AG36" s="200">
        <v>0.11814071642507386</v>
      </c>
      <c r="AH36" s="199">
        <v>1.6568104367031909E-2</v>
      </c>
      <c r="AI36" s="200">
        <v>1.5288008003133121E-2</v>
      </c>
      <c r="AJ36" s="200">
        <v>6.7823162777536458E-2</v>
      </c>
      <c r="BK36" s="268">
        <v>31.574823629400498</v>
      </c>
      <c r="BL36" s="268">
        <v>-57.2758356251097</v>
      </c>
      <c r="BM36" s="268">
        <v>36.970363174803303</v>
      </c>
      <c r="BN36" s="268">
        <v>68.171321681711902</v>
      </c>
      <c r="BO36" s="268">
        <v>147.158596723161</v>
      </c>
      <c r="BP36" s="268">
        <v>10.152711919094401</v>
      </c>
      <c r="BQ36" s="268">
        <v>4.8667396195359398</v>
      </c>
      <c r="BR36" s="268">
        <v>19.4909053056818</v>
      </c>
      <c r="BS36" s="268">
        <v>1.62222222222222</v>
      </c>
      <c r="BT36" s="234">
        <v>29.4517928054326</v>
      </c>
      <c r="BU36" s="220">
        <v>-49.032379816119402</v>
      </c>
      <c r="BV36" s="220">
        <v>29.351227180690501</v>
      </c>
      <c r="BW36" s="220">
        <v>57.1460305484527</v>
      </c>
      <c r="BX36" s="220">
        <v>149.094878352481</v>
      </c>
      <c r="BY36" s="220">
        <v>12.960027596444</v>
      </c>
      <c r="BZ36" s="220">
        <v>3.45051471196635</v>
      </c>
      <c r="CA36" s="242">
        <v>26.597982712499999</v>
      </c>
      <c r="CB36" s="243">
        <v>1.8529411764705901</v>
      </c>
      <c r="CC36" s="170">
        <v>1.1744822269922199</v>
      </c>
      <c r="CD36" s="170">
        <v>1.3174035631889001</v>
      </c>
    </row>
    <row r="37" spans="2:82" ht="14.25" x14ac:dyDescent="0.2">
      <c r="B37" s="184" t="s">
        <v>170</v>
      </c>
      <c r="C37" s="262">
        <v>1.6961089055986101</v>
      </c>
      <c r="D37" s="263">
        <v>3.0579530087212201</v>
      </c>
      <c r="E37" s="263">
        <v>4.5184547831164101</v>
      </c>
      <c r="F37" s="178">
        <v>11.6</v>
      </c>
      <c r="G37" s="179">
        <v>5.0999999999999996</v>
      </c>
      <c r="H37" s="262">
        <v>1.7848747449431499</v>
      </c>
      <c r="I37" s="263">
        <v>2.7585549599095698</v>
      </c>
      <c r="J37" s="263">
        <v>4.5441872660222202</v>
      </c>
      <c r="K37" s="178">
        <v>20.6</v>
      </c>
      <c r="L37" s="178">
        <v>9.4</v>
      </c>
      <c r="N37" s="184" t="s">
        <v>170</v>
      </c>
      <c r="O37" s="262">
        <v>1.6961089055986101</v>
      </c>
      <c r="P37" s="178">
        <v>7</v>
      </c>
      <c r="Q37" s="178">
        <v>11.6</v>
      </c>
      <c r="R37" s="179">
        <v>5.0999999999999996</v>
      </c>
      <c r="S37" s="262">
        <v>1.7848747449431499</v>
      </c>
      <c r="T37" s="178">
        <v>7.9</v>
      </c>
      <c r="U37" s="178">
        <v>20.6</v>
      </c>
      <c r="V37" s="178">
        <v>9.4</v>
      </c>
      <c r="X37" s="184" t="s">
        <v>170</v>
      </c>
      <c r="Y37" s="199">
        <v>9.8550088008833456E-2</v>
      </c>
      <c r="Z37" s="200">
        <v>0.23007755663940979</v>
      </c>
      <c r="AA37" s="200">
        <v>0.20980811770545207</v>
      </c>
      <c r="AB37" s="199">
        <v>0.1382872441646272</v>
      </c>
      <c r="AC37" s="200">
        <v>2.5451781822110234E-2</v>
      </c>
      <c r="AD37" s="200">
        <v>0.35870272148781118</v>
      </c>
      <c r="AE37" s="199">
        <v>0.870933394263676</v>
      </c>
      <c r="AF37" s="200">
        <v>0.67721154980792397</v>
      </c>
      <c r="AG37" s="200">
        <v>8.7831393308124856E-3</v>
      </c>
      <c r="AH37" s="199">
        <v>1.3984441842301324E-3</v>
      </c>
      <c r="AI37" s="200">
        <v>7.1866712553393636E-2</v>
      </c>
      <c r="AJ37" s="200">
        <v>5.2128671781686925E-2</v>
      </c>
      <c r="BK37" s="268">
        <v>59.227934287640601</v>
      </c>
      <c r="BL37" s="268">
        <v>56.562017838747501</v>
      </c>
      <c r="BM37" s="268">
        <v>67.164000566148005</v>
      </c>
      <c r="BN37" s="268">
        <v>87.8081137141683</v>
      </c>
      <c r="BO37" s="268">
        <v>49.897665256107501</v>
      </c>
      <c r="BP37" s="268">
        <v>8.5884966518662704</v>
      </c>
      <c r="BQ37" s="268">
        <v>3.60265088378413</v>
      </c>
      <c r="BR37" s="268">
        <v>20.3190483433333</v>
      </c>
      <c r="BS37" s="268">
        <v>2</v>
      </c>
      <c r="BT37" s="235">
        <v>59.753009137988002</v>
      </c>
      <c r="BU37" s="216">
        <v>56.694987609897801</v>
      </c>
      <c r="BV37" s="216">
        <v>67.991349681470993</v>
      </c>
      <c r="BW37" s="216">
        <v>88.527652468562195</v>
      </c>
      <c r="BX37" s="216">
        <v>50.176763664021202</v>
      </c>
      <c r="BY37" s="216">
        <v>6.2653841867839102</v>
      </c>
      <c r="BZ37" s="216">
        <v>4.7928113354109803</v>
      </c>
      <c r="CA37" s="240">
        <v>24.641418303125</v>
      </c>
      <c r="CB37" s="241">
        <v>2.2058823529411802</v>
      </c>
      <c r="CC37" s="170">
        <v>1.17270567059677</v>
      </c>
      <c r="CD37" s="170">
        <v>1.1745749626961299</v>
      </c>
    </row>
    <row r="38" spans="2:82" ht="14.25" x14ac:dyDescent="0.2">
      <c r="B38" s="183" t="s">
        <v>175</v>
      </c>
      <c r="C38" s="262">
        <v>1.03248892980773</v>
      </c>
      <c r="D38" s="263">
        <v>4.0557229957024603</v>
      </c>
      <c r="E38" s="263">
        <v>5.6458947741943799</v>
      </c>
      <c r="F38" s="178">
        <v>12.3</v>
      </c>
      <c r="G38" s="179">
        <v>3.8</v>
      </c>
      <c r="H38" s="262">
        <v>1.49206997409013</v>
      </c>
      <c r="I38" s="263">
        <v>4.6720530960399298</v>
      </c>
      <c r="J38" s="263">
        <v>6.7348233327564397</v>
      </c>
      <c r="K38" s="178">
        <v>28.8</v>
      </c>
      <c r="L38" s="178">
        <v>8.3000000000000007</v>
      </c>
      <c r="N38" s="183" t="s">
        <v>175</v>
      </c>
      <c r="O38" s="262">
        <v>1.03248892980773</v>
      </c>
      <c r="P38" s="178">
        <v>7</v>
      </c>
      <c r="Q38" s="178">
        <v>12.3</v>
      </c>
      <c r="R38" s="179">
        <v>3.8</v>
      </c>
      <c r="S38" s="262">
        <v>1.49206997409013</v>
      </c>
      <c r="T38" s="178">
        <v>8.6</v>
      </c>
      <c r="U38" s="178">
        <v>28.8</v>
      </c>
      <c r="V38" s="178">
        <v>8.3000000000000007</v>
      </c>
      <c r="X38" s="183" t="s">
        <v>175</v>
      </c>
      <c r="Y38" s="199">
        <v>0.10206884816492463</v>
      </c>
      <c r="Z38" s="200">
        <v>0.21261742069976947</v>
      </c>
      <c r="AA38" s="200">
        <v>0.23688516041994576</v>
      </c>
      <c r="AB38" s="199">
        <v>0.30058461587592156</v>
      </c>
      <c r="AC38" s="200">
        <v>7.7535481807670628E-2</v>
      </c>
      <c r="AD38" s="200">
        <v>5.484596182768102E-2</v>
      </c>
      <c r="AE38" s="199">
        <v>0.65769419296599918</v>
      </c>
      <c r="AF38" s="200">
        <v>0.20016493428333473</v>
      </c>
      <c r="AG38" s="200">
        <v>0.2572847080211233</v>
      </c>
      <c r="AH38" s="199">
        <v>4.2476262711501317E-2</v>
      </c>
      <c r="AI38" s="200">
        <v>6.7803685882416309E-2</v>
      </c>
      <c r="AJ38" s="200">
        <v>0.10089558718339088</v>
      </c>
      <c r="BK38" s="268">
        <v>82.447040448058701</v>
      </c>
      <c r="BL38" s="268">
        <v>7.2980405273407598</v>
      </c>
      <c r="BM38" s="268">
        <v>88.118586105904498</v>
      </c>
      <c r="BN38" s="268">
        <v>88.420283944592796</v>
      </c>
      <c r="BO38" s="268">
        <v>85.265530293772201</v>
      </c>
      <c r="BP38" s="268">
        <v>6.9855579554874998</v>
      </c>
      <c r="BQ38" s="268">
        <v>3.3845134987513599</v>
      </c>
      <c r="BR38" s="268">
        <v>22.778013290476199</v>
      </c>
      <c r="BS38" s="268">
        <v>2.1333333333333302</v>
      </c>
      <c r="BT38" s="236">
        <v>75.432013323662602</v>
      </c>
      <c r="BU38" s="221">
        <v>5.0950665836604401</v>
      </c>
      <c r="BV38" s="221">
        <v>83.463335870708093</v>
      </c>
      <c r="BW38" s="221">
        <v>83.618706867294705</v>
      </c>
      <c r="BX38" s="221">
        <v>86.506681757484301</v>
      </c>
      <c r="BY38" s="221">
        <v>9.9830779342410896</v>
      </c>
      <c r="BZ38" s="221">
        <v>3.7176845063677102</v>
      </c>
      <c r="CA38" s="244">
        <v>16.215182320588202</v>
      </c>
      <c r="CB38" s="245">
        <v>2.1764705882352899</v>
      </c>
      <c r="CC38" s="170">
        <v>2.4624311328289901</v>
      </c>
      <c r="CD38" s="170">
        <v>3.2342646648514202</v>
      </c>
    </row>
    <row r="39" spans="2:82" ht="14.25" x14ac:dyDescent="0.2">
      <c r="B39" s="181" t="s">
        <v>171</v>
      </c>
      <c r="C39" s="262">
        <v>2.0955613998804701</v>
      </c>
      <c r="D39" s="263">
        <v>1.8812588789089499</v>
      </c>
      <c r="E39" s="263">
        <v>2.5036614600571001</v>
      </c>
      <c r="F39" s="178">
        <v>10.1</v>
      </c>
      <c r="G39" s="179">
        <v>3.8</v>
      </c>
      <c r="H39" s="262">
        <v>2.04795073112538</v>
      </c>
      <c r="I39" s="263">
        <v>2.2634949642980602</v>
      </c>
      <c r="J39" s="263">
        <v>3.00724056662047</v>
      </c>
      <c r="K39" s="178">
        <v>19.5</v>
      </c>
      <c r="L39" s="178">
        <v>7.2</v>
      </c>
      <c r="N39" s="181" t="s">
        <v>171</v>
      </c>
      <c r="O39" s="262">
        <v>2.0955613998804701</v>
      </c>
      <c r="P39" s="178">
        <v>7.7</v>
      </c>
      <c r="Q39" s="178">
        <v>10.1</v>
      </c>
      <c r="R39" s="179">
        <v>3.8</v>
      </c>
      <c r="S39" s="262">
        <v>2.04795073112538</v>
      </c>
      <c r="T39" s="178">
        <v>9</v>
      </c>
      <c r="U39" s="178">
        <v>19.5</v>
      </c>
      <c r="V39" s="178">
        <v>7.2</v>
      </c>
      <c r="X39" s="181" t="s">
        <v>171</v>
      </c>
      <c r="Y39" s="199">
        <v>7.625256069569146E-2</v>
      </c>
      <c r="Z39" s="200">
        <v>8.3643697225253985E-2</v>
      </c>
      <c r="AA39" s="200">
        <v>0.13434282733977959</v>
      </c>
      <c r="AB39" s="199">
        <v>0.41963400409764862</v>
      </c>
      <c r="AC39" s="200">
        <v>0.22076226893693371</v>
      </c>
      <c r="AD39" s="200">
        <v>1.5435689559315709E-2</v>
      </c>
      <c r="AE39" s="199">
        <v>0.25769555223065377</v>
      </c>
      <c r="AF39" s="200">
        <v>0.19859090862436118</v>
      </c>
      <c r="AG39" s="200">
        <v>8.4305919979462865E-2</v>
      </c>
      <c r="AH39" s="199">
        <v>3.7097625862524249E-2</v>
      </c>
      <c r="AI39" s="200">
        <v>0.1057282337081942</v>
      </c>
      <c r="AJ39" s="200">
        <v>3.2305849188614864E-2</v>
      </c>
      <c r="BK39" s="268">
        <v>35.075853835834302</v>
      </c>
      <c r="BL39" s="268">
        <v>5.0829179837636902</v>
      </c>
      <c r="BM39" s="268">
        <v>-43.373053990782402</v>
      </c>
      <c r="BN39" s="268">
        <v>43.669873685608401</v>
      </c>
      <c r="BO39" s="268">
        <v>276.68404422198699</v>
      </c>
      <c r="BP39" s="268">
        <v>23.573718609832401</v>
      </c>
      <c r="BQ39" s="268">
        <v>5.9617426432428298</v>
      </c>
      <c r="BR39" s="268">
        <v>23.855176039473701</v>
      </c>
      <c r="BS39" s="268">
        <v>0.91111111111111098</v>
      </c>
      <c r="BT39" s="237">
        <v>32.195414442354</v>
      </c>
      <c r="BU39" s="222">
        <v>10.0119164324572</v>
      </c>
      <c r="BV39" s="222">
        <v>-49.461144938578101</v>
      </c>
      <c r="BW39" s="222">
        <v>50.464277754521902</v>
      </c>
      <c r="BX39" s="222">
        <v>281.44318359995901</v>
      </c>
      <c r="BY39" s="222">
        <v>13.9801500950228</v>
      </c>
      <c r="BZ39" s="222">
        <v>4.1619743566143503</v>
      </c>
      <c r="CA39" s="246">
        <v>33.833021185294101</v>
      </c>
      <c r="CB39" s="247">
        <v>1.4117647058823499</v>
      </c>
      <c r="CC39" s="170">
        <v>2.4107857722552799</v>
      </c>
      <c r="CD39" s="170">
        <v>5.0685055000028703</v>
      </c>
    </row>
    <row r="40" spans="2:82" ht="14.25" x14ac:dyDescent="0.2">
      <c r="B40" s="184" t="s">
        <v>201</v>
      </c>
      <c r="C40" s="262">
        <v>1.7272038263134</v>
      </c>
      <c r="D40" s="263">
        <v>6.2668072982394296</v>
      </c>
      <c r="E40" s="263">
        <v>5.82983795040305</v>
      </c>
      <c r="F40" s="178">
        <v>7.8</v>
      </c>
      <c r="G40" s="179">
        <v>2.6</v>
      </c>
      <c r="H40" s="262">
        <v>1.9575377764584601</v>
      </c>
      <c r="I40" s="263">
        <v>7.60010166229854</v>
      </c>
      <c r="J40" s="263">
        <v>7.0553861057833398</v>
      </c>
      <c r="K40" s="178">
        <v>16.2</v>
      </c>
      <c r="L40" s="178">
        <v>5.5</v>
      </c>
      <c r="N40" s="184" t="s">
        <v>201</v>
      </c>
      <c r="O40" s="262">
        <v>1.7272038263134</v>
      </c>
      <c r="P40" s="178">
        <v>6.3</v>
      </c>
      <c r="Q40" s="178">
        <v>7.8</v>
      </c>
      <c r="R40" s="179">
        <v>2.6</v>
      </c>
      <c r="S40" s="262">
        <v>1.9575377764584601</v>
      </c>
      <c r="T40" s="178">
        <v>7.4</v>
      </c>
      <c r="U40" s="178">
        <v>16.2</v>
      </c>
      <c r="V40" s="178">
        <v>5.5</v>
      </c>
      <c r="X40" s="184" t="s">
        <v>201</v>
      </c>
      <c r="Y40" s="199">
        <v>1.521825993058412E-2</v>
      </c>
      <c r="Z40" s="200">
        <v>3.756450602709694E-2</v>
      </c>
      <c r="AA40" s="200">
        <v>2.3552941668562102E-2</v>
      </c>
      <c r="AB40" s="199">
        <v>0.55694584395313829</v>
      </c>
      <c r="AC40" s="200">
        <v>0.40677810048802038</v>
      </c>
      <c r="AD40" s="200">
        <v>2.424442995541079E-2</v>
      </c>
      <c r="AE40" s="199">
        <v>0.80247830413201315</v>
      </c>
      <c r="AF40" s="200">
        <v>0.83473587680564687</v>
      </c>
      <c r="AG40" s="200">
        <v>9.2741474381531366E-2</v>
      </c>
      <c r="AH40" s="199">
        <v>8.7610110570718588E-2</v>
      </c>
      <c r="AI40" s="200">
        <v>8.6934186868986046E-2</v>
      </c>
      <c r="AJ40" s="200">
        <v>0.13830438820065982</v>
      </c>
      <c r="BK40" s="268">
        <v>62.021836981433403</v>
      </c>
      <c r="BL40" s="268">
        <v>81.410542405895299</v>
      </c>
      <c r="BM40" s="268">
        <v>10.5021499111034</v>
      </c>
      <c r="BN40" s="268">
        <v>82.085148276514502</v>
      </c>
      <c r="BO40" s="268">
        <v>7.35069285957288</v>
      </c>
      <c r="BP40" s="268">
        <v>7.5996485478397204</v>
      </c>
      <c r="BQ40" s="268">
        <v>3.2157442792160702</v>
      </c>
      <c r="BR40" s="268">
        <v>24.783823210465101</v>
      </c>
      <c r="BS40" s="268">
        <v>2.1444444444444399</v>
      </c>
      <c r="BT40" s="235">
        <v>59.711486393347997</v>
      </c>
      <c r="BU40" s="216">
        <v>74.111115293248105</v>
      </c>
      <c r="BV40" s="216">
        <v>2.19335083627809</v>
      </c>
      <c r="BW40" s="216">
        <v>74.143564777397302</v>
      </c>
      <c r="BX40" s="216">
        <v>1.69519880695742</v>
      </c>
      <c r="BY40" s="216">
        <v>7.2389750527140304</v>
      </c>
      <c r="BZ40" s="216">
        <v>3.7368656060896401</v>
      </c>
      <c r="CA40" s="240">
        <v>20.6037403088235</v>
      </c>
      <c r="CB40" s="241">
        <v>2.2647058823529398</v>
      </c>
      <c r="CC40" s="170">
        <v>1.82622090311504</v>
      </c>
      <c r="CD40" s="170">
        <v>2.0189253577872002</v>
      </c>
    </row>
    <row r="41" spans="2:82" ht="14.25" x14ac:dyDescent="0.2">
      <c r="B41" s="182" t="s">
        <v>172</v>
      </c>
      <c r="C41" s="262">
        <v>1.2257005652281701</v>
      </c>
      <c r="D41" s="263">
        <v>3.85633233825118</v>
      </c>
      <c r="E41" s="263">
        <v>2.66935805351785</v>
      </c>
      <c r="F41" s="178">
        <v>10.4</v>
      </c>
      <c r="G41" s="179">
        <v>4</v>
      </c>
      <c r="H41" s="262">
        <v>1.4182648802748501</v>
      </c>
      <c r="I41" s="263">
        <v>4.6944150678870598</v>
      </c>
      <c r="J41" s="263">
        <v>3.2029652410458298</v>
      </c>
      <c r="K41" s="178">
        <v>19.899999999999999</v>
      </c>
      <c r="L41" s="178">
        <v>7.3</v>
      </c>
      <c r="N41" s="182" t="s">
        <v>172</v>
      </c>
      <c r="O41" s="262">
        <v>1.2257005652281701</v>
      </c>
      <c r="P41" s="178">
        <v>7.6</v>
      </c>
      <c r="Q41" s="178">
        <v>10.4</v>
      </c>
      <c r="R41" s="179">
        <v>4</v>
      </c>
      <c r="S41" s="262">
        <v>1.4182648802748501</v>
      </c>
      <c r="T41" s="178">
        <v>9.6999999999999993</v>
      </c>
      <c r="U41" s="178">
        <v>19.899999999999999</v>
      </c>
      <c r="V41" s="178">
        <v>7.3</v>
      </c>
      <c r="X41" s="182" t="s">
        <v>172</v>
      </c>
      <c r="Y41" s="199">
        <v>0.11055394934201304</v>
      </c>
      <c r="Z41" s="200">
        <v>8.6509118284073358E-2</v>
      </c>
      <c r="AA41" s="200">
        <v>6.1947146703779425E-2</v>
      </c>
      <c r="AB41" s="199">
        <v>1.2535389110707632E-2</v>
      </c>
      <c r="AC41" s="200">
        <v>0.42028736874738998</v>
      </c>
      <c r="AD41" s="200">
        <v>0.20220844255503437</v>
      </c>
      <c r="AE41" s="199">
        <v>0.67849592116528235</v>
      </c>
      <c r="AF41" s="200">
        <v>0.32344504947274999</v>
      </c>
      <c r="AG41" s="200">
        <v>0.1241540659644006</v>
      </c>
      <c r="AH41" s="199">
        <v>5.1846010883756843E-2</v>
      </c>
      <c r="AI41" s="200">
        <v>4.4989319833978608E-2</v>
      </c>
      <c r="AJ41" s="200">
        <v>3.6673758348077359E-2</v>
      </c>
      <c r="BK41" s="268">
        <v>65.885341698948807</v>
      </c>
      <c r="BL41" s="268">
        <v>52.471738312453503</v>
      </c>
      <c r="BM41" s="268">
        <v>74.203797369268699</v>
      </c>
      <c r="BN41" s="268">
        <v>90.881719094381594</v>
      </c>
      <c r="BO41" s="268">
        <v>54.734719789841598</v>
      </c>
      <c r="BP41" s="268">
        <v>7.2371151584623199</v>
      </c>
      <c r="BQ41" s="268">
        <v>3.7178470620128299</v>
      </c>
      <c r="BR41" s="268">
        <v>21.0885652033333</v>
      </c>
      <c r="BS41" s="268">
        <v>2.0222222222222199</v>
      </c>
      <c r="BT41" s="235">
        <v>60.232185064929801</v>
      </c>
      <c r="BU41" s="216">
        <v>52.287989149602701</v>
      </c>
      <c r="BV41" s="216">
        <v>68.791762052672098</v>
      </c>
      <c r="BW41" s="216">
        <v>86.407987684128102</v>
      </c>
      <c r="BX41" s="216">
        <v>52.761866507388604</v>
      </c>
      <c r="BY41" s="216">
        <v>9.2963167861232492</v>
      </c>
      <c r="BZ41" s="216">
        <v>4.0368910956989801</v>
      </c>
      <c r="CA41" s="240">
        <v>21.2792695058824</v>
      </c>
      <c r="CB41" s="241">
        <v>2.0882352941176499</v>
      </c>
      <c r="CC41" s="170">
        <v>3.0315527704213001</v>
      </c>
      <c r="CD41" s="170">
        <v>3.28378359419278</v>
      </c>
    </row>
    <row r="42" spans="2:82" ht="14.25" x14ac:dyDescent="0.2">
      <c r="B42" s="182" t="s">
        <v>173</v>
      </c>
      <c r="C42" s="262">
        <v>0.61924760010165603</v>
      </c>
      <c r="D42" s="263">
        <v>2.2866187222645</v>
      </c>
      <c r="E42" s="263">
        <v>1.5926717856029</v>
      </c>
      <c r="F42" s="178">
        <v>8.3000000000000007</v>
      </c>
      <c r="G42" s="179">
        <v>4.5999999999999996</v>
      </c>
      <c r="H42" s="262">
        <v>0.85900818885126995</v>
      </c>
      <c r="I42" s="263">
        <v>2.7745110370067301</v>
      </c>
      <c r="J42" s="263">
        <v>2.0521467999019101</v>
      </c>
      <c r="K42" s="178">
        <v>16.899999999999999</v>
      </c>
      <c r="L42" s="178">
        <v>8.8000000000000007</v>
      </c>
      <c r="N42" s="182" t="s">
        <v>173</v>
      </c>
      <c r="O42" s="262">
        <v>0.61924760010165603</v>
      </c>
      <c r="P42" s="178">
        <v>7.7</v>
      </c>
      <c r="Q42" s="178">
        <v>8.3000000000000007</v>
      </c>
      <c r="R42" s="179">
        <v>4.5999999999999996</v>
      </c>
      <c r="S42" s="262">
        <v>0.85900818885126995</v>
      </c>
      <c r="T42" s="178">
        <v>9.3000000000000007</v>
      </c>
      <c r="U42" s="178">
        <v>16.899999999999999</v>
      </c>
      <c r="V42" s="178">
        <v>8.8000000000000007</v>
      </c>
      <c r="X42" s="182" t="s">
        <v>173</v>
      </c>
      <c r="Y42" s="199">
        <v>7.3298699115721441E-2</v>
      </c>
      <c r="Z42" s="200">
        <v>0.18103336424177194</v>
      </c>
      <c r="AA42" s="200">
        <v>9.6907285219846068E-2</v>
      </c>
      <c r="AB42" s="199">
        <v>3.7229496024553721E-2</v>
      </c>
      <c r="AC42" s="200">
        <v>0.18707709507114301</v>
      </c>
      <c r="AD42" s="200">
        <v>7.3733775654348507E-2</v>
      </c>
      <c r="AE42" s="199">
        <v>0.73494773518166678</v>
      </c>
      <c r="AF42" s="200">
        <v>0.31088439987672434</v>
      </c>
      <c r="AG42" s="200">
        <v>5.8988778995750009E-2</v>
      </c>
      <c r="AH42" s="199">
        <v>3.9876592874194511E-2</v>
      </c>
      <c r="AI42" s="200">
        <v>5.0884501721935045E-2</v>
      </c>
      <c r="AJ42" s="200">
        <v>6.5476380892195929E-2</v>
      </c>
      <c r="BK42" s="268">
        <v>36.234542043872302</v>
      </c>
      <c r="BL42" s="268">
        <v>59.654250501928097</v>
      </c>
      <c r="BM42" s="268">
        <v>47.134208375774499</v>
      </c>
      <c r="BN42" s="268">
        <v>76.028042209159395</v>
      </c>
      <c r="BO42" s="268">
        <v>38.313082251747801</v>
      </c>
      <c r="BP42" s="268">
        <v>7.7708079358042799</v>
      </c>
      <c r="BQ42" s="268">
        <v>3.1775414130997102</v>
      </c>
      <c r="BR42" s="268">
        <v>22.951146071052602</v>
      </c>
      <c r="BS42" s="268">
        <v>1.4</v>
      </c>
      <c r="BT42" s="238">
        <v>44.837514519280099</v>
      </c>
      <c r="BU42" s="223">
        <v>70.173383600200097</v>
      </c>
      <c r="BV42" s="223">
        <v>55.033890637364003</v>
      </c>
      <c r="BW42" s="223">
        <v>89.179778451093696</v>
      </c>
      <c r="BX42" s="223">
        <v>38.1055257836964</v>
      </c>
      <c r="BY42" s="223">
        <v>11.535190366845899</v>
      </c>
      <c r="BZ42" s="223">
        <v>2.15578207270877</v>
      </c>
      <c r="CA42" s="248">
        <v>21.777853328125001</v>
      </c>
      <c r="CB42" s="249">
        <v>1.8529411764705901</v>
      </c>
      <c r="CC42" s="170">
        <v>1.5605472988963001</v>
      </c>
      <c r="CD42" s="170">
        <v>1.66266535781512</v>
      </c>
    </row>
    <row r="43" spans="2:82" ht="14.25" x14ac:dyDescent="0.2">
      <c r="B43" s="177" t="s">
        <v>174</v>
      </c>
      <c r="C43" s="262">
        <v>2.1212317034437702</v>
      </c>
      <c r="D43" s="263">
        <v>4.0227876923544796</v>
      </c>
      <c r="E43" s="263">
        <v>6.3124899162306001</v>
      </c>
      <c r="F43" s="178">
        <v>13.4</v>
      </c>
      <c r="G43" s="179">
        <v>5.0999999999999996</v>
      </c>
      <c r="H43" s="262">
        <v>2.3483218409369599</v>
      </c>
      <c r="I43" s="263">
        <v>3.9072087180114901</v>
      </c>
      <c r="J43" s="263">
        <v>6.0750579685802402</v>
      </c>
      <c r="K43" s="178">
        <v>24.7</v>
      </c>
      <c r="L43" s="178">
        <v>10</v>
      </c>
      <c r="N43" s="177" t="s">
        <v>174</v>
      </c>
      <c r="O43" s="262">
        <v>2.1212317034437702</v>
      </c>
      <c r="P43" s="178">
        <v>10</v>
      </c>
      <c r="Q43" s="178">
        <v>13.4</v>
      </c>
      <c r="R43" s="179">
        <v>5.0999999999999996</v>
      </c>
      <c r="S43" s="262">
        <v>2.3483218409369599</v>
      </c>
      <c r="T43" s="178">
        <v>12.6</v>
      </c>
      <c r="U43" s="178">
        <v>24.7</v>
      </c>
      <c r="V43" s="178">
        <v>10</v>
      </c>
      <c r="X43" s="177" t="s">
        <v>174</v>
      </c>
      <c r="Y43" s="199">
        <v>8.0707350583047718E-2</v>
      </c>
      <c r="Z43" s="200">
        <v>3.4575715942282469E-3</v>
      </c>
      <c r="AA43" s="200">
        <v>2.746659318762466E-2</v>
      </c>
      <c r="AB43" s="199">
        <v>0.18423496017123489</v>
      </c>
      <c r="AC43" s="200">
        <v>0.20558844710381213</v>
      </c>
      <c r="AD43" s="200">
        <v>1.5254055075508328E-2</v>
      </c>
      <c r="AE43" s="199">
        <v>0.74616308194040359</v>
      </c>
      <c r="AF43" s="200">
        <v>0.26185299881109519</v>
      </c>
      <c r="AG43" s="200">
        <v>8.5890988920791944E-2</v>
      </c>
      <c r="AH43" s="199">
        <v>5.3704401799913315E-2</v>
      </c>
      <c r="AI43" s="200">
        <v>2.9046503452026567E-2</v>
      </c>
      <c r="AJ43" s="200">
        <v>1.168537495196458E-2</v>
      </c>
      <c r="BK43" s="268">
        <v>46.088091142499898</v>
      </c>
      <c r="BL43" s="268">
        <v>71.436520797496001</v>
      </c>
      <c r="BM43" s="268">
        <v>49.081128278497502</v>
      </c>
      <c r="BN43" s="268">
        <v>86.672565767614202</v>
      </c>
      <c r="BO43" s="268">
        <v>34.491374657334497</v>
      </c>
      <c r="BP43" s="268">
        <v>9.2365370893401799</v>
      </c>
      <c r="BQ43" s="268">
        <v>3.2348411431885999</v>
      </c>
      <c r="BR43" s="268">
        <v>19.542474668604701</v>
      </c>
      <c r="BS43" s="268">
        <v>1.5333333333333301</v>
      </c>
      <c r="BT43" s="238">
        <v>48.752544328507803</v>
      </c>
      <c r="BU43" s="223">
        <v>72.856447185397698</v>
      </c>
      <c r="BV43" s="223">
        <v>54.6414458037519</v>
      </c>
      <c r="BW43" s="223">
        <v>91.070025233349995</v>
      </c>
      <c r="BX43" s="223">
        <v>36.8694499070156</v>
      </c>
      <c r="BY43" s="223">
        <v>10.6324946881725</v>
      </c>
      <c r="BZ43" s="223">
        <v>3.1486340659108198</v>
      </c>
      <c r="CA43" s="248">
        <v>22.40712575625</v>
      </c>
      <c r="CB43" s="249">
        <v>1.73529411764706</v>
      </c>
      <c r="CC43" s="170">
        <v>3.01137992859009</v>
      </c>
      <c r="CD43" s="170">
        <v>2.8852624262364999</v>
      </c>
    </row>
    <row r="44" spans="2:82" ht="14.25" x14ac:dyDescent="0.2">
      <c r="B44" s="181" t="s">
        <v>202</v>
      </c>
      <c r="C44" s="262">
        <v>4.1226380214807401</v>
      </c>
      <c r="D44" s="263">
        <v>1.2178591483655701</v>
      </c>
      <c r="E44" s="263">
        <v>3.6801103882802502</v>
      </c>
      <c r="F44" s="178">
        <v>8.4</v>
      </c>
      <c r="G44" s="179">
        <v>3.3</v>
      </c>
      <c r="H44" s="262">
        <v>3.5490984194056501</v>
      </c>
      <c r="I44" s="263">
        <v>1.2304303664245</v>
      </c>
      <c r="J44" s="263">
        <v>4.9271319895608698</v>
      </c>
      <c r="K44" s="178">
        <v>15.6</v>
      </c>
      <c r="L44" s="178">
        <v>5.9</v>
      </c>
      <c r="N44" s="181" t="s">
        <v>202</v>
      </c>
      <c r="O44" s="262">
        <v>4.1226380214807401</v>
      </c>
      <c r="P44" s="178">
        <v>6.5</v>
      </c>
      <c r="Q44" s="178">
        <v>8.4</v>
      </c>
      <c r="R44" s="179">
        <v>3.3</v>
      </c>
      <c r="S44" s="262">
        <v>3.5490984194056501</v>
      </c>
      <c r="T44" s="178">
        <v>7.4</v>
      </c>
      <c r="U44" s="178">
        <v>15.6</v>
      </c>
      <c r="V44" s="178">
        <v>5.9</v>
      </c>
      <c r="X44" s="181" t="s">
        <v>202</v>
      </c>
      <c r="Y44" s="199">
        <v>4.615728012829238E-3</v>
      </c>
      <c r="Z44" s="200">
        <v>0.14959610721389699</v>
      </c>
      <c r="AA44" s="200">
        <v>8.2141995817317723E-2</v>
      </c>
      <c r="AB44" s="199">
        <v>0.49186017425288897</v>
      </c>
      <c r="AC44" s="200">
        <v>0.34152823225563295</v>
      </c>
      <c r="AD44" s="200">
        <v>1.6448086017658074E-2</v>
      </c>
      <c r="AE44" s="199">
        <v>0.19020821961769321</v>
      </c>
      <c r="AF44" s="200">
        <v>0.46211508849840088</v>
      </c>
      <c r="AG44" s="200">
        <v>0.10705002962596774</v>
      </c>
      <c r="AH44" s="199">
        <v>4.1374010031371145E-2</v>
      </c>
      <c r="AI44" s="200">
        <v>1.4637388752578057E-2</v>
      </c>
      <c r="AJ44" s="200">
        <v>2.1433319244846503E-2</v>
      </c>
      <c r="BK44" s="268">
        <v>22.142512065787201</v>
      </c>
      <c r="BL44" s="268">
        <v>46.067358138170498</v>
      </c>
      <c r="BM44" s="268">
        <v>-37.213459139091299</v>
      </c>
      <c r="BN44" s="268">
        <v>59.220292357664697</v>
      </c>
      <c r="BO44" s="268">
        <v>321.06853630154899</v>
      </c>
      <c r="BP44" s="268">
        <v>9.4406431915324092</v>
      </c>
      <c r="BQ44" s="268">
        <v>3.4882543525079899</v>
      </c>
      <c r="BR44" s="268">
        <v>19.998097524359</v>
      </c>
      <c r="BS44" s="268">
        <v>1.9111111111111101</v>
      </c>
      <c r="BT44" s="235">
        <v>21.567109162349201</v>
      </c>
      <c r="BU44" s="216">
        <v>36.691077403187997</v>
      </c>
      <c r="BV44" s="216">
        <v>-34.5374913567425</v>
      </c>
      <c r="BW44" s="216">
        <v>50.389219781852098</v>
      </c>
      <c r="BX44" s="216">
        <v>316.73180248807301</v>
      </c>
      <c r="BY44" s="216">
        <v>14.4239814634163</v>
      </c>
      <c r="BZ44" s="216">
        <v>3.6690517827104001</v>
      </c>
      <c r="CA44" s="240">
        <v>35.098916729999999</v>
      </c>
      <c r="CB44" s="241">
        <v>1.76470588235294</v>
      </c>
      <c r="CC44" s="170">
        <v>2.9132808424883101</v>
      </c>
      <c r="CD44" s="170">
        <v>3.7359631588548199</v>
      </c>
    </row>
    <row r="45" spans="2:82" ht="14.25" x14ac:dyDescent="0.2">
      <c r="B45" s="177" t="s">
        <v>203</v>
      </c>
      <c r="C45" s="262">
        <v>4.68001326647751</v>
      </c>
      <c r="D45" s="263">
        <v>3.44197126881491</v>
      </c>
      <c r="E45" s="263">
        <v>1.83063575260464</v>
      </c>
      <c r="F45" s="178">
        <v>11.2</v>
      </c>
      <c r="G45" s="179">
        <v>5</v>
      </c>
      <c r="H45" s="262">
        <v>4.8060491311651701</v>
      </c>
      <c r="I45" s="263">
        <v>3.4491328005791702</v>
      </c>
      <c r="J45" s="263">
        <v>1.81726769530859</v>
      </c>
      <c r="K45" s="178">
        <v>21.1</v>
      </c>
      <c r="L45" s="178">
        <v>11</v>
      </c>
      <c r="N45" s="177" t="s">
        <v>203</v>
      </c>
      <c r="O45" s="262">
        <v>4.68001326647751</v>
      </c>
      <c r="P45" s="178">
        <v>6.7</v>
      </c>
      <c r="Q45" s="178">
        <v>11.2</v>
      </c>
      <c r="R45" s="179">
        <v>5</v>
      </c>
      <c r="S45" s="262">
        <v>4.8060491311651701</v>
      </c>
      <c r="T45" s="178">
        <v>8.1</v>
      </c>
      <c r="U45" s="178">
        <v>21.1</v>
      </c>
      <c r="V45" s="178">
        <v>11</v>
      </c>
      <c r="X45" s="177" t="s">
        <v>203</v>
      </c>
      <c r="Y45" s="199">
        <v>9.3082102360241809E-2</v>
      </c>
      <c r="Z45" s="200">
        <v>0.22968335142509361</v>
      </c>
      <c r="AA45" s="200">
        <v>0.14133684350139195</v>
      </c>
      <c r="AB45" s="199">
        <v>1.50662833743654E-3</v>
      </c>
      <c r="AC45" s="200">
        <v>7.4435022990643918E-2</v>
      </c>
      <c r="AD45" s="200">
        <v>2.588102082601023E-2</v>
      </c>
      <c r="AE45" s="199">
        <v>0.38444592134900246</v>
      </c>
      <c r="AF45" s="200">
        <v>0.4945779039351022</v>
      </c>
      <c r="AG45" s="200">
        <v>0.1617704531435662</v>
      </c>
      <c r="AH45" s="199">
        <v>7.2792522534388176E-3</v>
      </c>
      <c r="AI45" s="200">
        <v>2.7919674063656887E-2</v>
      </c>
      <c r="AJ45" s="200">
        <v>1.0168276356517026E-2</v>
      </c>
      <c r="BK45" s="268">
        <v>78.372130148837599</v>
      </c>
      <c r="BL45" s="268">
        <v>7.8177889328544401</v>
      </c>
      <c r="BM45" s="268">
        <v>83.540798416092201</v>
      </c>
      <c r="BN45" s="268">
        <v>83.905797319355798</v>
      </c>
      <c r="BO45" s="268">
        <v>84.653802643006401</v>
      </c>
      <c r="BP45" s="268">
        <v>8.7363083914714004</v>
      </c>
      <c r="BQ45" s="268">
        <v>3.84276727869144</v>
      </c>
      <c r="BR45" s="268">
        <v>22.407492917045499</v>
      </c>
      <c r="BS45" s="268">
        <v>1.9555555555555599</v>
      </c>
      <c r="BT45" s="236">
        <v>70.645884074217904</v>
      </c>
      <c r="BU45" s="221">
        <v>3.1014614622496302</v>
      </c>
      <c r="BV45" s="221">
        <v>75.015908374575602</v>
      </c>
      <c r="BW45" s="221">
        <v>75.079994488975203</v>
      </c>
      <c r="BX45" s="221">
        <v>87.63250875768</v>
      </c>
      <c r="BY45" s="221">
        <v>10.2752224027747</v>
      </c>
      <c r="BZ45" s="221">
        <v>2.77316243403784</v>
      </c>
      <c r="CA45" s="244">
        <v>21.196159282352902</v>
      </c>
      <c r="CB45" s="245">
        <v>2.2058823529411802</v>
      </c>
      <c r="CC45" s="170">
        <v>2.9403550509385701</v>
      </c>
      <c r="CD45" s="170">
        <v>3.8410934215722401</v>
      </c>
    </row>
    <row r="46" spans="2:82" ht="14.25" x14ac:dyDescent="0.2">
      <c r="B46" s="184" t="s">
        <v>204</v>
      </c>
      <c r="C46" s="262">
        <v>1.19548730586078</v>
      </c>
      <c r="D46" s="263">
        <v>1.66449232092549</v>
      </c>
      <c r="E46" s="263">
        <v>3.4420733687609899</v>
      </c>
      <c r="F46" s="178">
        <v>9.8000000000000007</v>
      </c>
      <c r="G46" s="179">
        <v>3.5</v>
      </c>
      <c r="H46" s="262">
        <v>1.1936011414885599</v>
      </c>
      <c r="I46" s="263">
        <v>1.4544938924956701</v>
      </c>
      <c r="J46" s="263">
        <v>3.38831344874666</v>
      </c>
      <c r="K46" s="178">
        <v>18</v>
      </c>
      <c r="L46" s="178">
        <v>6.8</v>
      </c>
      <c r="N46" s="184" t="s">
        <v>204</v>
      </c>
      <c r="O46" s="262">
        <v>1.19548730586078</v>
      </c>
      <c r="P46" s="178">
        <v>6.8</v>
      </c>
      <c r="Q46" s="178">
        <v>9.8000000000000007</v>
      </c>
      <c r="R46" s="179">
        <v>3.5</v>
      </c>
      <c r="S46" s="262">
        <v>1.1936011414885599</v>
      </c>
      <c r="T46" s="178">
        <v>7.7</v>
      </c>
      <c r="U46" s="178">
        <v>18</v>
      </c>
      <c r="V46" s="178">
        <v>6.8</v>
      </c>
      <c r="X46" s="184" t="s">
        <v>204</v>
      </c>
      <c r="Y46" s="199">
        <v>4.8679122499886644E-2</v>
      </c>
      <c r="Z46" s="200">
        <v>0.19874482428689191</v>
      </c>
      <c r="AA46" s="200">
        <v>0.15603572060271756</v>
      </c>
      <c r="AB46" s="199">
        <v>0.14822153080992828</v>
      </c>
      <c r="AC46" s="200">
        <v>0.49811010496100927</v>
      </c>
      <c r="AD46" s="200">
        <v>6.2723498543002909E-2</v>
      </c>
      <c r="AE46" s="199">
        <v>0.59708267204814691</v>
      </c>
      <c r="AF46" s="200">
        <v>0.49137423438415362</v>
      </c>
      <c r="AG46" s="200">
        <v>9.131968090956652E-2</v>
      </c>
      <c r="AH46" s="199">
        <v>3.3252750201959568E-3</v>
      </c>
      <c r="AI46" s="200">
        <v>7.076185242976725E-2</v>
      </c>
      <c r="AJ46" s="200">
        <v>4.5730448849169381E-2</v>
      </c>
      <c r="BK46" s="268">
        <v>34.434499464600897</v>
      </c>
      <c r="BL46" s="268">
        <v>58.375249836888003</v>
      </c>
      <c r="BM46" s="268">
        <v>44.390632238518499</v>
      </c>
      <c r="BN46" s="268">
        <v>73.336198592881104</v>
      </c>
      <c r="BO46" s="268">
        <v>37.250659692572</v>
      </c>
      <c r="BP46" s="268">
        <v>7.5657675689533299</v>
      </c>
      <c r="BQ46" s="268">
        <v>2.5347953339163301</v>
      </c>
      <c r="BR46" s="268">
        <v>16.2048203813954</v>
      </c>
      <c r="BS46" s="268">
        <v>2</v>
      </c>
      <c r="BT46" s="238">
        <v>32.419205419398402</v>
      </c>
      <c r="BU46" s="223">
        <v>55.544759039716801</v>
      </c>
      <c r="BV46" s="223">
        <v>41.251377237303998</v>
      </c>
      <c r="BW46" s="223">
        <v>69.187400448019204</v>
      </c>
      <c r="BX46" s="223">
        <v>36.600132092774999</v>
      </c>
      <c r="BY46" s="223">
        <v>9.4876803225778694</v>
      </c>
      <c r="BZ46" s="223">
        <v>2.02509082333497</v>
      </c>
      <c r="CA46" s="248">
        <v>19.719149197058801</v>
      </c>
      <c r="CB46" s="249">
        <v>2.1176470588235299</v>
      </c>
      <c r="CC46" s="170">
        <v>2.5497256827552301</v>
      </c>
      <c r="CD46" s="170">
        <v>2.9759580531822398</v>
      </c>
    </row>
    <row r="47" spans="2:82" ht="15" thickBot="1" x14ac:dyDescent="0.25">
      <c r="B47" s="185" t="s">
        <v>205</v>
      </c>
      <c r="C47" s="264">
        <v>4.2127763802203297</v>
      </c>
      <c r="D47" s="265">
        <v>6.3560674285102898</v>
      </c>
      <c r="E47" s="265">
        <v>3.7176711628803401</v>
      </c>
      <c r="F47" s="186">
        <v>9.3000000000000007</v>
      </c>
      <c r="G47" s="187">
        <v>3.6</v>
      </c>
      <c r="H47" s="264">
        <v>4.9036327504257899</v>
      </c>
      <c r="I47" s="265">
        <v>6.1050805234840304</v>
      </c>
      <c r="J47" s="265">
        <v>3.8921022380330199</v>
      </c>
      <c r="K47" s="186">
        <v>18.3</v>
      </c>
      <c r="L47" s="186">
        <v>7.8</v>
      </c>
      <c r="N47" s="185" t="s">
        <v>205</v>
      </c>
      <c r="O47" s="264">
        <v>4.2127763802203297</v>
      </c>
      <c r="P47" s="186">
        <v>7.4</v>
      </c>
      <c r="Q47" s="186">
        <v>9.3000000000000007</v>
      </c>
      <c r="R47" s="187">
        <v>3.6</v>
      </c>
      <c r="S47" s="264">
        <v>4.9036327504257899</v>
      </c>
      <c r="T47" s="186">
        <v>7.8</v>
      </c>
      <c r="U47" s="186">
        <v>18.3</v>
      </c>
      <c r="V47" s="186">
        <v>7.8</v>
      </c>
      <c r="X47" s="185" t="s">
        <v>205</v>
      </c>
      <c r="Y47" s="201">
        <v>6.0617245790159272E-2</v>
      </c>
      <c r="Z47" s="202">
        <v>0.18900288310368413</v>
      </c>
      <c r="AA47" s="202">
        <v>1.5240076566112756E-2</v>
      </c>
      <c r="AB47" s="201">
        <v>0.29478542878478714</v>
      </c>
      <c r="AC47" s="202">
        <v>0.25651367195882169</v>
      </c>
      <c r="AD47" s="202">
        <v>0.18034921170816653</v>
      </c>
      <c r="AE47" s="201">
        <v>0.41274709315332503</v>
      </c>
      <c r="AF47" s="202">
        <v>0.38450499428254953</v>
      </c>
      <c r="AG47" s="202">
        <v>0.21780878847041527</v>
      </c>
      <c r="AH47" s="201">
        <v>7.529316523282179E-4</v>
      </c>
      <c r="AI47" s="202">
        <v>3.4810540059301759E-2</v>
      </c>
      <c r="AJ47" s="202">
        <v>8.4403638225978364E-2</v>
      </c>
      <c r="BK47" s="268">
        <v>65.333873387921997</v>
      </c>
      <c r="BL47" s="268">
        <v>-25.902903025033002</v>
      </c>
      <c r="BM47" s="268">
        <v>-43.614415218110999</v>
      </c>
      <c r="BN47" s="268">
        <v>50.726498005894904</v>
      </c>
      <c r="BO47" s="268">
        <v>239.29363050297201</v>
      </c>
      <c r="BP47" s="268">
        <v>9.7241967720135403</v>
      </c>
      <c r="BQ47" s="268">
        <v>4.9632042070437299</v>
      </c>
      <c r="BR47" s="268">
        <v>20.255428468292699</v>
      </c>
      <c r="BS47" s="268">
        <v>1.5444444444444401</v>
      </c>
      <c r="BT47" s="237">
        <v>66.003182175259397</v>
      </c>
      <c r="BU47" s="222">
        <v>-16.7892216089908</v>
      </c>
      <c r="BV47" s="222">
        <v>-43.447567396730399</v>
      </c>
      <c r="BW47" s="222">
        <v>46.578633244538601</v>
      </c>
      <c r="BX47" s="222">
        <v>248.87222701228899</v>
      </c>
      <c r="BY47" s="222">
        <v>8.8922581369250402</v>
      </c>
      <c r="BZ47" s="222">
        <v>3.1091820063734201</v>
      </c>
      <c r="CA47" s="246">
        <v>20.693333514705898</v>
      </c>
      <c r="CB47" s="247">
        <v>1.8235294117647101</v>
      </c>
      <c r="CC47" s="170">
        <v>2.1139074787209902</v>
      </c>
      <c r="CD47" s="170">
        <v>2.6370216785088898</v>
      </c>
    </row>
    <row r="48" spans="2:82" ht="15" thickBot="1" x14ac:dyDescent="0.25">
      <c r="B48" s="188" t="s">
        <v>187</v>
      </c>
      <c r="C48" s="195">
        <f>AVERAGE(C30:C47)</f>
        <v>2.056215916951428</v>
      </c>
      <c r="D48" s="196">
        <f t="shared" ref="D48:F48" si="2">AVERAGE(D30:D47)</f>
        <v>3.4237219884821481</v>
      </c>
      <c r="E48" s="196">
        <f t="shared" si="2"/>
        <v>4.0818455418370565</v>
      </c>
      <c r="F48" s="196">
        <f t="shared" si="2"/>
        <v>10.58888888888889</v>
      </c>
      <c r="G48" s="205">
        <f>AVERAGE(G30:G47)</f>
        <v>4.2055555555555548</v>
      </c>
      <c r="H48" s="195">
        <f>AVERAGE(H30:H47)</f>
        <v>2.2517571719314931</v>
      </c>
      <c r="I48" s="196">
        <f t="shared" ref="I48" si="3">AVERAGE(I30:I47)</f>
        <v>3.7581953418307545</v>
      </c>
      <c r="J48" s="196">
        <f t="shared" ref="J48" si="4">AVERAGE(J30:J47)</f>
        <v>4.6137545651553751</v>
      </c>
      <c r="K48" s="196">
        <f t="shared" ref="K48" si="5">AVERAGE(K30:K47)</f>
        <v>20.544444444444448</v>
      </c>
      <c r="L48" s="196">
        <f>AVERAGE(L30:L47)</f>
        <v>8.1500000000000021</v>
      </c>
      <c r="N48" s="188" t="s">
        <v>187</v>
      </c>
      <c r="O48" s="195">
        <f>AVERAGE(O30:O47)</f>
        <v>2.056215916951428</v>
      </c>
      <c r="P48" s="196">
        <f t="shared" ref="P48:V48" si="6">AVERAGE(P30:P47)</f>
        <v>7.3999999999999995</v>
      </c>
      <c r="Q48" s="196">
        <f t="shared" si="6"/>
        <v>10.58888888888889</v>
      </c>
      <c r="R48" s="205">
        <f t="shared" si="6"/>
        <v>4.2055555555555548</v>
      </c>
      <c r="S48" s="195">
        <f>AVERAGE(S30:S47)</f>
        <v>2.2517571719314931</v>
      </c>
      <c r="T48" s="196">
        <f t="shared" si="6"/>
        <v>8.8277777777777775</v>
      </c>
      <c r="U48" s="196">
        <f t="shared" si="6"/>
        <v>20.544444444444448</v>
      </c>
      <c r="V48" s="196">
        <f t="shared" si="6"/>
        <v>8.1500000000000021</v>
      </c>
      <c r="X48" s="188" t="s">
        <v>187</v>
      </c>
      <c r="Y48" s="203">
        <v>5.6093400223002784E-2</v>
      </c>
      <c r="Z48" s="204">
        <v>0.12912055161641589</v>
      </c>
      <c r="AA48" s="204">
        <v>0.1000195222731462</v>
      </c>
      <c r="AB48" s="203">
        <v>0.20720269364586286</v>
      </c>
      <c r="AC48" s="204">
        <v>0.20251678014477426</v>
      </c>
      <c r="AD48" s="204">
        <v>0.10864169004673968</v>
      </c>
      <c r="AE48" s="203">
        <v>0.54983031259693371</v>
      </c>
      <c r="AF48" s="204">
        <v>0.42249908747659337</v>
      </c>
      <c r="AG48" s="204">
        <v>0.11474674508432076</v>
      </c>
      <c r="AH48" s="203">
        <v>3.2015498107721863E-2</v>
      </c>
      <c r="AI48" s="204">
        <v>4.7793536320624004E-2</v>
      </c>
      <c r="AJ48" s="204">
        <v>5.1479863011009146E-2</v>
      </c>
      <c r="BK48" s="268">
        <v>63.1228652991893</v>
      </c>
      <c r="BL48" s="268">
        <v>-19.971624401423998</v>
      </c>
      <c r="BM48" s="268">
        <v>-52.133235443407301</v>
      </c>
      <c r="BN48" s="268">
        <v>55.8277710376234</v>
      </c>
      <c r="BO48" s="268">
        <v>249.03875605683501</v>
      </c>
      <c r="BP48" s="268">
        <v>7.5088268830451197</v>
      </c>
      <c r="BQ48" s="268">
        <v>4.1351506150819199</v>
      </c>
      <c r="BR48" s="268">
        <v>16.779394050000001</v>
      </c>
      <c r="BS48" s="268">
        <v>2.2222222222222201</v>
      </c>
      <c r="BT48" s="237">
        <v>57.3604922123302</v>
      </c>
      <c r="BU48" s="222">
        <v>-3.1007204593167002</v>
      </c>
      <c r="BV48" s="222">
        <v>-58.839418732982303</v>
      </c>
      <c r="BW48" s="222">
        <v>58.9210629928047</v>
      </c>
      <c r="BX48" s="222">
        <v>266.98341662727802</v>
      </c>
      <c r="BY48" s="222">
        <v>8.6549362346914496</v>
      </c>
      <c r="BZ48" s="222">
        <v>4.5552416284363799</v>
      </c>
      <c r="CA48" s="246">
        <v>20.933459038235299</v>
      </c>
      <c r="CB48" s="247">
        <v>2.1764705882352899</v>
      </c>
      <c r="CC48" s="170">
        <v>3.34684131011816</v>
      </c>
      <c r="CD48" s="170">
        <v>4.4357130363124204</v>
      </c>
    </row>
    <row r="49" spans="24:82" ht="14.25" x14ac:dyDescent="0.2">
      <c r="BK49" s="268">
        <v>48.677864880990199</v>
      </c>
      <c r="BL49" s="268">
        <v>-67.856858121147297</v>
      </c>
      <c r="BM49" s="268">
        <v>51.6391423538929</v>
      </c>
      <c r="BN49" s="268">
        <v>85.271063187456093</v>
      </c>
      <c r="BO49" s="268">
        <v>142.72882598588899</v>
      </c>
      <c r="BP49" s="268">
        <v>13.034341611983001</v>
      </c>
      <c r="BQ49" s="268">
        <v>5.1958370386356103</v>
      </c>
      <c r="BR49" s="268">
        <v>20.366666080952399</v>
      </c>
      <c r="BS49" s="268">
        <v>1.6111111111111101</v>
      </c>
      <c r="BT49" s="234">
        <v>37.161609572605499</v>
      </c>
      <c r="BU49" s="220">
        <v>-55.100025825552699</v>
      </c>
      <c r="BV49" s="220">
        <v>34.214704088405398</v>
      </c>
      <c r="BW49" s="220">
        <v>64.858760563502301</v>
      </c>
      <c r="BX49" s="220">
        <v>148.16152906232301</v>
      </c>
      <c r="BY49" s="220">
        <v>12.9729645976333</v>
      </c>
      <c r="BZ49" s="220">
        <v>3.6760530621976502</v>
      </c>
      <c r="CA49" s="242">
        <v>25.112377614705899</v>
      </c>
      <c r="CB49" s="243">
        <v>1.76470588235294</v>
      </c>
      <c r="CC49" s="170">
        <v>5.7187886104147401</v>
      </c>
      <c r="CD49" s="170">
        <v>6.42005055478384</v>
      </c>
    </row>
    <row r="50" spans="24:82" ht="14.25" x14ac:dyDescent="0.2">
      <c r="BK50" s="268">
        <v>78.033776611849305</v>
      </c>
      <c r="BL50" s="268">
        <v>18.317687409943701</v>
      </c>
      <c r="BM50" s="268">
        <v>86.5257887623155</v>
      </c>
      <c r="BN50" s="268">
        <v>88.443483609530304</v>
      </c>
      <c r="BO50" s="268">
        <v>78.046851291028304</v>
      </c>
      <c r="BP50" s="268">
        <v>7.6941763974758501</v>
      </c>
      <c r="BQ50" s="268">
        <v>3.2146638505398801</v>
      </c>
      <c r="BR50" s="268">
        <v>19.623495818181802</v>
      </c>
      <c r="BS50" s="268">
        <v>2.2111111111111099</v>
      </c>
      <c r="BT50" s="236">
        <v>70.565562929340103</v>
      </c>
      <c r="BU50" s="221">
        <v>9.6606171534091292</v>
      </c>
      <c r="BV50" s="221">
        <v>79.053873383194102</v>
      </c>
      <c r="BW50" s="221">
        <v>79.641963942828696</v>
      </c>
      <c r="BX50" s="221">
        <v>83.032830785186803</v>
      </c>
      <c r="BY50" s="221">
        <v>11.0077014906076</v>
      </c>
      <c r="BZ50" s="221">
        <v>4.0278799645444101</v>
      </c>
      <c r="CA50" s="244">
        <v>19.0297408823529</v>
      </c>
      <c r="CB50" s="245">
        <v>2.02941176470588</v>
      </c>
      <c r="CC50" s="170">
        <v>3.6526427056056199</v>
      </c>
      <c r="CD50" s="170">
        <v>4.1896485081153498</v>
      </c>
    </row>
    <row r="51" spans="24:82" ht="14.25" x14ac:dyDescent="0.2">
      <c r="BK51" s="268">
        <v>51.831925682729903</v>
      </c>
      <c r="BL51" s="268">
        <v>-79.964715758564793</v>
      </c>
      <c r="BM51" s="268">
        <v>49.819388212707501</v>
      </c>
      <c r="BN51" s="268">
        <v>94.214262233679406</v>
      </c>
      <c r="BO51" s="268">
        <v>148.07638648800099</v>
      </c>
      <c r="BP51" s="268">
        <v>9.6067952563342498</v>
      </c>
      <c r="BQ51" s="268">
        <v>5.0857028802329598</v>
      </c>
      <c r="BR51" s="268">
        <v>19.684767743181801</v>
      </c>
      <c r="BS51" s="268">
        <v>1.9222222222222201</v>
      </c>
      <c r="BT51" s="234">
        <v>52.930359303857898</v>
      </c>
      <c r="BU51" s="220">
        <v>-76.482813499493801</v>
      </c>
      <c r="BV51" s="220">
        <v>41.281028878113602</v>
      </c>
      <c r="BW51" s="220">
        <v>86.912278223700895</v>
      </c>
      <c r="BX51" s="220">
        <v>151.64237544693</v>
      </c>
      <c r="BY51" s="220">
        <v>11.7478747082471</v>
      </c>
      <c r="BZ51" s="220">
        <v>4.5285247892767497</v>
      </c>
      <c r="CA51" s="242">
        <v>26.507044535294099</v>
      </c>
      <c r="CB51" s="243">
        <v>2.1764705882352899</v>
      </c>
      <c r="CC51" s="170">
        <v>1.98122734798027</v>
      </c>
      <c r="CD51" s="170">
        <v>2.1015954674866202</v>
      </c>
    </row>
    <row r="52" spans="24:82" ht="14.25" x14ac:dyDescent="0.2">
      <c r="BK52" s="268">
        <v>49.729140923295198</v>
      </c>
      <c r="BL52" s="268">
        <v>75.939783201408005</v>
      </c>
      <c r="BM52" s="268">
        <v>52.659571471562202</v>
      </c>
      <c r="BN52" s="268">
        <v>92.411477318812601</v>
      </c>
      <c r="BO52" s="268">
        <v>34.738929818771503</v>
      </c>
      <c r="BP52" s="268">
        <v>8.3047046414292307</v>
      </c>
      <c r="BQ52" s="268">
        <v>3.3065089387446802</v>
      </c>
      <c r="BR52" s="268">
        <v>19.040772845454502</v>
      </c>
      <c r="BS52" s="268">
        <v>1.8888888888888899</v>
      </c>
      <c r="BT52" s="238">
        <v>50.101673925068098</v>
      </c>
      <c r="BU52" s="223">
        <v>76.384073579151703</v>
      </c>
      <c r="BV52" s="223">
        <v>56.742140275443901</v>
      </c>
      <c r="BW52" s="223">
        <v>95.153545281210697</v>
      </c>
      <c r="BX52" s="223">
        <v>36.606922850891998</v>
      </c>
      <c r="BY52" s="223">
        <v>9.5871071029529205</v>
      </c>
      <c r="BZ52" s="223">
        <v>2.6922076042553398</v>
      </c>
      <c r="CA52" s="248">
        <v>22.175930661764699</v>
      </c>
      <c r="CB52" s="249">
        <v>2.1764705882352899</v>
      </c>
      <c r="CC52" s="170">
        <v>0.60980477442791003</v>
      </c>
      <c r="CD52" s="170">
        <v>0.53443207800007997</v>
      </c>
    </row>
    <row r="53" spans="24:82" ht="14.25" x14ac:dyDescent="0.2">
      <c r="X53" s="170">
        <v>5.0045000000000002</v>
      </c>
      <c r="Y53" s="170">
        <v>5.4310700000000001</v>
      </c>
      <c r="Z53" s="170">
        <v>6.2261199999999999</v>
      </c>
      <c r="AA53" s="170">
        <v>5.1277999999999997</v>
      </c>
      <c r="AB53" s="170">
        <f>(Y53-$X53)/$X53</f>
        <v>8.5237286442201993E-2</v>
      </c>
      <c r="AC53" s="170">
        <f t="shared" ref="AC53" si="7">(Z53-$X53)/$X53</f>
        <v>0.24410430612448789</v>
      </c>
      <c r="AD53" s="170">
        <f>(AA53-$X53)/$X53</f>
        <v>2.463782595663893E-2</v>
      </c>
      <c r="BK53" s="268">
        <v>46.987109906926101</v>
      </c>
      <c r="BL53" s="268">
        <v>15.654973817200601</v>
      </c>
      <c r="BM53" s="268">
        <v>-71.758112733398903</v>
      </c>
      <c r="BN53" s="268">
        <v>73.445932142470696</v>
      </c>
      <c r="BO53" s="268">
        <v>282.30699321203798</v>
      </c>
      <c r="BP53" s="268">
        <v>9.2145920168157804</v>
      </c>
      <c r="BQ53" s="268">
        <v>4.2346543284412999</v>
      </c>
      <c r="BR53" s="268">
        <v>14.427874763953501</v>
      </c>
      <c r="BS53" s="268">
        <v>2.2000000000000002</v>
      </c>
      <c r="BT53" s="237">
        <v>48.528200422840797</v>
      </c>
      <c r="BU53" s="222">
        <v>10.4199787863274</v>
      </c>
      <c r="BV53" s="222">
        <v>-68.477872565526098</v>
      </c>
      <c r="BW53" s="222">
        <v>69.266117178660593</v>
      </c>
      <c r="BX53" s="222">
        <v>278.652078084283</v>
      </c>
      <c r="BY53" s="222">
        <v>5.64468144255056</v>
      </c>
      <c r="BZ53" s="222">
        <v>2.6207801616687898</v>
      </c>
      <c r="CA53" s="246">
        <v>12.998338483333301</v>
      </c>
      <c r="CB53" s="247">
        <v>2.2058823529411802</v>
      </c>
      <c r="CC53" s="170">
        <v>2.2962542849622101</v>
      </c>
      <c r="CD53" s="170">
        <v>2.2486626821512701</v>
      </c>
    </row>
    <row r="54" spans="24:82" ht="14.25" x14ac:dyDescent="0.2">
      <c r="X54" s="170">
        <v>5.3882500000000002</v>
      </c>
      <c r="Y54" s="170">
        <v>5.3210499999999996</v>
      </c>
      <c r="Z54" s="170">
        <v>5.8999600000000001</v>
      </c>
      <c r="AA54" s="170">
        <v>5.3057699999999999</v>
      </c>
      <c r="AB54" s="170">
        <f t="shared" ref="AB54:AB70" si="8">(Y54-$X54)/$X54</f>
        <v>-1.2471581682364513E-2</v>
      </c>
      <c r="AC54" s="170">
        <f t="shared" ref="AC54:AC70" si="9">(Z54-$X54)/$X54</f>
        <v>9.4967753908968569E-2</v>
      </c>
      <c r="AD54" s="170">
        <f t="shared" ref="AD54:AD70" si="10">(AA54-$X54)/$X54</f>
        <v>-1.5307381802997323E-2</v>
      </c>
      <c r="BK54" s="268">
        <v>83.321736996381603</v>
      </c>
      <c r="BL54" s="268">
        <v>12.5730886310409</v>
      </c>
      <c r="BM54" s="268">
        <v>15.4571896917072</v>
      </c>
      <c r="BN54" s="268">
        <v>19.925041302075901</v>
      </c>
      <c r="BO54" s="268">
        <v>50.874624079091902</v>
      </c>
      <c r="BP54" s="268">
        <v>9.3478220969883807</v>
      </c>
      <c r="BQ54" s="268">
        <v>4.4171663706976796</v>
      </c>
      <c r="BR54" s="268">
        <v>22.3528181595238</v>
      </c>
      <c r="BS54" s="268">
        <v>1.4</v>
      </c>
      <c r="BT54" s="235">
        <v>82.904327916158707</v>
      </c>
      <c r="BU54" s="216">
        <v>9.0864016590654906</v>
      </c>
      <c r="BV54" s="216">
        <v>13.7031865393009</v>
      </c>
      <c r="BW54" s="216">
        <v>16.442019840662699</v>
      </c>
      <c r="BX54" s="216">
        <v>56.452168602106099</v>
      </c>
      <c r="BY54" s="216">
        <v>8.8851041911446398</v>
      </c>
      <c r="BZ54" s="216">
        <v>4.9104492064450698</v>
      </c>
      <c r="CA54" s="240">
        <v>19.536465485294102</v>
      </c>
      <c r="CB54" s="241">
        <v>1.76470588235294</v>
      </c>
      <c r="CC54" s="170">
        <v>2.46479029520482</v>
      </c>
      <c r="CD54" s="170">
        <v>2.6066982218608099</v>
      </c>
    </row>
    <row r="55" spans="24:82" ht="14.25" x14ac:dyDescent="0.2">
      <c r="X55" s="170">
        <v>3.6283799999999999</v>
      </c>
      <c r="Y55" s="170">
        <v>4.0854100000000004</v>
      </c>
      <c r="Z55" s="170">
        <v>3.6919400000000002</v>
      </c>
      <c r="AA55" s="170">
        <v>4.8667400000000001</v>
      </c>
      <c r="AB55" s="170">
        <f t="shared" si="8"/>
        <v>0.12595979472932839</v>
      </c>
      <c r="AC55" s="170">
        <f t="shared" si="9"/>
        <v>1.7517459582513488E-2</v>
      </c>
      <c r="AD55" s="170">
        <f t="shared" si="10"/>
        <v>0.34129832046257563</v>
      </c>
      <c r="BK55" s="268">
        <v>83.4184531189685</v>
      </c>
      <c r="BL55" s="268">
        <v>11.435083917945899</v>
      </c>
      <c r="BM55" s="268">
        <v>14.051771012589599</v>
      </c>
      <c r="BN55" s="268">
        <v>18.116661193517999</v>
      </c>
      <c r="BO55" s="268">
        <v>50.861910384550498</v>
      </c>
      <c r="BP55" s="268">
        <v>9.9100169677594305</v>
      </c>
      <c r="BQ55" s="268">
        <v>4.34476989612733</v>
      </c>
      <c r="BR55" s="268">
        <v>20.830311045121999</v>
      </c>
      <c r="BS55" s="268">
        <v>1.2777777777777799</v>
      </c>
      <c r="BT55" s="235">
        <v>83.824391720062394</v>
      </c>
      <c r="BU55" s="216">
        <v>7.9501870999802398</v>
      </c>
      <c r="BV55" s="216">
        <v>14.952071477236199</v>
      </c>
      <c r="BW55" s="216">
        <v>16.9342822813685</v>
      </c>
      <c r="BX55" s="216">
        <v>61.999911356437103</v>
      </c>
      <c r="BY55" s="216">
        <v>9.1076817821010803</v>
      </c>
      <c r="BZ55" s="216">
        <v>3.6545432560208702</v>
      </c>
      <c r="CA55" s="240">
        <v>20.2997638764706</v>
      </c>
      <c r="CB55" s="241">
        <v>1.6470588235294099</v>
      </c>
      <c r="CC55" s="170">
        <v>5.1743510959930203</v>
      </c>
      <c r="CD55" s="170">
        <v>5.7044458234565898</v>
      </c>
    </row>
    <row r="56" spans="24:82" ht="14.25" x14ac:dyDescent="0.2">
      <c r="X56" s="170">
        <v>4.8620000000000001</v>
      </c>
      <c r="Y56" s="170">
        <v>5.8179499999999997</v>
      </c>
      <c r="Z56" s="170">
        <v>5.12866</v>
      </c>
      <c r="AA56" s="170">
        <v>3.6026500000000001</v>
      </c>
      <c r="AB56" s="170">
        <f t="shared" si="8"/>
        <v>0.19661661867544211</v>
      </c>
      <c r="AC56" s="170">
        <f t="shared" si="9"/>
        <v>5.4845742492801296E-2</v>
      </c>
      <c r="AD56" s="170">
        <f t="shared" si="10"/>
        <v>-0.25901892225421635</v>
      </c>
      <c r="BK56" s="268">
        <v>78.202419367660895</v>
      </c>
      <c r="BL56" s="268">
        <v>15.315595753322301</v>
      </c>
      <c r="BM56" s="268">
        <v>21.382540542959401</v>
      </c>
      <c r="BN56" s="268">
        <v>26.301720729839801</v>
      </c>
      <c r="BO56" s="268">
        <v>54.387246417919798</v>
      </c>
      <c r="BP56" s="268">
        <v>10.483362401731</v>
      </c>
      <c r="BQ56" s="268">
        <v>3.76223928847006</v>
      </c>
      <c r="BR56" s="268">
        <v>22.902904265116302</v>
      </c>
      <c r="BS56" s="268">
        <v>1.5333333333333301</v>
      </c>
      <c r="BT56" s="235">
        <v>78.115481072892806</v>
      </c>
      <c r="BU56" s="216">
        <v>10.258132252212199</v>
      </c>
      <c r="BV56" s="216">
        <v>16.419013141454901</v>
      </c>
      <c r="BW56" s="216">
        <v>19.360094778774801</v>
      </c>
      <c r="BX56" s="216">
        <v>58.004030326239203</v>
      </c>
      <c r="BY56" s="216">
        <v>9.5978139217829899</v>
      </c>
      <c r="BZ56" s="216">
        <v>4.2481489244570501</v>
      </c>
      <c r="CA56" s="240">
        <v>22.7427791147059</v>
      </c>
      <c r="CB56" s="241">
        <v>1.9117647058823499</v>
      </c>
      <c r="CC56" s="170">
        <v>3.6387095443956698</v>
      </c>
      <c r="CD56" s="170">
        <v>4.39118992364953</v>
      </c>
    </row>
    <row r="57" spans="24:82" ht="14.25" x14ac:dyDescent="0.2">
      <c r="X57" s="170">
        <v>3.6913399999999998</v>
      </c>
      <c r="Y57" s="170">
        <v>3.5082100000000001</v>
      </c>
      <c r="Z57" s="170">
        <v>3.8823300000000001</v>
      </c>
      <c r="AA57" s="170">
        <v>3.3845100000000001</v>
      </c>
      <c r="AB57" s="170">
        <f t="shared" si="8"/>
        <v>-4.9610710473703259E-2</v>
      </c>
      <c r="AC57" s="170">
        <f t="shared" si="9"/>
        <v>5.1740018529856428E-2</v>
      </c>
      <c r="AD57" s="170">
        <f t="shared" si="10"/>
        <v>-8.3121576446493609E-2</v>
      </c>
      <c r="BK57" s="268">
        <v>70.727683296022306</v>
      </c>
      <c r="BL57" s="268">
        <v>15.366318640335001</v>
      </c>
      <c r="BM57" s="268">
        <v>25.930702263886801</v>
      </c>
      <c r="BN57" s="268">
        <v>30.141749591798</v>
      </c>
      <c r="BO57" s="268">
        <v>59.349370377808498</v>
      </c>
      <c r="BP57" s="268">
        <v>12.480944280794001</v>
      </c>
      <c r="BQ57" s="268">
        <v>5.1256812540243102</v>
      </c>
      <c r="BR57" s="268">
        <v>23.1732402744186</v>
      </c>
      <c r="BS57" s="268">
        <v>1.24444444444444</v>
      </c>
      <c r="BT57" s="235">
        <v>72.866743599341802</v>
      </c>
      <c r="BU57" s="216">
        <v>13.2886137500491</v>
      </c>
      <c r="BV57" s="216">
        <v>22.639735743450899</v>
      </c>
      <c r="BW57" s="216">
        <v>26.251569285116702</v>
      </c>
      <c r="BX57" s="216">
        <v>59.588780940658403</v>
      </c>
      <c r="BY57" s="216">
        <v>12.238723476361701</v>
      </c>
      <c r="BZ57" s="216">
        <v>4.8403321369084296</v>
      </c>
      <c r="CA57" s="240">
        <v>24.212824568750001</v>
      </c>
      <c r="CB57" s="241">
        <v>1.5</v>
      </c>
      <c r="CC57" s="170">
        <v>2.8489262326998999</v>
      </c>
      <c r="CD57" s="170">
        <v>3.3250058010286101</v>
      </c>
    </row>
    <row r="58" spans="24:82" ht="14.25" x14ac:dyDescent="0.2">
      <c r="X58" s="170">
        <v>5.5549600000000003</v>
      </c>
      <c r="Y58" s="170">
        <v>5.5654000000000003</v>
      </c>
      <c r="Z58" s="170">
        <v>6.6546700000000003</v>
      </c>
      <c r="AA58" s="170">
        <v>5.9617399999999998</v>
      </c>
      <c r="AB58" s="170">
        <f t="shared" si="8"/>
        <v>1.8794014718377817E-3</v>
      </c>
      <c r="AC58" s="170">
        <f t="shared" si="9"/>
        <v>0.19796902227918831</v>
      </c>
      <c r="AD58" s="170">
        <f t="shared" si="10"/>
        <v>7.3228250068407233E-2</v>
      </c>
      <c r="BK58" s="268">
        <v>13.347135700472901</v>
      </c>
      <c r="BL58" s="268">
        <v>10.077838390544899</v>
      </c>
      <c r="BM58" s="268">
        <v>9.5903720548254903</v>
      </c>
      <c r="BN58" s="268">
        <v>13.911795814197401</v>
      </c>
      <c r="BO58" s="268">
        <v>43.580244650773999</v>
      </c>
      <c r="BP58" s="268">
        <v>9.8735201725191004</v>
      </c>
      <c r="BQ58" s="268">
        <v>4.1349431039841003</v>
      </c>
      <c r="BR58" s="268">
        <v>19.844352886842099</v>
      </c>
      <c r="BS58" s="268">
        <v>1.17777777777778</v>
      </c>
      <c r="BT58" s="235">
        <v>25.889655317055698</v>
      </c>
      <c r="BU58" s="216">
        <v>12.057202746994101</v>
      </c>
      <c r="BV58" s="216">
        <v>19.331115661571701</v>
      </c>
      <c r="BW58" s="216">
        <v>22.783067633731498</v>
      </c>
      <c r="BX58" s="216">
        <v>58.047386523959403</v>
      </c>
      <c r="BY58" s="216">
        <v>14.9446419595153</v>
      </c>
      <c r="BZ58" s="216">
        <v>3.30738222641541</v>
      </c>
      <c r="CA58" s="240">
        <v>24.307227735294099</v>
      </c>
      <c r="CB58" s="241">
        <v>1.6176470588235301</v>
      </c>
      <c r="CC58" s="170">
        <v>6.81862378689432</v>
      </c>
      <c r="CD58" s="170">
        <v>8.7755661686230404</v>
      </c>
    </row>
    <row r="59" spans="24:82" ht="15" thickBot="1" x14ac:dyDescent="0.25">
      <c r="X59" s="170">
        <v>3.0713499999999998</v>
      </c>
      <c r="Y59" s="170">
        <v>3.77494</v>
      </c>
      <c r="Z59" s="170">
        <v>4.0297200000000002</v>
      </c>
      <c r="AA59" s="170">
        <v>3.2157399999999998</v>
      </c>
      <c r="AB59" s="170">
        <f t="shared" si="8"/>
        <v>0.22908167418236286</v>
      </c>
      <c r="AC59" s="170">
        <f t="shared" si="9"/>
        <v>0.31203542416201357</v>
      </c>
      <c r="AD59" s="170">
        <f t="shared" si="10"/>
        <v>4.7011900304426403E-2</v>
      </c>
      <c r="BK59" s="268">
        <v>8.1815659940852807</v>
      </c>
      <c r="BL59" s="268">
        <v>9.2040173052710799</v>
      </c>
      <c r="BM59" s="268">
        <v>7.0678243479838203</v>
      </c>
      <c r="BN59" s="268">
        <v>11.6046574947166</v>
      </c>
      <c r="BO59" s="268">
        <v>37.520891372595599</v>
      </c>
      <c r="BP59" s="268">
        <v>7.8826425839337597</v>
      </c>
      <c r="BQ59" s="268">
        <v>2.85421567415024</v>
      </c>
      <c r="BR59" s="268">
        <v>19.276608077500001</v>
      </c>
      <c r="BS59" s="268">
        <v>1.5333333333333301</v>
      </c>
      <c r="BT59" s="235">
        <v>13.815602623666701</v>
      </c>
      <c r="BU59" s="216">
        <v>12.028143265292</v>
      </c>
      <c r="BV59" s="216">
        <v>14.0133312437914</v>
      </c>
      <c r="BW59" s="216">
        <v>18.467530505149</v>
      </c>
      <c r="BX59" s="216">
        <v>49.359327924008703</v>
      </c>
      <c r="BY59" s="216">
        <v>8.58910194005915</v>
      </c>
      <c r="BZ59" s="216">
        <v>3.6406021572088099</v>
      </c>
      <c r="CA59" s="240">
        <v>26.261786403125001</v>
      </c>
      <c r="CB59" s="241">
        <v>1.6176470588235301</v>
      </c>
      <c r="CC59" s="170">
        <v>7.0666217766056096</v>
      </c>
      <c r="CD59" s="170">
        <v>7.9779421909673296</v>
      </c>
    </row>
    <row r="60" spans="24:82" ht="14.25" thickTop="1" thickBot="1" x14ac:dyDescent="0.25">
      <c r="X60" s="170">
        <v>5.0945600000000004</v>
      </c>
      <c r="Y60" s="170">
        <v>4.3412600000000001</v>
      </c>
      <c r="Z60" s="170">
        <v>4.9417799999999996</v>
      </c>
      <c r="AA60" s="170">
        <v>3.2348400000000002</v>
      </c>
      <c r="AB60" s="170">
        <f t="shared" si="8"/>
        <v>-0.14786360353003994</v>
      </c>
      <c r="AC60" s="170">
        <f t="shared" si="9"/>
        <v>-2.998885085267438E-2</v>
      </c>
      <c r="AD60" s="170">
        <f t="shared" si="10"/>
        <v>-0.36504035677271446</v>
      </c>
      <c r="BP60" s="218">
        <f t="shared" ref="BP60:BS60" si="11">AVERAGE(BP34:BP59)</f>
        <v>9.9040809222605013</v>
      </c>
      <c r="BQ60" s="218">
        <f t="shared" si="11"/>
        <v>4.0859903156399335</v>
      </c>
      <c r="BR60" s="218">
        <f t="shared" si="11"/>
        <v>20.637445931788811</v>
      </c>
      <c r="BS60" s="219">
        <f t="shared" si="11"/>
        <v>1.6692307692307682</v>
      </c>
      <c r="BY60" s="218">
        <f t="shared" ref="BY60:CD60" si="12">AVERAGE(BY34:BY59)</f>
        <v>10.458192858031905</v>
      </c>
      <c r="BZ60" s="218">
        <f t="shared" si="12"/>
        <v>3.7352722523282935</v>
      </c>
      <c r="CA60" s="218">
        <f t="shared" si="12"/>
        <v>23.458940815268189</v>
      </c>
      <c r="CB60" s="219">
        <f t="shared" si="12"/>
        <v>1.8744343891402708</v>
      </c>
      <c r="CC60" s="218">
        <f t="shared" si="12"/>
        <v>2.9890627535783878</v>
      </c>
      <c r="CD60" s="218">
        <f t="shared" si="12"/>
        <v>3.533935538611078</v>
      </c>
    </row>
    <row r="61" spans="24:82" ht="13.5" thickTop="1" x14ac:dyDescent="0.2">
      <c r="X61" s="170">
        <v>3.76112</v>
      </c>
      <c r="Y61" s="170">
        <v>3.4119899999999999</v>
      </c>
      <c r="Z61" s="170">
        <v>4.0292199999999996</v>
      </c>
      <c r="AA61" s="170">
        <v>3.4882499999999999</v>
      </c>
      <c r="AB61" s="170">
        <f t="shared" si="8"/>
        <v>-9.2826073084613131E-2</v>
      </c>
      <c r="AC61" s="170">
        <f t="shared" si="9"/>
        <v>7.1281958565533557E-2</v>
      </c>
      <c r="AD61" s="170">
        <f t="shared" si="10"/>
        <v>-7.255019781341733E-2</v>
      </c>
    </row>
    <row r="62" spans="24:82" x14ac:dyDescent="0.2">
      <c r="X62" s="170">
        <v>3.7792300000000001</v>
      </c>
      <c r="Y62" s="170">
        <v>4.5343600000000004</v>
      </c>
      <c r="Z62" s="170">
        <v>4.6056299999999997</v>
      </c>
      <c r="AA62" s="170">
        <v>3.8427699999999998</v>
      </c>
      <c r="AB62" s="170">
        <f t="shared" si="8"/>
        <v>0.19981054341757457</v>
      </c>
      <c r="AC62" s="170">
        <f t="shared" si="9"/>
        <v>0.21866888228554482</v>
      </c>
      <c r="AD62" s="170">
        <f t="shared" si="10"/>
        <v>1.6812948669437878E-2</v>
      </c>
      <c r="BK62" s="170">
        <f>_xlfn.T.TEST(BK34:BK59,BT34:BT59,2,1)</f>
        <v>0.40382502594770442</v>
      </c>
      <c r="BL62" s="170">
        <f t="shared" ref="BL62" si="13">_xlfn.T.TEST(BL34:BL59,BU34:BU59,2,1)</f>
        <v>0.56877597347120779</v>
      </c>
      <c r="BM62" s="170">
        <f t="shared" ref="BM62" si="14">_xlfn.T.TEST(BM34:BM59,BV34:BV59,2,1)</f>
        <v>4.7939888780503336E-2</v>
      </c>
      <c r="BN62" s="170">
        <f t="shared" ref="BN62" si="15">_xlfn.T.TEST(BN34:BN59,BW34:BW59,2,1)</f>
        <v>4.8847638204700269E-2</v>
      </c>
      <c r="BO62" s="170">
        <f t="shared" ref="BO62" si="16">_xlfn.T.TEST(BO34:BO59,BX34:BX59,2,1)</f>
        <v>1.4451313414417931E-2</v>
      </c>
      <c r="BP62" s="170">
        <f t="shared" ref="BP62" si="17">_xlfn.T.TEST(BP34:BP59,BY34:BY59,2,1)</f>
        <v>0.35249163728423905</v>
      </c>
      <c r="BQ62" s="170">
        <f>_xlfn.T.TEST(BQ34:BQ59,BZ34:BZ59,2,1)</f>
        <v>5.0690356108597887E-2</v>
      </c>
      <c r="BR62" s="170">
        <f t="shared" ref="BR62" si="18">_xlfn.T.TEST(BR34:BR59,CA34:CA59,2,1)</f>
        <v>8.0844200100607735E-3</v>
      </c>
      <c r="BS62" s="170">
        <f t="shared" ref="BS62" si="19">_xlfn.T.TEST(BS34:BS59,CB34:CB59,2,1)</f>
        <v>4.4049876954561163E-6</v>
      </c>
    </row>
    <row r="63" spans="24:82" x14ac:dyDescent="0.2">
      <c r="X63" s="170">
        <v>2.5955499999999998</v>
      </c>
      <c r="Y63" s="170">
        <v>3.61673</v>
      </c>
      <c r="Z63" s="170">
        <v>3.60486</v>
      </c>
      <c r="AA63" s="170">
        <v>2.5348000000000002</v>
      </c>
      <c r="AB63" s="170">
        <f t="shared" si="8"/>
        <v>0.3934349174548748</v>
      </c>
      <c r="AC63" s="170">
        <f t="shared" si="9"/>
        <v>0.3888617056115275</v>
      </c>
      <c r="AD63" s="170">
        <f t="shared" si="10"/>
        <v>-2.3405443932884993E-2</v>
      </c>
    </row>
    <row r="64" spans="24:82" x14ac:dyDescent="0.2">
      <c r="X64" s="170">
        <v>3.9641799999999998</v>
      </c>
      <c r="Y64" s="170">
        <v>5.4636899999999997</v>
      </c>
      <c r="Z64" s="170">
        <v>5.6880899999999999</v>
      </c>
      <c r="AA64" s="170">
        <v>4.9631999999999996</v>
      </c>
      <c r="AB64" s="170">
        <f t="shared" si="8"/>
        <v>0.37826486183775709</v>
      </c>
      <c r="AC64" s="170">
        <f t="shared" si="9"/>
        <v>0.43487177676089384</v>
      </c>
      <c r="AD64" s="170">
        <f t="shared" si="10"/>
        <v>0.25201176535878789</v>
      </c>
    </row>
    <row r="65" spans="24:30" x14ac:dyDescent="0.2">
      <c r="X65" s="170">
        <v>4.5704200000000004</v>
      </c>
      <c r="Y65" s="170">
        <v>5.1310500000000001</v>
      </c>
      <c r="Z65" s="170">
        <v>5.4231299999999996</v>
      </c>
      <c r="AA65" s="170">
        <v>4.1351500000000003</v>
      </c>
      <c r="AB65" s="170">
        <f t="shared" si="8"/>
        <v>0.12266487543814347</v>
      </c>
      <c r="AC65" s="170">
        <f t="shared" si="9"/>
        <v>0.18657147483163453</v>
      </c>
      <c r="AD65" s="170">
        <f t="shared" si="10"/>
        <v>-9.5236324013985588E-2</v>
      </c>
    </row>
    <row r="66" spans="24:30" x14ac:dyDescent="0.2">
      <c r="X66" s="170">
        <v>5.0737500000000004</v>
      </c>
      <c r="Y66" s="170">
        <v>4.9508900000000002</v>
      </c>
      <c r="Z66" s="170">
        <v>6.1134899999999996</v>
      </c>
      <c r="AA66" s="170">
        <v>5.1958399999999996</v>
      </c>
      <c r="AB66" s="170">
        <f t="shared" si="8"/>
        <v>-2.421483123922152E-2</v>
      </c>
      <c r="AC66" s="170">
        <f t="shared" si="9"/>
        <v>0.20492535107169235</v>
      </c>
      <c r="AD66" s="170">
        <f t="shared" si="10"/>
        <v>2.4063069721606135E-2</v>
      </c>
    </row>
    <row r="67" spans="24:30" x14ac:dyDescent="0.2">
      <c r="X67" s="170">
        <v>3.2574299999999998</v>
      </c>
      <c r="Y67" s="170">
        <v>4.3395799999999998</v>
      </c>
      <c r="Z67" s="170">
        <v>4.3826000000000001</v>
      </c>
      <c r="AA67" s="170">
        <v>3.2146599999999999</v>
      </c>
      <c r="AB67" s="170">
        <f t="shared" si="8"/>
        <v>0.33220974817570909</v>
      </c>
      <c r="AC67" s="170">
        <f t="shared" si="9"/>
        <v>0.34541647863499764</v>
      </c>
      <c r="AD67" s="170">
        <f t="shared" si="10"/>
        <v>-1.3129982839232149E-2</v>
      </c>
    </row>
    <row r="68" spans="24:30" x14ac:dyDescent="0.2">
      <c r="X68" s="170">
        <v>4.9552800000000001</v>
      </c>
      <c r="Y68" s="170">
        <v>5.3976699999999997</v>
      </c>
      <c r="Z68" s="170">
        <v>4.5762700000000001</v>
      </c>
      <c r="AA68" s="170">
        <v>5.0857000000000001</v>
      </c>
      <c r="AB68" s="170">
        <f t="shared" si="8"/>
        <v>8.9276488916872426E-2</v>
      </c>
      <c r="AC68" s="170">
        <f t="shared" si="9"/>
        <v>-7.648609160329993E-2</v>
      </c>
      <c r="AD68" s="170">
        <f t="shared" si="10"/>
        <v>2.6319400720040034E-2</v>
      </c>
    </row>
    <row r="69" spans="24:30" x14ac:dyDescent="0.2">
      <c r="X69" s="170">
        <v>3.5276999999999998</v>
      </c>
      <c r="Y69" s="170">
        <v>3.37025</v>
      </c>
      <c r="Z69" s="170">
        <v>5.3184100000000001</v>
      </c>
      <c r="AA69" s="170">
        <v>3.3065099999999998</v>
      </c>
      <c r="AB69" s="170">
        <f t="shared" si="8"/>
        <v>-4.463248008617509E-2</v>
      </c>
      <c r="AC69" s="170">
        <f t="shared" si="9"/>
        <v>0.50761402613600937</v>
      </c>
      <c r="AD69" s="170">
        <f t="shared" si="10"/>
        <v>-6.2700909941321548E-2</v>
      </c>
    </row>
    <row r="70" spans="24:30" x14ac:dyDescent="0.2">
      <c r="X70" s="170">
        <v>3.6015899999999998</v>
      </c>
      <c r="Y70" s="170">
        <v>3.99736</v>
      </c>
      <c r="Z70" s="170">
        <v>4.50502</v>
      </c>
      <c r="AA70" s="170">
        <v>4.2346500000000002</v>
      </c>
      <c r="AB70" s="170">
        <f t="shared" si="8"/>
        <v>0.1098875774310791</v>
      </c>
      <c r="AC70" s="170">
        <f t="shared" si="9"/>
        <v>0.25084198923253348</v>
      </c>
      <c r="AD70" s="170">
        <f t="shared" si="10"/>
        <v>0.1757723672044848</v>
      </c>
    </row>
  </sheetData>
  <mergeCells count="45">
    <mergeCell ref="CE1:CL1"/>
    <mergeCell ref="N28:N29"/>
    <mergeCell ref="O28:R28"/>
    <mergeCell ref="S28:V28"/>
    <mergeCell ref="BJ1:CC1"/>
    <mergeCell ref="BJ2:BJ3"/>
    <mergeCell ref="BK2:BS2"/>
    <mergeCell ref="BT2:CB2"/>
    <mergeCell ref="CC2:CC3"/>
    <mergeCell ref="N27:V27"/>
    <mergeCell ref="X1:AJ1"/>
    <mergeCell ref="X2:X3"/>
    <mergeCell ref="Y2:AA2"/>
    <mergeCell ref="AB2:AD2"/>
    <mergeCell ref="AE2:AG2"/>
    <mergeCell ref="AH2:AJ2"/>
    <mergeCell ref="B1:L1"/>
    <mergeCell ref="N1:V1"/>
    <mergeCell ref="N2:N3"/>
    <mergeCell ref="O2:R2"/>
    <mergeCell ref="S2:V2"/>
    <mergeCell ref="B28:B29"/>
    <mergeCell ref="C28:G28"/>
    <mergeCell ref="H28:L28"/>
    <mergeCell ref="B2:B3"/>
    <mergeCell ref="C2:G2"/>
    <mergeCell ref="H2:L2"/>
    <mergeCell ref="B27:L27"/>
    <mergeCell ref="AL1:BG1"/>
    <mergeCell ref="X27:AJ27"/>
    <mergeCell ref="X28:X29"/>
    <mergeCell ref="Y28:AA28"/>
    <mergeCell ref="AB28:AD28"/>
    <mergeCell ref="AE28:AG28"/>
    <mergeCell ref="AH28:AJ28"/>
    <mergeCell ref="BT33:CB33"/>
    <mergeCell ref="BK33:BS33"/>
    <mergeCell ref="AL2:AL3"/>
    <mergeCell ref="AV2:AX2"/>
    <mergeCell ref="AY2:BA2"/>
    <mergeCell ref="BB2:BD2"/>
    <mergeCell ref="BE2:BG2"/>
    <mergeCell ref="AM2:AO2"/>
    <mergeCell ref="AP2:AR2"/>
    <mergeCell ref="AS2:AU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B778-26D1-4DAF-9BC1-9213F03A0F70}">
  <dimension ref="A1:BT85"/>
  <sheetViews>
    <sheetView topLeftCell="P1" zoomScaleNormal="100" workbookViewId="0">
      <selection activeCell="AD6" sqref="AD6"/>
    </sheetView>
  </sheetViews>
  <sheetFormatPr defaultRowHeight="14.25" x14ac:dyDescent="0.2"/>
  <cols>
    <col min="1" max="7" width="8.625" customWidth="1"/>
    <col min="9" max="12" width="8.625" customWidth="1"/>
    <col min="17" max="23" width="8.625" customWidth="1"/>
    <col min="25" max="28" width="8.625" customWidth="1"/>
    <col min="33" max="39" width="8.625" customWidth="1"/>
    <col min="41" max="44" width="8.625" customWidth="1"/>
    <col min="49" max="55" width="8.625" customWidth="1"/>
    <col min="57" max="60" width="8.625" customWidth="1"/>
  </cols>
  <sheetData>
    <row r="1" spans="1:72" x14ac:dyDescent="0.2">
      <c r="A1" s="331" t="s">
        <v>130</v>
      </c>
      <c r="B1" s="331"/>
      <c r="C1" s="331"/>
      <c r="D1" s="331"/>
      <c r="E1" s="331"/>
      <c r="F1" s="331"/>
      <c r="G1" s="93"/>
      <c r="I1" s="110" t="s">
        <v>146</v>
      </c>
      <c r="J1" s="110" t="s">
        <v>143</v>
      </c>
      <c r="K1" s="110" t="s">
        <v>144</v>
      </c>
      <c r="L1" s="110" t="s">
        <v>145</v>
      </c>
      <c r="Q1" s="336" t="s">
        <v>130</v>
      </c>
      <c r="R1" s="336"/>
      <c r="S1" s="336"/>
      <c r="T1" s="336"/>
      <c r="U1" s="336"/>
      <c r="V1" s="336"/>
      <c r="W1" s="66"/>
      <c r="Y1" s="110" t="s">
        <v>146</v>
      </c>
      <c r="Z1" s="110" t="s">
        <v>143</v>
      </c>
      <c r="AA1" s="110" t="s">
        <v>144</v>
      </c>
      <c r="AB1" s="110" t="s">
        <v>145</v>
      </c>
      <c r="AG1" s="331" t="s">
        <v>130</v>
      </c>
      <c r="AH1" s="331"/>
      <c r="AI1" s="331"/>
      <c r="AJ1" s="331"/>
      <c r="AK1" s="331"/>
      <c r="AL1" s="331"/>
      <c r="AM1" s="93"/>
      <c r="AO1" s="110" t="s">
        <v>146</v>
      </c>
      <c r="AP1" s="110" t="s">
        <v>143</v>
      </c>
      <c r="AQ1" s="110" t="s">
        <v>144</v>
      </c>
      <c r="AR1" s="110" t="s">
        <v>145</v>
      </c>
      <c r="AW1" s="331" t="s">
        <v>130</v>
      </c>
      <c r="AX1" s="331"/>
      <c r="AY1" s="331"/>
      <c r="AZ1" s="331"/>
      <c r="BA1" s="331"/>
      <c r="BB1" s="331"/>
      <c r="BC1" s="93"/>
      <c r="BE1" s="110" t="s">
        <v>146</v>
      </c>
      <c r="BF1" s="110" t="s">
        <v>143</v>
      </c>
      <c r="BG1" s="110" t="s">
        <v>144</v>
      </c>
      <c r="BH1" s="110" t="s">
        <v>145</v>
      </c>
    </row>
    <row r="2" spans="1:72" ht="15" thickBot="1" x14ac:dyDescent="0.25">
      <c r="A2" s="94" t="s">
        <v>101</v>
      </c>
      <c r="B2" s="332" t="s">
        <v>141</v>
      </c>
      <c r="C2" s="333"/>
      <c r="D2" s="333"/>
      <c r="E2" s="333"/>
      <c r="F2" s="333"/>
      <c r="G2" s="333"/>
      <c r="I2" s="122">
        <f>AVERAGE(N5:N24)</f>
        <v>0.33722589743588927</v>
      </c>
      <c r="J2" s="122">
        <f>AVERAGE(N5:N10,N14,N17:N20)</f>
        <v>0.40630699300698259</v>
      </c>
      <c r="K2" s="122">
        <f>AVERAGE(N6,N8,N9,N11,N16:N23)</f>
        <v>0.39511645299144343</v>
      </c>
      <c r="L2" s="122">
        <f>AVERAGE(N6,N8,N9,N16:N20)</f>
        <v>0.39815673076921554</v>
      </c>
      <c r="Q2" s="67" t="s">
        <v>101</v>
      </c>
      <c r="R2" s="337" t="s">
        <v>195</v>
      </c>
      <c r="S2" s="338"/>
      <c r="T2" s="338"/>
      <c r="U2" s="338"/>
      <c r="V2" s="338"/>
      <c r="W2" s="338"/>
      <c r="Y2" s="122">
        <f>AVERAGE(AD5:AD24)</f>
        <v>-0.32461307692307723</v>
      </c>
      <c r="Z2" s="122">
        <f>AVERAGE(AD5:AD10,AD14,AD17:AD20)</f>
        <v>0.17014592074592139</v>
      </c>
      <c r="AA2" s="122">
        <f>AVERAGE(AD6,AD8,AD9,AD11,AD16:AD23)</f>
        <v>-0.48254337606837744</v>
      </c>
      <c r="AB2" s="122">
        <f>AVERAGE(AD6,AD8,AD9,AD16:AD20)</f>
        <v>-0.28261730769230831</v>
      </c>
      <c r="AG2" s="94" t="s">
        <v>101</v>
      </c>
      <c r="AH2" s="332" t="s">
        <v>41</v>
      </c>
      <c r="AI2" s="333"/>
      <c r="AJ2" s="333"/>
      <c r="AK2" s="333"/>
      <c r="AL2" s="333"/>
      <c r="AM2" s="341"/>
      <c r="AO2" s="122">
        <f>AVERAGE(AT5:AT24)</f>
        <v>-12.112269102564118</v>
      </c>
      <c r="AP2" s="122">
        <f>AVERAGE(AT5:AT10,AT14,AT17:AT20)</f>
        <v>-13.75815151515153</v>
      </c>
      <c r="AQ2" s="122">
        <f>AVERAGE(AT6,AT8,AT9,AT11,AT16:AT23)</f>
        <v>-10.623305341880362</v>
      </c>
      <c r="AR2" s="122">
        <f>AVERAGE(AT6,AT8,AT9,AT16:AT20)</f>
        <v>-11.797097435897447</v>
      </c>
      <c r="AW2" s="94" t="s">
        <v>101</v>
      </c>
      <c r="AX2" s="332" t="s">
        <v>40</v>
      </c>
      <c r="AY2" s="333"/>
      <c r="AZ2" s="333"/>
      <c r="BA2" s="333"/>
      <c r="BB2" s="333"/>
      <c r="BC2" s="333"/>
      <c r="BE2" s="122">
        <f>AVERAGE(BJ5:BJ24)</f>
        <v>-4.7807017543859257E-2</v>
      </c>
      <c r="BF2" s="122">
        <f>AVERAGE(BJ5:BJ10,BJ14,BJ17:BJ20)</f>
        <v>-7.4990798675008699E-2</v>
      </c>
      <c r="BG2" s="122">
        <f>AVERAGE(BJ6,BJ8,BJ9,BJ11,BJ16:BJ23)</f>
        <v>-8.5582546108861443E-2</v>
      </c>
      <c r="BH2" s="122">
        <f>AVERAGE(BJ6,BJ8,BJ9,BJ16:BJ20)</f>
        <v>-0.10205802968960806</v>
      </c>
    </row>
    <row r="3" spans="1:72" ht="37.5" thickTop="1" thickBot="1" x14ac:dyDescent="0.25">
      <c r="A3" s="95" t="s">
        <v>131</v>
      </c>
      <c r="B3" s="95"/>
      <c r="C3" s="96" t="s">
        <v>132</v>
      </c>
      <c r="D3" s="334" t="s">
        <v>103</v>
      </c>
      <c r="E3" s="96" t="s">
        <v>133</v>
      </c>
      <c r="F3" s="96"/>
      <c r="G3" s="93"/>
      <c r="I3" s="108">
        <f>AVERAGE(I5:I24)</f>
        <v>10.148308205128206</v>
      </c>
      <c r="J3" s="108">
        <f>AVERAGE(J5:J24)</f>
        <v>9.8801716666666639</v>
      </c>
      <c r="K3" s="108">
        <f>AVERAGE(K5:K24)</f>
        <v>9.4062645555555555</v>
      </c>
      <c r="L3" s="108">
        <f>AVERAGE(L5:L24)</f>
        <v>10.485534102564097</v>
      </c>
      <c r="M3" s="109">
        <f>AVERAGE(M5:M24)/AVERAGE(I3:L3)</f>
        <v>-6.0657135490053936E-2</v>
      </c>
      <c r="Q3" s="68" t="s">
        <v>131</v>
      </c>
      <c r="R3" s="68"/>
      <c r="S3" s="69" t="s">
        <v>132</v>
      </c>
      <c r="T3" s="339" t="s">
        <v>103</v>
      </c>
      <c r="U3" s="69" t="s">
        <v>133</v>
      </c>
      <c r="V3" s="69"/>
      <c r="W3" s="66"/>
      <c r="Y3" s="108">
        <f>AVERAGE(Y5:Y24)</f>
        <v>4.4855525641025649</v>
      </c>
      <c r="Z3" s="108">
        <f>AVERAGE(Z5:Z24)</f>
        <v>4.0847058888888892</v>
      </c>
      <c r="AA3" s="108">
        <f>AVERAGE(AA5:AA24)</f>
        <v>4.4379385555555562</v>
      </c>
      <c r="AB3" s="108">
        <f>AVERAGE(AB5:AB24)</f>
        <v>4.1609394871794869</v>
      </c>
      <c r="AC3" s="109">
        <f>AVERAGE(AC5:AC24)/AVERAGE(Y3:AB3)</f>
        <v>-1.776061325147555E-2</v>
      </c>
      <c r="AD3" s="108"/>
      <c r="AE3" s="108"/>
      <c r="AF3" s="108"/>
      <c r="AG3" s="95" t="s">
        <v>131</v>
      </c>
      <c r="AH3" s="95"/>
      <c r="AI3" s="96" t="s">
        <v>132</v>
      </c>
      <c r="AJ3" s="334" t="s">
        <v>103</v>
      </c>
      <c r="AK3" s="96" t="s">
        <v>133</v>
      </c>
      <c r="AL3" s="96"/>
      <c r="AM3" s="93"/>
      <c r="AO3" s="108">
        <f>AVERAGE(AO5:AO24)</f>
        <v>33.889639358974357</v>
      </c>
      <c r="AP3" s="108">
        <f>AVERAGE(AP5:AP24)</f>
        <v>20.461966777777779</v>
      </c>
      <c r="AQ3" s="108">
        <f>AVERAGE(AQ5:AQ24)</f>
        <v>28.131417888888894</v>
      </c>
      <c r="AR3" s="108">
        <f>AVERAGE(AR5:AR24)</f>
        <v>21.777370256410236</v>
      </c>
      <c r="AS3" s="109">
        <f>AVERAGE(AS5:AS24)/AVERAGE(AO3:AR3)</f>
        <v>-5.0466084947806945E-2</v>
      </c>
      <c r="AW3" s="95" t="s">
        <v>131</v>
      </c>
      <c r="AX3" s="95"/>
      <c r="AY3" s="96" t="s">
        <v>132</v>
      </c>
      <c r="AZ3" s="334" t="s">
        <v>103</v>
      </c>
      <c r="BA3" s="96" t="s">
        <v>133</v>
      </c>
      <c r="BB3" s="96"/>
      <c r="BC3" s="93"/>
      <c r="BE3" s="108">
        <f>AVERAGE(BE5:BE24)</f>
        <v>1.6644736842105263</v>
      </c>
      <c r="BF3" s="108">
        <f>AVERAGE(BF5:BF24)</f>
        <v>1.7616666666666667</v>
      </c>
      <c r="BG3" s="108">
        <f>AVERAGE(BG5:BG24)</f>
        <v>1.5638888888888889</v>
      </c>
      <c r="BH3" s="108">
        <f>AVERAGE(BH5:BH24)</f>
        <v>1.6166666666666671</v>
      </c>
      <c r="BI3" s="109">
        <f>AVERAGE(BI5:BI24)/AVERAGE(BE3:BH3)</f>
        <v>8.7789722459492833E-2</v>
      </c>
    </row>
    <row r="4" spans="1:72" ht="30" thickTop="1" thickBot="1" x14ac:dyDescent="0.25">
      <c r="A4" s="97"/>
      <c r="B4" s="97"/>
      <c r="C4" s="98"/>
      <c r="D4" s="335"/>
      <c r="E4" s="98" t="s">
        <v>104</v>
      </c>
      <c r="F4" s="98" t="s">
        <v>105</v>
      </c>
      <c r="G4" s="93"/>
      <c r="H4" s="158" t="s">
        <v>194</v>
      </c>
      <c r="I4" s="72" t="s">
        <v>107</v>
      </c>
      <c r="J4" s="76" t="s">
        <v>108</v>
      </c>
      <c r="K4" s="76" t="s">
        <v>109</v>
      </c>
      <c r="L4" s="76" t="s">
        <v>110</v>
      </c>
      <c r="M4" s="73" t="s">
        <v>191</v>
      </c>
      <c r="N4" s="73" t="s">
        <v>192</v>
      </c>
      <c r="O4" s="73" t="s">
        <v>193</v>
      </c>
      <c r="P4" s="73"/>
      <c r="Q4" s="70"/>
      <c r="R4" s="70"/>
      <c r="S4" s="71"/>
      <c r="T4" s="340"/>
      <c r="U4" s="71" t="s">
        <v>104</v>
      </c>
      <c r="V4" s="71" t="s">
        <v>105</v>
      </c>
      <c r="W4" s="66"/>
      <c r="X4" s="158" t="s">
        <v>102</v>
      </c>
      <c r="Y4" s="72" t="s">
        <v>107</v>
      </c>
      <c r="Z4" s="76" t="s">
        <v>108</v>
      </c>
      <c r="AA4" s="76" t="s">
        <v>109</v>
      </c>
      <c r="AB4" s="76" t="s">
        <v>110</v>
      </c>
      <c r="AC4" s="73" t="s">
        <v>191</v>
      </c>
      <c r="AD4" s="73" t="s">
        <v>192</v>
      </c>
      <c r="AE4" s="73" t="s">
        <v>193</v>
      </c>
      <c r="AF4" s="73"/>
      <c r="AG4" s="97"/>
      <c r="AH4" s="97"/>
      <c r="AI4" s="98"/>
      <c r="AJ4" s="335"/>
      <c r="AK4" s="98" t="s">
        <v>104</v>
      </c>
      <c r="AL4" s="98" t="s">
        <v>105</v>
      </c>
      <c r="AM4" s="93"/>
      <c r="AN4" s="152" t="s">
        <v>140</v>
      </c>
      <c r="AO4" s="72" t="s">
        <v>107</v>
      </c>
      <c r="AP4" s="76" t="s">
        <v>108</v>
      </c>
      <c r="AQ4" s="76" t="s">
        <v>109</v>
      </c>
      <c r="AR4" s="76" t="s">
        <v>110</v>
      </c>
      <c r="AS4" s="73" t="s">
        <v>191</v>
      </c>
      <c r="AT4" s="73" t="s">
        <v>192</v>
      </c>
      <c r="AU4" s="73" t="s">
        <v>193</v>
      </c>
      <c r="AW4" s="97"/>
      <c r="AX4" s="97"/>
      <c r="AY4" s="98"/>
      <c r="AZ4" s="335"/>
      <c r="BA4" s="98" t="s">
        <v>104</v>
      </c>
      <c r="BB4" s="98" t="s">
        <v>105</v>
      </c>
      <c r="BC4" s="93"/>
      <c r="BD4" t="s">
        <v>196</v>
      </c>
      <c r="BE4" s="72" t="s">
        <v>107</v>
      </c>
      <c r="BF4" s="76" t="s">
        <v>108</v>
      </c>
      <c r="BG4" s="76" t="s">
        <v>109</v>
      </c>
      <c r="BH4" s="76" t="s">
        <v>110</v>
      </c>
      <c r="BI4" s="73" t="s">
        <v>191</v>
      </c>
      <c r="BJ4" s="73" t="s">
        <v>192</v>
      </c>
      <c r="BK4" s="73" t="s">
        <v>193</v>
      </c>
      <c r="BT4" s="73" t="s">
        <v>142</v>
      </c>
    </row>
    <row r="5" spans="1:72" ht="24.75" thickTop="1" x14ac:dyDescent="0.2">
      <c r="A5" s="153" t="s">
        <v>107</v>
      </c>
      <c r="B5" s="154" t="s">
        <v>106</v>
      </c>
      <c r="C5" s="155">
        <v>14.27192307692308</v>
      </c>
      <c r="D5" s="155">
        <v>0.9437331635068783</v>
      </c>
      <c r="E5" s="155">
        <v>12.408489315194936</v>
      </c>
      <c r="F5" s="155">
        <v>16.135356838651223</v>
      </c>
      <c r="G5" s="93"/>
      <c r="H5" s="156" t="s">
        <v>106</v>
      </c>
      <c r="I5" s="157">
        <f t="shared" ref="I5:I24" si="0">C5</f>
        <v>14.27192307692308</v>
      </c>
      <c r="J5" s="75">
        <f t="shared" ref="J5:J17" si="1">C25</f>
        <v>15.061828888888892</v>
      </c>
      <c r="K5" s="75">
        <f t="shared" ref="K5:K17" si="2">C45</f>
        <v>13.703899999999999</v>
      </c>
      <c r="L5" s="75">
        <f t="shared" ref="L5:L17" si="3">C65</f>
        <v>14.480000000000006</v>
      </c>
      <c r="M5" s="75">
        <f>(K5+(J5-I5)+(I5-K5))-L5</f>
        <v>0.58182888888888584</v>
      </c>
      <c r="N5" s="75">
        <f>L5-I5</f>
        <v>0.20807692307692527</v>
      </c>
      <c r="O5" s="75">
        <f>L5-K5</f>
        <v>0.77610000000000667</v>
      </c>
      <c r="P5" s="75"/>
      <c r="Q5" s="72" t="s">
        <v>107</v>
      </c>
      <c r="R5" s="156" t="s">
        <v>106</v>
      </c>
      <c r="S5" s="157">
        <v>3.7396666666666651</v>
      </c>
      <c r="T5" s="157">
        <v>0.48085247227930789</v>
      </c>
      <c r="U5" s="157">
        <v>2.7902068342643909</v>
      </c>
      <c r="V5" s="157">
        <v>4.689126499068939</v>
      </c>
      <c r="W5" s="66"/>
      <c r="X5" s="156" t="s">
        <v>106</v>
      </c>
      <c r="Y5" s="157">
        <f t="shared" ref="Y5:Y24" si="4">S5</f>
        <v>3.7396666666666651</v>
      </c>
      <c r="Z5" s="75">
        <f t="shared" ref="Z5:Z17" si="5">S25</f>
        <v>5.2594155555555551</v>
      </c>
      <c r="AA5" s="75">
        <f t="shared" ref="AA5:AA17" si="6">S45</f>
        <v>6.1771088888888901</v>
      </c>
      <c r="AB5" s="75">
        <f t="shared" ref="AB5:AB17" si="7">S65</f>
        <v>5.005105128205134</v>
      </c>
      <c r="AC5" s="75">
        <f>(AA5+(Z5-Y5)+(Y5-AA5))-AB5</f>
        <v>0.2543104273504202</v>
      </c>
      <c r="AD5" s="75">
        <f>AB5-Y5</f>
        <v>1.2654384615384688</v>
      </c>
      <c r="AE5" s="75">
        <f>AB5-AA5</f>
        <v>-1.1720037606837561</v>
      </c>
      <c r="AF5" s="121"/>
      <c r="AG5" s="153" t="s">
        <v>107</v>
      </c>
      <c r="AH5" s="154" t="s">
        <v>106</v>
      </c>
      <c r="AI5" s="155">
        <v>38.002656410256407</v>
      </c>
      <c r="AJ5" s="155">
        <v>2.1973645525578309</v>
      </c>
      <c r="AK5" s="155">
        <v>33.663884125466318</v>
      </c>
      <c r="AL5" s="155">
        <v>42.341428695046496</v>
      </c>
      <c r="AM5" s="93"/>
      <c r="AN5" s="156" t="s">
        <v>106</v>
      </c>
      <c r="AO5" s="157">
        <f t="shared" ref="AO5:AO24" si="8">AI5</f>
        <v>38.002656410256407</v>
      </c>
      <c r="AP5" s="75">
        <f t="shared" ref="AP5:AP17" si="9">AI25</f>
        <v>18.914848888888891</v>
      </c>
      <c r="AQ5" s="75">
        <f t="shared" ref="AQ5:AQ17" si="10">AI45</f>
        <v>31.214759999999998</v>
      </c>
      <c r="AR5" s="75">
        <f t="shared" ref="AR5:AR17" si="11">AI65</f>
        <v>24.891982051282067</v>
      </c>
      <c r="AS5" s="75">
        <f>(AQ5+(AP5-AO5)+(AO5-AQ5))-AR5</f>
        <v>-5.9771331623931765</v>
      </c>
      <c r="AT5" s="75">
        <f>AR5-AO5</f>
        <v>-13.11067435897434</v>
      </c>
      <c r="AU5" s="75">
        <f>AR5-AQ5</f>
        <v>-6.3227779487179312</v>
      </c>
      <c r="AV5" s="121"/>
      <c r="AW5" s="153" t="s">
        <v>107</v>
      </c>
      <c r="AX5" s="154" t="s">
        <v>106</v>
      </c>
      <c r="AY5" s="155">
        <v>0.31578947368421051</v>
      </c>
      <c r="AZ5" s="155">
        <v>0.20353511056732965</v>
      </c>
      <c r="BA5" s="155">
        <v>-8.6115966873062333E-2</v>
      </c>
      <c r="BB5" s="155">
        <v>0.71769491424148335</v>
      </c>
      <c r="BC5" s="93"/>
      <c r="BD5" s="156" t="s">
        <v>106</v>
      </c>
      <c r="BE5" s="157">
        <f t="shared" ref="BE5:BE24" si="12">AY5</f>
        <v>0.31578947368421051</v>
      </c>
      <c r="BF5" s="75">
        <f t="shared" ref="BF5:BF17" si="13">AY25</f>
        <v>0.55555555555555547</v>
      </c>
      <c r="BG5" s="75">
        <f t="shared" ref="BG5:BG17" si="14">AY45</f>
        <v>0.6</v>
      </c>
      <c r="BH5" s="75">
        <f t="shared" ref="BH5:BH17" si="15">AY65</f>
        <v>0.47435897435897456</v>
      </c>
      <c r="BI5" s="75">
        <f>(BG5+(BF5-BE5)+(BE5-BG5))-BH5</f>
        <v>8.1196581196580908E-2</v>
      </c>
      <c r="BJ5" s="75">
        <f>BH5-BE5</f>
        <v>0.15856950067476405</v>
      </c>
      <c r="BK5" s="75">
        <f>BH5-BG5</f>
        <v>-0.12564102564102542</v>
      </c>
      <c r="BN5" s="110" t="s">
        <v>106</v>
      </c>
      <c r="BO5" s="1" t="s">
        <v>0</v>
      </c>
      <c r="BP5" s="110">
        <v>4.0462631488136565E-2</v>
      </c>
      <c r="BQ5" s="110">
        <v>5.0405172063226478E-2</v>
      </c>
      <c r="BR5" s="110">
        <v>-0.2115345442243487</v>
      </c>
      <c r="BS5" s="110">
        <v>0.16692483758351961</v>
      </c>
      <c r="BT5" s="111">
        <f t="shared" ref="BT5:BT24" si="16">ABS(BP5)+ABS(BQ5)+ABS(BR5)+ABS(BS5)</f>
        <v>0.46932718535923135</v>
      </c>
    </row>
    <row r="6" spans="1:72" x14ac:dyDescent="0.2">
      <c r="A6" s="99"/>
      <c r="B6" s="100" t="s">
        <v>111</v>
      </c>
      <c r="C6" s="101">
        <v>10.285320512820517</v>
      </c>
      <c r="D6" s="101">
        <v>0.74363822238013266</v>
      </c>
      <c r="E6" s="101">
        <v>8.8169811308013948</v>
      </c>
      <c r="F6" s="101">
        <v>11.75365989483964</v>
      </c>
      <c r="G6" s="93"/>
      <c r="H6" s="74" t="s">
        <v>111</v>
      </c>
      <c r="I6" s="75">
        <f t="shared" si="0"/>
        <v>10.285320512820517</v>
      </c>
      <c r="J6" s="75">
        <f t="shared" si="1"/>
        <v>10.508488888888893</v>
      </c>
      <c r="K6" s="75">
        <f t="shared" si="2"/>
        <v>11.21976888888889</v>
      </c>
      <c r="L6" s="75">
        <f t="shared" si="3"/>
        <v>10.788858974358956</v>
      </c>
      <c r="M6" s="75">
        <f t="shared" ref="M6:M24" si="17">(K6+(J6-I6)+(I6-K6))-L6</f>
        <v>-0.28037008547006259</v>
      </c>
      <c r="N6" s="75">
        <f t="shared" ref="N6:N24" si="18">L6-I6</f>
        <v>0.5035384615384384</v>
      </c>
      <c r="O6" s="75">
        <f t="shared" ref="O6:O24" si="19">L6-K6</f>
        <v>-0.43090991452993421</v>
      </c>
      <c r="P6" s="75"/>
      <c r="Q6" s="73"/>
      <c r="R6" s="74" t="s">
        <v>111</v>
      </c>
      <c r="S6" s="75">
        <v>5.025846153846155</v>
      </c>
      <c r="T6" s="75">
        <v>0.47963497710840519</v>
      </c>
      <c r="U6" s="75">
        <v>4.078790307754768</v>
      </c>
      <c r="V6" s="75">
        <v>5.9729019999375419</v>
      </c>
      <c r="W6" s="66"/>
      <c r="X6" s="74" t="s">
        <v>111</v>
      </c>
      <c r="Y6" s="75">
        <f t="shared" si="4"/>
        <v>5.025846153846155</v>
      </c>
      <c r="Z6" s="75">
        <f t="shared" si="5"/>
        <v>5.3306666666666676</v>
      </c>
      <c r="AA6" s="75">
        <f t="shared" si="6"/>
        <v>5.8828977777777771</v>
      </c>
      <c r="AB6" s="75">
        <f t="shared" si="7"/>
        <v>5.5472230769230739</v>
      </c>
      <c r="AC6" s="75">
        <f t="shared" ref="AC6:AC24" si="20">(AA6+(Z6-Y6)+(Y6-AA6))-AB6</f>
        <v>-0.21655641025640637</v>
      </c>
      <c r="AD6" s="75">
        <f t="shared" ref="AD6:AD20" si="21">AB6-Y6</f>
        <v>0.52137692307691896</v>
      </c>
      <c r="AE6" s="75">
        <f t="shared" ref="AE6:AE24" si="22">AB6-AA6</f>
        <v>-0.33567470085470319</v>
      </c>
      <c r="AF6" s="121"/>
      <c r="AG6" s="99"/>
      <c r="AH6" s="100" t="s">
        <v>111</v>
      </c>
      <c r="AI6" s="101">
        <v>34.115633333333335</v>
      </c>
      <c r="AJ6" s="101">
        <v>2.26800746233106</v>
      </c>
      <c r="AK6" s="101">
        <v>29.637374180656789</v>
      </c>
      <c r="AL6" s="101">
        <v>38.593892486009878</v>
      </c>
      <c r="AM6" s="93"/>
      <c r="AN6" s="74" t="s">
        <v>111</v>
      </c>
      <c r="AO6" s="75">
        <f t="shared" si="8"/>
        <v>34.115633333333335</v>
      </c>
      <c r="AP6" s="75">
        <f t="shared" si="9"/>
        <v>25.805502222222223</v>
      </c>
      <c r="AQ6" s="75">
        <f t="shared" si="10"/>
        <v>33.382388888888897</v>
      </c>
      <c r="AR6" s="75">
        <f t="shared" si="11"/>
        <v>21.875558974358917</v>
      </c>
      <c r="AS6" s="75">
        <f t="shared" ref="AS6:AS24" si="23">(AQ6+(AP6-AO6)+(AO6-AQ6))-AR6</f>
        <v>3.9299432478633065</v>
      </c>
      <c r="AT6" s="75">
        <f t="shared" ref="AT6:AT9" si="24">AR6-AO6</f>
        <v>-12.240074358974418</v>
      </c>
      <c r="AU6" s="75">
        <f t="shared" ref="AU6:AU15" si="25">AR6-AQ6</f>
        <v>-11.50682991452998</v>
      </c>
      <c r="AV6" s="121"/>
      <c r="AW6" s="99"/>
      <c r="AX6" s="100" t="s">
        <v>111</v>
      </c>
      <c r="AY6" s="101">
        <v>1.3947368421052631</v>
      </c>
      <c r="AZ6" s="101">
        <v>0.15565946147888754</v>
      </c>
      <c r="BA6" s="101">
        <v>1.0873678369827533</v>
      </c>
      <c r="BB6" s="101">
        <v>1.7021058472277728</v>
      </c>
      <c r="BC6" s="93"/>
      <c r="BD6" s="74" t="s">
        <v>111</v>
      </c>
      <c r="BE6" s="75">
        <f t="shared" si="12"/>
        <v>1.3947368421052631</v>
      </c>
      <c r="BF6" s="75">
        <f t="shared" si="13"/>
        <v>1.4444444444444444</v>
      </c>
      <c r="BG6" s="75">
        <f t="shared" si="14"/>
        <v>1.5999999999999999</v>
      </c>
      <c r="BH6" s="75">
        <f t="shared" si="15"/>
        <v>1.3974358974358982</v>
      </c>
      <c r="BI6" s="75">
        <f t="shared" ref="BI6:BI24" si="26">(BG6+(BF6-BE6)+(BE6-BG6))-BH6</f>
        <v>4.7008547008546175E-2</v>
      </c>
      <c r="BJ6" s="75">
        <f t="shared" ref="BJ6:BJ9" si="27">BH6-BE6</f>
        <v>2.6990553306351917E-3</v>
      </c>
      <c r="BK6" s="75">
        <f t="shared" ref="BK6:BK15" si="28">BH6-BG6</f>
        <v>-0.20256410256410162</v>
      </c>
      <c r="BN6" s="110" t="s">
        <v>125</v>
      </c>
      <c r="BO6" s="112" t="s">
        <v>30</v>
      </c>
      <c r="BP6" s="110">
        <v>-2.8204973821607231E-2</v>
      </c>
      <c r="BQ6" s="110">
        <v>1.5115717757312533E-2</v>
      </c>
      <c r="BR6" s="110">
        <v>-6.9799923665772701E-2</v>
      </c>
      <c r="BS6" s="110">
        <v>3.8984783476899834E-2</v>
      </c>
      <c r="BT6" s="111">
        <f t="shared" si="16"/>
        <v>0.15210539872159229</v>
      </c>
    </row>
    <row r="7" spans="1:72" x14ac:dyDescent="0.2">
      <c r="A7" s="99"/>
      <c r="B7" s="100" t="s">
        <v>112</v>
      </c>
      <c r="C7" s="101">
        <v>10.342256410256409</v>
      </c>
      <c r="D7" s="101">
        <v>0.95718185295354041</v>
      </c>
      <c r="E7" s="101">
        <v>8.4522677462158544</v>
      </c>
      <c r="F7" s="101">
        <v>12.232245074296964</v>
      </c>
      <c r="G7" s="93"/>
      <c r="H7" s="74" t="s">
        <v>112</v>
      </c>
      <c r="I7" s="75">
        <f t="shared" si="0"/>
        <v>10.342256410256409</v>
      </c>
      <c r="J7" s="75">
        <f t="shared" si="1"/>
        <v>10.170857777777774</v>
      </c>
      <c r="K7" s="75">
        <f t="shared" si="2"/>
        <v>9.2333022222222176</v>
      </c>
      <c r="L7" s="75">
        <f t="shared" si="3"/>
        <v>10.272653846153872</v>
      </c>
      <c r="M7" s="75">
        <f t="shared" si="17"/>
        <v>-0.10179606837609789</v>
      </c>
      <c r="N7" s="75">
        <f t="shared" si="18"/>
        <v>-6.9602564102536846E-2</v>
      </c>
      <c r="O7" s="75">
        <f t="shared" si="19"/>
        <v>1.0393516239316547</v>
      </c>
      <c r="P7" s="75"/>
      <c r="Q7" s="73"/>
      <c r="R7" s="74" t="s">
        <v>112</v>
      </c>
      <c r="S7" s="75">
        <v>3.861771794871796</v>
      </c>
      <c r="T7" s="75">
        <v>0.39472825956597046</v>
      </c>
      <c r="U7" s="75">
        <v>3.0823671982905521</v>
      </c>
      <c r="V7" s="75">
        <v>4.6411763914530395</v>
      </c>
      <c r="W7" s="66"/>
      <c r="X7" s="74" t="s">
        <v>112</v>
      </c>
      <c r="Y7" s="75">
        <f t="shared" si="4"/>
        <v>3.861771794871796</v>
      </c>
      <c r="Z7" s="75">
        <f t="shared" si="5"/>
        <v>4.8635355555555559</v>
      </c>
      <c r="AA7" s="75">
        <f t="shared" si="6"/>
        <v>3.6305711111111103</v>
      </c>
      <c r="AB7" s="75">
        <f t="shared" si="7"/>
        <v>3.5876974358974247</v>
      </c>
      <c r="AC7" s="75">
        <f t="shared" si="20"/>
        <v>1.2758381196581312</v>
      </c>
      <c r="AD7" s="75">
        <f t="shared" si="21"/>
        <v>-0.27407435897437127</v>
      </c>
      <c r="AE7" s="75">
        <f t="shared" si="22"/>
        <v>-4.2873675213685569E-2</v>
      </c>
      <c r="AF7" s="121"/>
      <c r="AG7" s="99"/>
      <c r="AH7" s="100" t="s">
        <v>112</v>
      </c>
      <c r="AI7" s="101">
        <v>34.380697435897439</v>
      </c>
      <c r="AJ7" s="101">
        <v>2.7284461286745891</v>
      </c>
      <c r="AK7" s="101">
        <v>28.99328621646367</v>
      </c>
      <c r="AL7" s="101">
        <v>39.768108655331211</v>
      </c>
      <c r="AM7" s="93"/>
      <c r="AN7" s="74" t="s">
        <v>112</v>
      </c>
      <c r="AO7" s="75">
        <f t="shared" si="8"/>
        <v>34.380697435897439</v>
      </c>
      <c r="AP7" s="75">
        <f t="shared" si="9"/>
        <v>20.595175555555549</v>
      </c>
      <c r="AQ7" s="75">
        <f t="shared" si="10"/>
        <v>35.851375555555542</v>
      </c>
      <c r="AR7" s="75">
        <f t="shared" si="11"/>
        <v>25.21377948717943</v>
      </c>
      <c r="AS7" s="75">
        <f t="shared" si="23"/>
        <v>-4.6186039316238805</v>
      </c>
      <c r="AT7" s="75">
        <f t="shared" si="24"/>
        <v>-9.1669179487180088</v>
      </c>
      <c r="AU7" s="75">
        <f t="shared" si="25"/>
        <v>-10.637596068376112</v>
      </c>
      <c r="AV7" s="121"/>
      <c r="AW7" s="99"/>
      <c r="AX7" s="100" t="s">
        <v>112</v>
      </c>
      <c r="AY7" s="101">
        <v>1.4736842105263159</v>
      </c>
      <c r="AZ7" s="101">
        <v>0.1568964307306128</v>
      </c>
      <c r="BA7" s="101">
        <v>1.1638726554639716</v>
      </c>
      <c r="BB7" s="101">
        <v>1.7834957655886603</v>
      </c>
      <c r="BC7" s="93"/>
      <c r="BD7" s="74" t="s">
        <v>112</v>
      </c>
      <c r="BE7" s="75">
        <f t="shared" si="12"/>
        <v>1.4736842105263159</v>
      </c>
      <c r="BF7" s="75">
        <f t="shared" si="13"/>
        <v>1.6222222222222225</v>
      </c>
      <c r="BG7" s="75">
        <f t="shared" si="14"/>
        <v>1.3333333333333335</v>
      </c>
      <c r="BH7" s="75">
        <f t="shared" si="15"/>
        <v>1.2307692307692313</v>
      </c>
      <c r="BI7" s="75">
        <f t="shared" si="26"/>
        <v>0.39145299145299117</v>
      </c>
      <c r="BJ7" s="75">
        <f t="shared" si="27"/>
        <v>-0.24291497975708465</v>
      </c>
      <c r="BK7" s="75">
        <f t="shared" si="28"/>
        <v>-0.1025641025641022</v>
      </c>
      <c r="BN7" s="110" t="s">
        <v>126</v>
      </c>
      <c r="BO7" s="113" t="s">
        <v>32</v>
      </c>
      <c r="BP7" s="110">
        <v>-8.0871536660934509E-2</v>
      </c>
      <c r="BQ7" s="110">
        <v>-1.3658534192494999E-2</v>
      </c>
      <c r="BR7" s="110">
        <v>-9.4207782957796721E-2</v>
      </c>
      <c r="BS7" s="110">
        <v>3.179437731334419E-2</v>
      </c>
      <c r="BT7" s="111">
        <f t="shared" si="16"/>
        <v>0.22053223112457043</v>
      </c>
    </row>
    <row r="8" spans="1:72" x14ac:dyDescent="0.2">
      <c r="A8" s="99"/>
      <c r="B8" s="100" t="s">
        <v>113</v>
      </c>
      <c r="C8" s="101">
        <v>9.2803615384615394</v>
      </c>
      <c r="D8" s="101">
        <v>0.74969776860126036</v>
      </c>
      <c r="E8" s="101">
        <v>7.8000573729147913</v>
      </c>
      <c r="F8" s="101">
        <v>10.760665704008288</v>
      </c>
      <c r="G8" s="93"/>
      <c r="H8" s="74" t="s">
        <v>113</v>
      </c>
      <c r="I8" s="75">
        <f t="shared" si="0"/>
        <v>9.2803615384615394</v>
      </c>
      <c r="J8" s="75">
        <f t="shared" si="1"/>
        <v>8.5884977777777749</v>
      </c>
      <c r="K8" s="75">
        <f t="shared" si="2"/>
        <v>8.5230177777777776</v>
      </c>
      <c r="L8" s="75">
        <f t="shared" si="3"/>
        <v>8.8334923076922856</v>
      </c>
      <c r="M8" s="75">
        <f t="shared" si="17"/>
        <v>-0.24499452991451065</v>
      </c>
      <c r="N8" s="75">
        <f t="shared" si="18"/>
        <v>-0.44686923076925389</v>
      </c>
      <c r="O8" s="75">
        <f t="shared" si="19"/>
        <v>0.31047452991450797</v>
      </c>
      <c r="P8" s="75"/>
      <c r="Q8" s="73"/>
      <c r="R8" s="74" t="s">
        <v>113</v>
      </c>
      <c r="S8" s="75">
        <v>5.1048794871794883</v>
      </c>
      <c r="T8" s="75">
        <v>0.40716738727133706</v>
      </c>
      <c r="U8" s="75">
        <v>4.300913402850485</v>
      </c>
      <c r="V8" s="75">
        <v>5.9088455715084915</v>
      </c>
      <c r="W8" s="66"/>
      <c r="X8" s="74" t="s">
        <v>113</v>
      </c>
      <c r="Y8" s="75">
        <f t="shared" si="4"/>
        <v>5.1048794871794883</v>
      </c>
      <c r="Z8" s="75">
        <f t="shared" si="5"/>
        <v>3.5831977777777775</v>
      </c>
      <c r="AA8" s="75">
        <f t="shared" si="6"/>
        <v>5.131157777777779</v>
      </c>
      <c r="AB8" s="75">
        <f t="shared" si="7"/>
        <v>4.9217948717948685</v>
      </c>
      <c r="AC8" s="75">
        <f t="shared" si="20"/>
        <v>-1.338597094017091</v>
      </c>
      <c r="AD8" s="75">
        <f t="shared" si="21"/>
        <v>-0.18308461538461973</v>
      </c>
      <c r="AE8" s="75">
        <f t="shared" si="22"/>
        <v>-0.20936290598291052</v>
      </c>
      <c r="AF8" s="121"/>
      <c r="AG8" s="99"/>
      <c r="AH8" s="100" t="s">
        <v>113</v>
      </c>
      <c r="AI8" s="101">
        <v>29.880482051282044</v>
      </c>
      <c r="AJ8" s="101">
        <v>1.791924855337979</v>
      </c>
      <c r="AK8" s="101">
        <v>26.342264467077932</v>
      </c>
      <c r="AL8" s="101">
        <v>33.418699635486156</v>
      </c>
      <c r="AM8" s="93"/>
      <c r="AN8" s="74" t="s">
        <v>113</v>
      </c>
      <c r="AO8" s="75">
        <f t="shared" si="8"/>
        <v>29.880482051282044</v>
      </c>
      <c r="AP8" s="75">
        <f t="shared" si="9"/>
        <v>20.533251111111113</v>
      </c>
      <c r="AQ8" s="75">
        <f t="shared" si="10"/>
        <v>26.189255555555562</v>
      </c>
      <c r="AR8" s="75">
        <f t="shared" si="11"/>
        <v>20.053502564102526</v>
      </c>
      <c r="AS8" s="75">
        <f t="shared" si="23"/>
        <v>0.47974854700858671</v>
      </c>
      <c r="AT8" s="75">
        <f t="shared" si="24"/>
        <v>-9.8269794871795177</v>
      </c>
      <c r="AU8" s="75">
        <f t="shared" si="25"/>
        <v>-6.1357529914530353</v>
      </c>
      <c r="AV8" s="121"/>
      <c r="AW8" s="99"/>
      <c r="AX8" s="100" t="s">
        <v>113</v>
      </c>
      <c r="AY8" s="101">
        <v>1.9605263157894735</v>
      </c>
      <c r="AZ8" s="101">
        <v>0.13067506060666795</v>
      </c>
      <c r="BA8" s="101">
        <v>1.7024921237693311</v>
      </c>
      <c r="BB8" s="101">
        <v>2.2185605078096158</v>
      </c>
      <c r="BC8" s="93"/>
      <c r="BD8" s="74" t="s">
        <v>113</v>
      </c>
      <c r="BE8" s="75">
        <f t="shared" si="12"/>
        <v>1.9605263157894735</v>
      </c>
      <c r="BF8" s="75">
        <f t="shared" si="13"/>
        <v>2</v>
      </c>
      <c r="BG8" s="75">
        <f t="shared" si="14"/>
        <v>2.1555555555555554</v>
      </c>
      <c r="BH8" s="75">
        <f t="shared" si="15"/>
        <v>1.8333333333333335</v>
      </c>
      <c r="BI8" s="75">
        <f t="shared" si="26"/>
        <v>0.16666666666666652</v>
      </c>
      <c r="BJ8" s="75">
        <f t="shared" si="27"/>
        <v>-0.12719298245613997</v>
      </c>
      <c r="BK8" s="75">
        <f t="shared" si="28"/>
        <v>-0.32222222222222197</v>
      </c>
      <c r="BN8" s="110" t="s">
        <v>111</v>
      </c>
      <c r="BO8" s="112" t="s">
        <v>2</v>
      </c>
      <c r="BP8" s="110">
        <v>-2.6201319680419607E-2</v>
      </c>
      <c r="BQ8" s="110">
        <v>-3.975949905519903E-2</v>
      </c>
      <c r="BR8" s="110">
        <v>0.13648114331917768</v>
      </c>
      <c r="BS8" s="110">
        <v>3.2216296204950562E-2</v>
      </c>
      <c r="BT8" s="111">
        <f t="shared" si="16"/>
        <v>0.23465825825974687</v>
      </c>
    </row>
    <row r="9" spans="1:72" x14ac:dyDescent="0.2">
      <c r="A9" s="99"/>
      <c r="B9" s="100" t="s">
        <v>114</v>
      </c>
      <c r="C9" s="101">
        <v>6.8272512820512832</v>
      </c>
      <c r="D9" s="101">
        <v>0.62005599796559729</v>
      </c>
      <c r="E9" s="101">
        <v>5.6029292751000987</v>
      </c>
      <c r="F9" s="101">
        <v>8.0515732890024676</v>
      </c>
      <c r="G9" s="93"/>
      <c r="H9" s="74" t="s">
        <v>114</v>
      </c>
      <c r="I9" s="75">
        <f t="shared" si="0"/>
        <v>6.8272512820512832</v>
      </c>
      <c r="J9" s="75">
        <f t="shared" si="1"/>
        <v>7.04369333333333</v>
      </c>
      <c r="K9" s="75">
        <f t="shared" si="2"/>
        <v>9.6512511111111152</v>
      </c>
      <c r="L9" s="75">
        <f t="shared" si="3"/>
        <v>7.4537128205128029</v>
      </c>
      <c r="M9" s="75">
        <f t="shared" si="17"/>
        <v>-0.41001948717947201</v>
      </c>
      <c r="N9" s="75">
        <f t="shared" si="18"/>
        <v>0.62646153846151975</v>
      </c>
      <c r="O9" s="75">
        <f t="shared" si="19"/>
        <v>-2.1975382905983123</v>
      </c>
      <c r="P9" s="75"/>
      <c r="Q9" s="73"/>
      <c r="R9" s="74" t="s">
        <v>114</v>
      </c>
      <c r="S9" s="75">
        <v>3.9635256410256403</v>
      </c>
      <c r="T9" s="75">
        <v>0.34448259786691277</v>
      </c>
      <c r="U9" s="75">
        <v>3.283332840756048</v>
      </c>
      <c r="V9" s="75">
        <v>4.643718441295233</v>
      </c>
      <c r="W9" s="66"/>
      <c r="X9" s="74" t="s">
        <v>114</v>
      </c>
      <c r="Y9" s="75">
        <f t="shared" si="4"/>
        <v>3.9635256410256403</v>
      </c>
      <c r="Z9" s="75">
        <f t="shared" si="5"/>
        <v>3.3603911111111104</v>
      </c>
      <c r="AA9" s="75">
        <f t="shared" si="6"/>
        <v>3.8833444444444432</v>
      </c>
      <c r="AB9" s="75">
        <f t="shared" si="7"/>
        <v>3.6745230769230788</v>
      </c>
      <c r="AC9" s="75">
        <f t="shared" si="20"/>
        <v>-0.31413196581196834</v>
      </c>
      <c r="AD9" s="75">
        <f t="shared" si="21"/>
        <v>-0.28900256410256153</v>
      </c>
      <c r="AE9" s="75">
        <f t="shared" si="22"/>
        <v>-0.20882136752136438</v>
      </c>
      <c r="AF9" s="121"/>
      <c r="AG9" s="99"/>
      <c r="AH9" s="100" t="s">
        <v>114</v>
      </c>
      <c r="AI9" s="101">
        <v>29.897374358974361</v>
      </c>
      <c r="AJ9" s="101">
        <v>2.2056412151608176</v>
      </c>
      <c r="AK9" s="101">
        <v>25.542259517701964</v>
      </c>
      <c r="AL9" s="101">
        <v>34.252489200246757</v>
      </c>
      <c r="AM9" s="93"/>
      <c r="AN9" s="74" t="s">
        <v>114</v>
      </c>
      <c r="AO9" s="75">
        <f t="shared" si="8"/>
        <v>29.897374358974361</v>
      </c>
      <c r="AP9" s="75">
        <f t="shared" si="9"/>
        <v>22.257357777777774</v>
      </c>
      <c r="AQ9" s="75">
        <f t="shared" si="10"/>
        <v>28.655759999999994</v>
      </c>
      <c r="AR9" s="75">
        <f t="shared" si="11"/>
        <v>22.729315384615354</v>
      </c>
      <c r="AS9" s="75">
        <f t="shared" si="23"/>
        <v>-0.47195760683758081</v>
      </c>
      <c r="AT9" s="75">
        <f t="shared" si="24"/>
        <v>-7.1680589743590062</v>
      </c>
      <c r="AU9" s="75">
        <f t="shared" si="25"/>
        <v>-5.9264446153846393</v>
      </c>
      <c r="AV9" s="121"/>
      <c r="AW9" s="99"/>
      <c r="AX9" s="100" t="s">
        <v>114</v>
      </c>
      <c r="AY9" s="101">
        <v>2.1578947368421053</v>
      </c>
      <c r="AZ9" s="101">
        <v>0.12407231964918437</v>
      </c>
      <c r="BA9" s="101">
        <v>1.9128984796824704</v>
      </c>
      <c r="BB9" s="101">
        <v>2.4028909940017402</v>
      </c>
      <c r="BC9" s="93"/>
      <c r="BD9" s="74" t="s">
        <v>114</v>
      </c>
      <c r="BE9" s="75">
        <f t="shared" si="12"/>
        <v>2.1578947368421053</v>
      </c>
      <c r="BF9" s="75">
        <f t="shared" si="13"/>
        <v>2.1333333333333329</v>
      </c>
      <c r="BG9" s="75">
        <f t="shared" si="14"/>
        <v>2.1333333333333329</v>
      </c>
      <c r="BH9" s="75">
        <f t="shared" si="15"/>
        <v>1.9487179487179493</v>
      </c>
      <c r="BI9" s="75">
        <f t="shared" si="26"/>
        <v>0.18461538461538352</v>
      </c>
      <c r="BJ9" s="75">
        <f t="shared" si="27"/>
        <v>-0.20917678812415597</v>
      </c>
      <c r="BK9" s="75">
        <f t="shared" si="28"/>
        <v>-0.18461538461538352</v>
      </c>
      <c r="BN9" s="110" t="s">
        <v>114</v>
      </c>
      <c r="BO9" s="114" t="s">
        <v>8</v>
      </c>
      <c r="BP9" s="110">
        <v>-5.2946887618451371E-2</v>
      </c>
      <c r="BQ9" s="110">
        <v>-8.4433952283867769E-2</v>
      </c>
      <c r="BR9" s="110">
        <v>-1.8232894888864194E-2</v>
      </c>
      <c r="BS9" s="110">
        <v>8.8192631273570687E-2</v>
      </c>
      <c r="BT9" s="111">
        <f t="shared" si="16"/>
        <v>0.24380636606475403</v>
      </c>
    </row>
    <row r="10" spans="1:72" x14ac:dyDescent="0.2">
      <c r="A10" s="99"/>
      <c r="B10" s="100" t="s">
        <v>115</v>
      </c>
      <c r="C10" s="101">
        <v>16.928256410256413</v>
      </c>
      <c r="D10" s="101">
        <v>1.8543093456676496</v>
      </c>
      <c r="E10" s="101">
        <v>13.266858492899091</v>
      </c>
      <c r="F10" s="101">
        <v>20.589654327613736</v>
      </c>
      <c r="G10" s="93"/>
      <c r="H10" s="74" t="s">
        <v>115</v>
      </c>
      <c r="I10" s="75">
        <f t="shared" si="0"/>
        <v>16.928256410256413</v>
      </c>
      <c r="J10" s="75">
        <f t="shared" si="1"/>
        <v>23.556942222222233</v>
      </c>
      <c r="K10" s="75">
        <f t="shared" si="2"/>
        <v>21.090660000000003</v>
      </c>
      <c r="L10" s="75">
        <f t="shared" si="3"/>
        <v>17.695830769230763</v>
      </c>
      <c r="M10" s="75">
        <f t="shared" si="17"/>
        <v>5.8611114529914694</v>
      </c>
      <c r="N10" s="75">
        <f t="shared" si="18"/>
        <v>0.76757435897435045</v>
      </c>
      <c r="O10" s="75">
        <f t="shared" si="19"/>
        <v>-3.3948292307692398</v>
      </c>
      <c r="P10" s="75"/>
      <c r="Q10" s="73"/>
      <c r="R10" s="74" t="s">
        <v>115</v>
      </c>
      <c r="S10" s="75">
        <v>4.7019743589743594</v>
      </c>
      <c r="T10" s="75">
        <v>0.56738349610381611</v>
      </c>
      <c r="U10" s="75">
        <v>3.5816560281462051</v>
      </c>
      <c r="V10" s="75">
        <v>5.8222926898025138</v>
      </c>
      <c r="W10" s="66"/>
      <c r="X10" s="74" t="s">
        <v>115</v>
      </c>
      <c r="Y10" s="75">
        <f t="shared" si="4"/>
        <v>4.7019743589743594</v>
      </c>
      <c r="Z10" s="75">
        <f t="shared" si="5"/>
        <v>5.9617533333333341</v>
      </c>
      <c r="AA10" s="75">
        <f t="shared" si="6"/>
        <v>6.7451911111111098</v>
      </c>
      <c r="AB10" s="75">
        <f t="shared" si="7"/>
        <v>5.5549461538461555</v>
      </c>
      <c r="AC10" s="75">
        <f t="shared" si="20"/>
        <v>0.40680717948717859</v>
      </c>
      <c r="AD10" s="75">
        <f>AB10-Y10</f>
        <v>0.85297179487179609</v>
      </c>
      <c r="AE10" s="75">
        <f t="shared" si="22"/>
        <v>-1.1902449572649543</v>
      </c>
      <c r="AF10" s="121"/>
      <c r="AG10" s="99"/>
      <c r="AH10" s="100" t="s">
        <v>115</v>
      </c>
      <c r="AI10" s="101">
        <v>47.032358974358978</v>
      </c>
      <c r="AJ10" s="101">
        <v>3.2854123915381632</v>
      </c>
      <c r="AK10" s="101">
        <v>40.545198611314689</v>
      </c>
      <c r="AL10" s="101">
        <v>53.519519337403267</v>
      </c>
      <c r="AM10" s="93"/>
      <c r="AN10" s="74" t="s">
        <v>115</v>
      </c>
      <c r="AO10" s="75">
        <f t="shared" si="8"/>
        <v>47.032358974358978</v>
      </c>
      <c r="AP10" s="75">
        <f t="shared" si="9"/>
        <v>23.658308888888889</v>
      </c>
      <c r="AQ10" s="75">
        <f t="shared" si="10"/>
        <v>38.587088888888886</v>
      </c>
      <c r="AR10" s="75">
        <f t="shared" si="11"/>
        <v>23.886771794871713</v>
      </c>
      <c r="AS10" s="75">
        <f t="shared" si="23"/>
        <v>-0.22846290598282337</v>
      </c>
      <c r="AT10" s="75">
        <f>AR10-AO10</f>
        <v>-23.145587179487265</v>
      </c>
      <c r="AU10" s="75">
        <f t="shared" si="25"/>
        <v>-14.700317094017173</v>
      </c>
      <c r="AV10" s="121"/>
      <c r="AW10" s="99"/>
      <c r="AX10" s="100" t="s">
        <v>115</v>
      </c>
      <c r="AY10" s="101">
        <v>0.73684210526315796</v>
      </c>
      <c r="AZ10" s="101">
        <v>0.2070193996799024</v>
      </c>
      <c r="BA10" s="101">
        <v>0.32805650163763539</v>
      </c>
      <c r="BB10" s="101">
        <v>1.1456277088886806</v>
      </c>
      <c r="BC10" s="93"/>
      <c r="BD10" s="74" t="s">
        <v>115</v>
      </c>
      <c r="BE10" s="75">
        <f t="shared" si="12"/>
        <v>0.73684210526315796</v>
      </c>
      <c r="BF10" s="75">
        <f t="shared" si="13"/>
        <v>0.9111111111111112</v>
      </c>
      <c r="BG10" s="75">
        <f t="shared" si="14"/>
        <v>0.86666666666666681</v>
      </c>
      <c r="BH10" s="75">
        <f t="shared" si="15"/>
        <v>0.67948717948717952</v>
      </c>
      <c r="BI10" s="75">
        <f t="shared" si="26"/>
        <v>0.2316239316239318</v>
      </c>
      <c r="BJ10" s="75">
        <f>BH10-BE10</f>
        <v>-5.7354925775978449E-2</v>
      </c>
      <c r="BK10" s="75">
        <f t="shared" si="28"/>
        <v>-0.18717948717948729</v>
      </c>
      <c r="BN10" s="110" t="s">
        <v>121</v>
      </c>
      <c r="BO10" s="114" t="s">
        <v>22</v>
      </c>
      <c r="BP10" s="110">
        <v>-0.14500970832246099</v>
      </c>
      <c r="BQ10" s="110">
        <v>1.3261380293214914E-2</v>
      </c>
      <c r="BR10" s="110">
        <v>-7.7132932492494019E-2</v>
      </c>
      <c r="BS10" s="110">
        <v>6.1142397425583174E-2</v>
      </c>
      <c r="BT10" s="111">
        <f t="shared" si="16"/>
        <v>0.29654641853375313</v>
      </c>
    </row>
    <row r="11" spans="1:72" x14ac:dyDescent="0.2">
      <c r="A11" s="99"/>
      <c r="B11" s="100" t="s">
        <v>116</v>
      </c>
      <c r="C11" s="101">
        <v>8.6499871794871801</v>
      </c>
      <c r="D11" s="101">
        <v>0.72209860750040245</v>
      </c>
      <c r="E11" s="101">
        <v>7.2241785117987503</v>
      </c>
      <c r="F11" s="101">
        <v>10.075795847175609</v>
      </c>
      <c r="G11" s="93"/>
      <c r="H11" s="74" t="s">
        <v>116</v>
      </c>
      <c r="I11" s="75">
        <f t="shared" si="0"/>
        <v>8.6499871794871801</v>
      </c>
      <c r="J11" s="75">
        <f t="shared" si="1"/>
        <v>7.5701777777777766</v>
      </c>
      <c r="K11" s="75">
        <f t="shared" si="2"/>
        <v>8.6975555555555548</v>
      </c>
      <c r="L11" s="75">
        <f t="shared" si="3"/>
        <v>8.6481820512820438</v>
      </c>
      <c r="M11" s="75">
        <f t="shared" si="17"/>
        <v>-1.0780042735042672</v>
      </c>
      <c r="N11" s="75">
        <f t="shared" si="18"/>
        <v>-1.8051282051363415E-3</v>
      </c>
      <c r="O11" s="75">
        <f t="shared" si="19"/>
        <v>-4.937350427351106E-2</v>
      </c>
      <c r="P11" s="75"/>
      <c r="Q11" s="73"/>
      <c r="R11" s="74" t="s">
        <v>116</v>
      </c>
      <c r="S11" s="75">
        <v>4.4622769230769226</v>
      </c>
      <c r="T11" s="75">
        <v>0.39770216286280141</v>
      </c>
      <c r="U11" s="75">
        <v>3.6770002516108282</v>
      </c>
      <c r="V11" s="75">
        <v>5.2475535945430174</v>
      </c>
      <c r="W11" s="66"/>
      <c r="X11" s="74" t="s">
        <v>116</v>
      </c>
      <c r="Y11" s="75">
        <f t="shared" si="4"/>
        <v>4.4622769230769226</v>
      </c>
      <c r="Z11" s="75">
        <f t="shared" si="5"/>
        <v>3.2272666666666665</v>
      </c>
      <c r="AA11" s="75">
        <f t="shared" si="6"/>
        <v>4.0310711111111122</v>
      </c>
      <c r="AB11" s="75">
        <f t="shared" si="7"/>
        <v>3.074864102564109</v>
      </c>
      <c r="AC11" s="75">
        <f t="shared" si="20"/>
        <v>0.15240256410255748</v>
      </c>
      <c r="AD11" s="75">
        <f t="shared" si="21"/>
        <v>-1.3874128205128136</v>
      </c>
      <c r="AE11" s="75">
        <f t="shared" si="22"/>
        <v>-0.95620700854700313</v>
      </c>
      <c r="AF11" s="121"/>
      <c r="AG11" s="99"/>
      <c r="AH11" s="100" t="s">
        <v>116</v>
      </c>
      <c r="AI11" s="101">
        <v>29.809207692307695</v>
      </c>
      <c r="AJ11" s="101">
        <v>2.5009518654786298</v>
      </c>
      <c r="AK11" s="101">
        <v>24.870991761363676</v>
      </c>
      <c r="AL11" s="101">
        <v>34.747423623251713</v>
      </c>
      <c r="AM11" s="93"/>
      <c r="AN11" s="74" t="s">
        <v>116</v>
      </c>
      <c r="AO11" s="75">
        <f t="shared" si="8"/>
        <v>29.809207692307695</v>
      </c>
      <c r="AP11" s="75">
        <f t="shared" si="9"/>
        <v>24.876102222222229</v>
      </c>
      <c r="AQ11" s="75">
        <f t="shared" si="10"/>
        <v>35.184395555555554</v>
      </c>
      <c r="AR11" s="75">
        <f t="shared" si="11"/>
        <v>22.247738461538411</v>
      </c>
      <c r="AS11" s="75">
        <f t="shared" si="23"/>
        <v>2.6283637606838184</v>
      </c>
      <c r="AT11" s="75">
        <f t="shared" ref="AT11:AT20" si="29">AR11-AO11</f>
        <v>-7.5614692307692835</v>
      </c>
      <c r="AU11" s="75">
        <f t="shared" si="25"/>
        <v>-12.936657094017143</v>
      </c>
      <c r="AV11" s="121"/>
      <c r="AW11" s="99"/>
      <c r="AX11" s="100" t="s">
        <v>116</v>
      </c>
      <c r="AY11" s="101">
        <v>1.9868421052631577</v>
      </c>
      <c r="AZ11" s="101">
        <v>0.13541974843326901</v>
      </c>
      <c r="BA11" s="101">
        <v>1.7194389358418118</v>
      </c>
      <c r="BB11" s="101">
        <v>2.2542452746845036</v>
      </c>
      <c r="BC11" s="93"/>
      <c r="BD11" s="74" t="s">
        <v>116</v>
      </c>
      <c r="BE11" s="75">
        <f t="shared" si="12"/>
        <v>1.9868421052631577</v>
      </c>
      <c r="BF11" s="75">
        <f t="shared" si="13"/>
        <v>2.1444444444444444</v>
      </c>
      <c r="BG11" s="75">
        <f t="shared" si="14"/>
        <v>1.8888888888888888</v>
      </c>
      <c r="BH11" s="75">
        <f t="shared" si="15"/>
        <v>1.9358974358974357</v>
      </c>
      <c r="BI11" s="75">
        <f t="shared" si="26"/>
        <v>0.20854700854700914</v>
      </c>
      <c r="BJ11" s="75">
        <f t="shared" ref="BJ11:BJ20" si="30">BH11-BE11</f>
        <v>-5.0944669365722062E-2</v>
      </c>
      <c r="BK11" s="75">
        <f t="shared" si="28"/>
        <v>4.7008547008546842E-2</v>
      </c>
      <c r="BN11" s="110" t="s">
        <v>122</v>
      </c>
      <c r="BO11" s="115" t="s">
        <v>24</v>
      </c>
      <c r="BP11" s="110">
        <v>-2.3560049120299784E-2</v>
      </c>
      <c r="BQ11" s="110">
        <v>-1.9633185953548703E-2</v>
      </c>
      <c r="BR11" s="110">
        <v>-6.6907335856748351E-2</v>
      </c>
      <c r="BS11" s="110">
        <v>0.19466856944215688</v>
      </c>
      <c r="BT11" s="111">
        <f t="shared" si="16"/>
        <v>0.30476914037275371</v>
      </c>
    </row>
    <row r="12" spans="1:72" x14ac:dyDescent="0.2">
      <c r="A12" s="99"/>
      <c r="B12" s="100" t="s">
        <v>117</v>
      </c>
      <c r="C12" s="101">
        <v>9.7048769230769256</v>
      </c>
      <c r="D12" s="101">
        <v>0.74473725925993728</v>
      </c>
      <c r="E12" s="101">
        <v>8.2343674547384857</v>
      </c>
      <c r="F12" s="101">
        <v>11.175386391415365</v>
      </c>
      <c r="G12" s="93"/>
      <c r="H12" s="74" t="s">
        <v>117</v>
      </c>
      <c r="I12" s="75">
        <f t="shared" si="0"/>
        <v>9.7048769230769256</v>
      </c>
      <c r="J12" s="75">
        <f t="shared" si="1"/>
        <v>7.2371155555555546</v>
      </c>
      <c r="K12" s="75">
        <f t="shared" si="2"/>
        <v>0</v>
      </c>
      <c r="L12" s="75">
        <f t="shared" si="3"/>
        <v>8.5613256410256326</v>
      </c>
      <c r="M12" s="75">
        <f t="shared" si="17"/>
        <v>-1.324210085470078</v>
      </c>
      <c r="N12" s="75">
        <f t="shared" si="18"/>
        <v>-1.143551282051293</v>
      </c>
      <c r="O12" s="75">
        <f t="shared" si="19"/>
        <v>8.5613256410256326</v>
      </c>
      <c r="P12" s="75"/>
      <c r="Q12" s="73"/>
      <c r="R12" s="74" t="s">
        <v>117</v>
      </c>
      <c r="S12" s="75">
        <v>4.6465179487179498</v>
      </c>
      <c r="T12" s="75">
        <v>0.45323732123426275</v>
      </c>
      <c r="U12" s="75">
        <v>3.7515851868716572</v>
      </c>
      <c r="V12" s="75">
        <v>5.5414507105642423</v>
      </c>
      <c r="W12" s="66"/>
      <c r="X12" s="74" t="s">
        <v>117</v>
      </c>
      <c r="Y12" s="75">
        <f t="shared" si="4"/>
        <v>4.6465179487179498</v>
      </c>
      <c r="Z12" s="75">
        <f t="shared" si="5"/>
        <v>3.7060377777777775</v>
      </c>
      <c r="AA12" s="75">
        <f t="shared" si="6"/>
        <v>0</v>
      </c>
      <c r="AB12" s="75">
        <f t="shared" si="7"/>
        <v>4.4259358974359024</v>
      </c>
      <c r="AC12" s="75">
        <f t="shared" si="20"/>
        <v>-0.71989811965812489</v>
      </c>
      <c r="AD12" s="75">
        <f t="shared" si="21"/>
        <v>-0.22058205128204733</v>
      </c>
      <c r="AE12" s="75">
        <f t="shared" si="22"/>
        <v>4.4259358974359024</v>
      </c>
      <c r="AF12" s="121"/>
      <c r="AG12" s="99"/>
      <c r="AH12" s="100" t="s">
        <v>117</v>
      </c>
      <c r="AI12" s="101">
        <v>27.864615384615377</v>
      </c>
      <c r="AJ12" s="101">
        <v>1.7343923615187848</v>
      </c>
      <c r="AK12" s="101">
        <v>24.439997698692601</v>
      </c>
      <c r="AL12" s="101">
        <v>31.289233070538153</v>
      </c>
      <c r="AM12" s="93"/>
      <c r="AN12" s="74" t="s">
        <v>117</v>
      </c>
      <c r="AO12" s="75">
        <f t="shared" si="8"/>
        <v>27.864615384615377</v>
      </c>
      <c r="AP12" s="75">
        <f t="shared" si="9"/>
        <v>21.536324444444439</v>
      </c>
      <c r="AQ12" s="75">
        <f t="shared" si="10"/>
        <v>0</v>
      </c>
      <c r="AR12" s="75">
        <f t="shared" si="11"/>
        <v>17.749741025640986</v>
      </c>
      <c r="AS12" s="75">
        <f t="shared" si="23"/>
        <v>3.7865834188034526</v>
      </c>
      <c r="AT12" s="75">
        <f t="shared" si="29"/>
        <v>-10.11487435897439</v>
      </c>
      <c r="AU12" s="75">
        <f t="shared" si="25"/>
        <v>17.749741025640986</v>
      </c>
      <c r="AV12" s="121"/>
      <c r="AW12" s="99"/>
      <c r="AX12" s="100" t="s">
        <v>117</v>
      </c>
      <c r="AY12" s="101">
        <v>2.0394736842105261</v>
      </c>
      <c r="AZ12" s="101">
        <v>0.12079694631272243</v>
      </c>
      <c r="BA12" s="101">
        <v>1.8009450598839243</v>
      </c>
      <c r="BB12" s="101">
        <v>2.2780023085371282</v>
      </c>
      <c r="BC12" s="93"/>
      <c r="BD12" s="74" t="s">
        <v>117</v>
      </c>
      <c r="BE12" s="75">
        <f t="shared" si="12"/>
        <v>2.0394736842105261</v>
      </c>
      <c r="BF12" s="75">
        <f t="shared" si="13"/>
        <v>2.0222222222222221</v>
      </c>
      <c r="BG12" s="75">
        <f t="shared" si="14"/>
        <v>0</v>
      </c>
      <c r="BH12" s="75">
        <f t="shared" si="15"/>
        <v>2.0769230769230771</v>
      </c>
      <c r="BI12" s="75">
        <f t="shared" si="26"/>
        <v>-5.4700854700854951E-2</v>
      </c>
      <c r="BJ12" s="75">
        <f t="shared" si="30"/>
        <v>3.7449392712550988E-2</v>
      </c>
      <c r="BK12" s="75">
        <f t="shared" si="28"/>
        <v>2.0769230769230771</v>
      </c>
      <c r="BN12" s="110" t="s">
        <v>127</v>
      </c>
      <c r="BO12" s="116" t="s">
        <v>34</v>
      </c>
      <c r="BP12" s="110">
        <v>-0.15988793272264304</v>
      </c>
      <c r="BQ12" s="110">
        <v>2.618905236015226E-2</v>
      </c>
      <c r="BR12" s="110">
        <v>-0.13717342731595522</v>
      </c>
      <c r="BS12" s="110">
        <v>2.7128816502355036E-2</v>
      </c>
      <c r="BT12" s="111">
        <f t="shared" si="16"/>
        <v>0.35037922890110557</v>
      </c>
    </row>
    <row r="13" spans="1:72" x14ac:dyDescent="0.2">
      <c r="A13" s="99"/>
      <c r="B13" s="100" t="s">
        <v>118</v>
      </c>
      <c r="C13" s="101">
        <v>11.013197435897439</v>
      </c>
      <c r="D13" s="101">
        <v>1.0400120433312328</v>
      </c>
      <c r="E13" s="101">
        <v>8.9596576970312345</v>
      </c>
      <c r="F13" s="101">
        <v>13.066737174763643</v>
      </c>
      <c r="G13" s="93"/>
      <c r="H13" s="74" t="s">
        <v>118</v>
      </c>
      <c r="I13" s="75">
        <f t="shared" si="0"/>
        <v>11.013197435897439</v>
      </c>
      <c r="J13" s="75">
        <f t="shared" si="1"/>
        <v>7.8370755555555558</v>
      </c>
      <c r="K13" s="75">
        <f t="shared" si="2"/>
        <v>0</v>
      </c>
      <c r="L13" s="75">
        <f t="shared" si="3"/>
        <v>10.280292307692294</v>
      </c>
      <c r="M13" s="75">
        <f t="shared" si="17"/>
        <v>-2.4432167521367383</v>
      </c>
      <c r="N13" s="75">
        <f t="shared" si="18"/>
        <v>-0.73290512820514486</v>
      </c>
      <c r="O13" s="75">
        <f t="shared" si="19"/>
        <v>10.280292307692294</v>
      </c>
      <c r="P13" s="75"/>
      <c r="Q13" s="73"/>
      <c r="R13" s="74" t="s">
        <v>118</v>
      </c>
      <c r="S13" s="75">
        <v>4.0849666666666673</v>
      </c>
      <c r="T13" s="75">
        <v>0.3641193728505468</v>
      </c>
      <c r="U13" s="75">
        <v>3.366000375233547</v>
      </c>
      <c r="V13" s="75">
        <v>4.8039329580997876</v>
      </c>
      <c r="W13" s="66"/>
      <c r="X13" s="74" t="s">
        <v>118</v>
      </c>
      <c r="Y13" s="75">
        <f t="shared" si="4"/>
        <v>4.0849666666666673</v>
      </c>
      <c r="Z13" s="75">
        <f t="shared" si="5"/>
        <v>3.1752133333333332</v>
      </c>
      <c r="AA13" s="75">
        <f t="shared" si="6"/>
        <v>0</v>
      </c>
      <c r="AB13" s="75">
        <f t="shared" si="7"/>
        <v>3.2257692307692305</v>
      </c>
      <c r="AC13" s="75">
        <f t="shared" si="20"/>
        <v>-5.0555897435897279E-2</v>
      </c>
      <c r="AD13" s="75">
        <f t="shared" si="21"/>
        <v>-0.8591974358974368</v>
      </c>
      <c r="AE13" s="75">
        <f t="shared" si="22"/>
        <v>3.2257692307692305</v>
      </c>
      <c r="AF13" s="121"/>
      <c r="AG13" s="99"/>
      <c r="AH13" s="100" t="s">
        <v>118</v>
      </c>
      <c r="AI13" s="101">
        <v>35.740761538461548</v>
      </c>
      <c r="AJ13" s="101">
        <v>2.0374050576154694</v>
      </c>
      <c r="AK13" s="101">
        <v>31.717834807171926</v>
      </c>
      <c r="AL13" s="101">
        <v>39.763688269751171</v>
      </c>
      <c r="AM13" s="93"/>
      <c r="AN13" s="74" t="s">
        <v>118</v>
      </c>
      <c r="AO13" s="75">
        <f t="shared" si="8"/>
        <v>35.740761538461548</v>
      </c>
      <c r="AP13" s="75">
        <f t="shared" si="9"/>
        <v>22.449731111111117</v>
      </c>
      <c r="AQ13" s="75">
        <f t="shared" si="10"/>
        <v>0</v>
      </c>
      <c r="AR13" s="75">
        <f t="shared" si="11"/>
        <v>19.931941025641056</v>
      </c>
      <c r="AS13" s="75">
        <f t="shared" si="23"/>
        <v>2.517790085470061</v>
      </c>
      <c r="AT13" s="75">
        <f t="shared" si="29"/>
        <v>-15.808820512820493</v>
      </c>
      <c r="AU13" s="75">
        <f t="shared" si="25"/>
        <v>19.931941025641056</v>
      </c>
      <c r="AV13" s="121"/>
      <c r="AW13" s="99"/>
      <c r="AX13" s="100" t="s">
        <v>118</v>
      </c>
      <c r="AY13" s="101">
        <v>1.6184210526315792</v>
      </c>
      <c r="AZ13" s="101">
        <v>0.16789575743492663</v>
      </c>
      <c r="BA13" s="101">
        <v>1.2868899562448488</v>
      </c>
      <c r="BB13" s="101">
        <v>1.9499521490183096</v>
      </c>
      <c r="BC13" s="93"/>
      <c r="BD13" s="74" t="s">
        <v>118</v>
      </c>
      <c r="BE13" s="75">
        <f t="shared" si="12"/>
        <v>1.6184210526315792</v>
      </c>
      <c r="BF13" s="75">
        <f t="shared" si="13"/>
        <v>1.4000000000000004</v>
      </c>
      <c r="BG13" s="75">
        <f t="shared" si="14"/>
        <v>0</v>
      </c>
      <c r="BH13" s="75">
        <f t="shared" si="15"/>
        <v>1.6410256410256414</v>
      </c>
      <c r="BI13" s="75">
        <f t="shared" si="26"/>
        <v>-0.24102564102564106</v>
      </c>
      <c r="BJ13" s="75">
        <f t="shared" si="30"/>
        <v>2.2604588394062208E-2</v>
      </c>
      <c r="BK13" s="75">
        <f t="shared" si="28"/>
        <v>1.6410256410256414</v>
      </c>
      <c r="BN13" s="110" t="s">
        <v>124</v>
      </c>
      <c r="BO13" s="117" t="s">
        <v>28</v>
      </c>
      <c r="BP13" s="110">
        <v>-9.3237800216562403E-2</v>
      </c>
      <c r="BQ13" s="110">
        <v>-7.1058891322216766E-2</v>
      </c>
      <c r="BR13" s="110">
        <v>-4.7315525902000305E-2</v>
      </c>
      <c r="BS13" s="110">
        <v>0.14234646916539989</v>
      </c>
      <c r="BT13" s="111">
        <f t="shared" si="16"/>
        <v>0.35395868660617935</v>
      </c>
    </row>
    <row r="14" spans="1:72" x14ac:dyDescent="0.2">
      <c r="A14" s="99"/>
      <c r="B14" s="100" t="s">
        <v>119</v>
      </c>
      <c r="C14" s="101">
        <v>10.502728205128207</v>
      </c>
      <c r="D14" s="101">
        <v>0.75069243913239847</v>
      </c>
      <c r="E14" s="101">
        <v>9.0204600282261396</v>
      </c>
      <c r="F14" s="101">
        <v>11.984996382030275</v>
      </c>
      <c r="G14" s="93"/>
      <c r="H14" s="74" t="s">
        <v>119</v>
      </c>
      <c r="I14" s="75">
        <f t="shared" si="0"/>
        <v>10.502728205128207</v>
      </c>
      <c r="J14" s="75">
        <f t="shared" si="1"/>
        <v>9.2064688888888835</v>
      </c>
      <c r="K14" s="75">
        <f t="shared" si="2"/>
        <v>8.970311111111112</v>
      </c>
      <c r="L14" s="75">
        <f t="shared" si="3"/>
        <v>11.65092820512819</v>
      </c>
      <c r="M14" s="75">
        <f t="shared" si="17"/>
        <v>-2.4444593162393069</v>
      </c>
      <c r="N14" s="75">
        <f t="shared" si="18"/>
        <v>1.1481999999999832</v>
      </c>
      <c r="O14" s="75">
        <f t="shared" si="19"/>
        <v>2.6806170940170784</v>
      </c>
      <c r="P14" s="75"/>
      <c r="Q14" s="73"/>
      <c r="R14" s="74" t="s">
        <v>119</v>
      </c>
      <c r="S14" s="75">
        <v>4.3657461538461551</v>
      </c>
      <c r="T14" s="75">
        <v>0.48966592223791777</v>
      </c>
      <c r="U14" s="75">
        <v>3.398883859768012</v>
      </c>
      <c r="V14" s="75">
        <v>5.3326084479242981</v>
      </c>
      <c r="W14" s="66"/>
      <c r="X14" s="74" t="s">
        <v>119</v>
      </c>
      <c r="Y14" s="75">
        <f t="shared" si="4"/>
        <v>4.3657461538461551</v>
      </c>
      <c r="Z14" s="75">
        <f t="shared" si="5"/>
        <v>3.2490422222222222</v>
      </c>
      <c r="AA14" s="75">
        <f t="shared" si="6"/>
        <v>4.9374111111111114</v>
      </c>
      <c r="AB14" s="75">
        <f t="shared" si="7"/>
        <v>5.0663589743589865</v>
      </c>
      <c r="AC14" s="75">
        <f>(AA14+(Z14-Y14)+(Y14-AA14))-AB14</f>
        <v>-1.8173167521367644</v>
      </c>
      <c r="AD14" s="75">
        <f t="shared" si="21"/>
        <v>0.70061282051283147</v>
      </c>
      <c r="AE14" s="75">
        <f t="shared" si="22"/>
        <v>0.12894786324787511</v>
      </c>
      <c r="AF14" s="121"/>
      <c r="AG14" s="99"/>
      <c r="AH14" s="100" t="s">
        <v>119</v>
      </c>
      <c r="AI14" s="101">
        <v>38.296020512820512</v>
      </c>
      <c r="AJ14" s="101">
        <v>2.360958481883225</v>
      </c>
      <c r="AK14" s="101">
        <v>33.634226358176967</v>
      </c>
      <c r="AL14" s="101">
        <v>42.957814667464056</v>
      </c>
      <c r="AM14" s="93"/>
      <c r="AN14" s="74" t="s">
        <v>119</v>
      </c>
      <c r="AO14" s="75">
        <f t="shared" si="8"/>
        <v>38.296020512820512</v>
      </c>
      <c r="AP14" s="75">
        <f t="shared" si="9"/>
        <v>20.648720000000008</v>
      </c>
      <c r="AQ14" s="75">
        <f t="shared" si="10"/>
        <v>34.330739999999992</v>
      </c>
      <c r="AR14" s="75">
        <f t="shared" si="11"/>
        <v>20.468938461538489</v>
      </c>
      <c r="AS14" s="75">
        <f t="shared" si="23"/>
        <v>0.17978153846151912</v>
      </c>
      <c r="AT14" s="75">
        <f t="shared" si="29"/>
        <v>-17.827082051282023</v>
      </c>
      <c r="AU14" s="75">
        <f t="shared" si="25"/>
        <v>-13.861801538461503</v>
      </c>
      <c r="AV14" s="121"/>
      <c r="AW14" s="99"/>
      <c r="AX14" s="100" t="s">
        <v>119</v>
      </c>
      <c r="AY14" s="101">
        <v>1.2763157894736843</v>
      </c>
      <c r="AZ14" s="101">
        <v>0.15203482658353426</v>
      </c>
      <c r="BA14" s="101">
        <v>0.97610407765755136</v>
      </c>
      <c r="BB14" s="101">
        <v>1.5765275012898172</v>
      </c>
      <c r="BC14" s="93"/>
      <c r="BD14" s="74" t="s">
        <v>119</v>
      </c>
      <c r="BE14" s="75">
        <f t="shared" si="12"/>
        <v>1.2763157894736843</v>
      </c>
      <c r="BF14" s="75">
        <f t="shared" si="13"/>
        <v>1.5333333333333334</v>
      </c>
      <c r="BG14" s="75">
        <f t="shared" si="14"/>
        <v>1.6333333333333333</v>
      </c>
      <c r="BH14" s="75">
        <f t="shared" si="15"/>
        <v>1.2692307692307698</v>
      </c>
      <c r="BI14" s="75">
        <f t="shared" si="26"/>
        <v>0.26410256410256361</v>
      </c>
      <c r="BJ14" s="75">
        <f t="shared" si="30"/>
        <v>-7.0850202429144638E-3</v>
      </c>
      <c r="BK14" s="75">
        <f t="shared" si="28"/>
        <v>-0.36410256410256348</v>
      </c>
      <c r="BN14" s="110" t="s">
        <v>116</v>
      </c>
      <c r="BO14" s="118" t="s">
        <v>12</v>
      </c>
      <c r="BP14" s="110">
        <v>-0.12846420815832929</v>
      </c>
      <c r="BQ14" s="110">
        <v>4.1202468977845214E-2</v>
      </c>
      <c r="BR14" s="110">
        <v>9.3771804583299506E-2</v>
      </c>
      <c r="BS14" s="110">
        <v>0.10484921987860725</v>
      </c>
      <c r="BT14" s="111">
        <f t="shared" si="16"/>
        <v>0.36828770159808127</v>
      </c>
    </row>
    <row r="15" spans="1:72" x14ac:dyDescent="0.2">
      <c r="A15" s="99"/>
      <c r="B15" s="100" t="s">
        <v>120</v>
      </c>
      <c r="C15" s="101">
        <v>11.068074358974359</v>
      </c>
      <c r="D15" s="101">
        <v>0.97727458825255875</v>
      </c>
      <c r="E15" s="101">
        <v>9.1384118943623314</v>
      </c>
      <c r="F15" s="101">
        <v>12.997736823586386</v>
      </c>
      <c r="G15" s="93"/>
      <c r="H15" s="74" t="s">
        <v>120</v>
      </c>
      <c r="I15" s="75">
        <f t="shared" si="0"/>
        <v>11.068074358974359</v>
      </c>
      <c r="J15" s="75">
        <f t="shared" si="1"/>
        <v>9.406302222222223</v>
      </c>
      <c r="K15" s="75">
        <f t="shared" si="2"/>
        <v>9.7054311111111122</v>
      </c>
      <c r="L15" s="75">
        <f t="shared" si="3"/>
        <v>12.326194871794861</v>
      </c>
      <c r="M15" s="75">
        <f t="shared" si="17"/>
        <v>-2.9198926495726383</v>
      </c>
      <c r="N15" s="75">
        <f t="shared" si="18"/>
        <v>1.2581205128205024</v>
      </c>
      <c r="O15" s="75">
        <f t="shared" si="19"/>
        <v>2.6207637606837491</v>
      </c>
      <c r="P15" s="75"/>
      <c r="Q15" s="73"/>
      <c r="R15" s="74" t="s">
        <v>120</v>
      </c>
      <c r="S15" s="75">
        <v>4.8036025641025635</v>
      </c>
      <c r="T15" s="75">
        <v>0.38238081300106463</v>
      </c>
      <c r="U15" s="75">
        <v>4.0485784276872847</v>
      </c>
      <c r="V15" s="75">
        <v>5.5586267005178422</v>
      </c>
      <c r="W15" s="66"/>
      <c r="X15" s="74" t="s">
        <v>120</v>
      </c>
      <c r="Y15" s="75">
        <f t="shared" si="4"/>
        <v>4.8036025641025635</v>
      </c>
      <c r="Z15" s="75">
        <f t="shared" si="5"/>
        <v>3.4908488888888893</v>
      </c>
      <c r="AA15" s="75">
        <f t="shared" si="6"/>
        <v>3.9797888888888902</v>
      </c>
      <c r="AB15" s="75">
        <f t="shared" si="7"/>
        <v>3.6934179487179457</v>
      </c>
      <c r="AC15" s="75">
        <f t="shared" si="20"/>
        <v>-0.20256905982905637</v>
      </c>
      <c r="AD15" s="75">
        <f t="shared" si="21"/>
        <v>-1.1101846153846178</v>
      </c>
      <c r="AE15" s="75">
        <f t="shared" si="22"/>
        <v>-0.28637094017094444</v>
      </c>
      <c r="AF15" s="121"/>
      <c r="AG15" s="99"/>
      <c r="AH15" s="100" t="s">
        <v>120</v>
      </c>
      <c r="AI15" s="101">
        <v>44.233099999999993</v>
      </c>
      <c r="AJ15" s="101">
        <v>2.270246116119329</v>
      </c>
      <c r="AK15" s="101">
        <v>39.750420548015136</v>
      </c>
      <c r="AL15" s="101">
        <v>48.715779451984851</v>
      </c>
      <c r="AM15" s="93"/>
      <c r="AN15" s="74" t="s">
        <v>120</v>
      </c>
      <c r="AO15" s="75">
        <f t="shared" si="8"/>
        <v>44.233099999999993</v>
      </c>
      <c r="AP15" s="75">
        <f t="shared" si="9"/>
        <v>19.81825111111111</v>
      </c>
      <c r="AQ15" s="75">
        <f t="shared" si="10"/>
        <v>32.024613333333328</v>
      </c>
      <c r="AR15" s="75">
        <f t="shared" si="11"/>
        <v>26.683510256410276</v>
      </c>
      <c r="AS15" s="75">
        <f t="shared" si="23"/>
        <v>-6.8652591452991665</v>
      </c>
      <c r="AT15" s="75">
        <f t="shared" si="29"/>
        <v>-17.549589743589717</v>
      </c>
      <c r="AU15" s="75">
        <f t="shared" si="25"/>
        <v>-5.3411030769230514</v>
      </c>
      <c r="AV15" s="121"/>
      <c r="AW15" s="99"/>
      <c r="AX15" s="100" t="s">
        <v>120</v>
      </c>
      <c r="AY15" s="101">
        <v>1.3815789473684212</v>
      </c>
      <c r="AZ15" s="101">
        <v>0.171791027774509</v>
      </c>
      <c r="BA15" s="101">
        <v>1.0423561542638331</v>
      </c>
      <c r="BB15" s="101">
        <v>1.7208017404730094</v>
      </c>
      <c r="BC15" s="93"/>
      <c r="BD15" s="74" t="s">
        <v>120</v>
      </c>
      <c r="BE15" s="75">
        <f t="shared" si="12"/>
        <v>1.3815789473684212</v>
      </c>
      <c r="BF15" s="75">
        <f t="shared" si="13"/>
        <v>1.9111111111111112</v>
      </c>
      <c r="BG15" s="75">
        <f t="shared" si="14"/>
        <v>1.788888888888889</v>
      </c>
      <c r="BH15" s="75">
        <f t="shared" si="15"/>
        <v>1.538461538461539</v>
      </c>
      <c r="BI15" s="75">
        <f t="shared" si="26"/>
        <v>0.37264957264957221</v>
      </c>
      <c r="BJ15" s="75">
        <f t="shared" si="30"/>
        <v>0.15688259109311775</v>
      </c>
      <c r="BK15" s="75">
        <f t="shared" si="28"/>
        <v>-0.25042735042734998</v>
      </c>
      <c r="BN15" s="110" t="s">
        <v>128</v>
      </c>
      <c r="BO15" s="119" t="s">
        <v>36</v>
      </c>
      <c r="BP15" s="110">
        <v>-0.17353979788622137</v>
      </c>
      <c r="BQ15" s="110">
        <v>-5.4737225927813896E-2</v>
      </c>
      <c r="BR15" s="110">
        <v>-7.3097597114727131E-2</v>
      </c>
      <c r="BS15" s="110">
        <v>-8.3496442438628346E-2</v>
      </c>
      <c r="BT15" s="111">
        <f t="shared" si="16"/>
        <v>0.38487106336739074</v>
      </c>
    </row>
    <row r="16" spans="1:72" x14ac:dyDescent="0.2">
      <c r="A16" s="99"/>
      <c r="B16" s="100" t="s">
        <v>121</v>
      </c>
      <c r="C16" s="101">
        <v>9.3295435897435901</v>
      </c>
      <c r="D16" s="101">
        <v>0.778367507411034</v>
      </c>
      <c r="E16" s="101">
        <v>7.7926300336361276</v>
      </c>
      <c r="F16" s="101">
        <v>10.866457145851053</v>
      </c>
      <c r="G16" s="93"/>
      <c r="H16" s="74" t="s">
        <v>121</v>
      </c>
      <c r="I16" s="75">
        <f t="shared" si="0"/>
        <v>9.3295435897435901</v>
      </c>
      <c r="J16" s="75">
        <f t="shared" si="1"/>
        <v>8.7428511111111131</v>
      </c>
      <c r="K16" s="75">
        <f t="shared" si="2"/>
        <v>9.254895555555553</v>
      </c>
      <c r="L16" s="75">
        <f t="shared" si="3"/>
        <v>10.099669230769228</v>
      </c>
      <c r="M16" s="75">
        <f t="shared" si="17"/>
        <v>-1.3568181196581151</v>
      </c>
      <c r="N16" s="75">
        <f t="shared" si="18"/>
        <v>0.77012564102563807</v>
      </c>
      <c r="O16" s="75">
        <f t="shared" si="19"/>
        <v>0.84477367521367519</v>
      </c>
      <c r="P16" s="75"/>
      <c r="Q16" s="73"/>
      <c r="R16" s="74" t="s">
        <v>121</v>
      </c>
      <c r="S16" s="75">
        <v>5.3708794871794865</v>
      </c>
      <c r="T16" s="75">
        <v>0.45973185769337543</v>
      </c>
      <c r="U16" s="75">
        <v>4.4631230385405063</v>
      </c>
      <c r="V16" s="75">
        <v>6.2786359358184667</v>
      </c>
      <c r="W16" s="66"/>
      <c r="X16" s="74" t="s">
        <v>121</v>
      </c>
      <c r="Y16" s="75">
        <f t="shared" si="4"/>
        <v>5.3708794871794865</v>
      </c>
      <c r="Z16" s="75">
        <f t="shared" si="5"/>
        <v>3.841682222222222</v>
      </c>
      <c r="AA16" s="75">
        <f t="shared" si="6"/>
        <v>4.6184911111111111</v>
      </c>
      <c r="AB16" s="75">
        <f t="shared" si="7"/>
        <v>3.78328461538461</v>
      </c>
      <c r="AC16" s="75">
        <f t="shared" si="20"/>
        <v>5.8397606837611971E-2</v>
      </c>
      <c r="AD16" s="75">
        <f t="shared" si="21"/>
        <v>-1.5875948717948765</v>
      </c>
      <c r="AE16" s="75">
        <f>AB16-AA16</f>
        <v>-0.83520649572650107</v>
      </c>
      <c r="AF16" s="121"/>
      <c r="AG16" s="99"/>
      <c r="AH16" s="100" t="s">
        <v>121</v>
      </c>
      <c r="AI16" s="101">
        <v>30.685833333333342</v>
      </c>
      <c r="AJ16" s="101">
        <v>1.6791603256796388</v>
      </c>
      <c r="AK16" s="101">
        <v>27.370273211869986</v>
      </c>
      <c r="AL16" s="101">
        <v>34.001393454796698</v>
      </c>
      <c r="AM16" s="93"/>
      <c r="AN16" s="74" t="s">
        <v>121</v>
      </c>
      <c r="AO16" s="75">
        <f t="shared" si="8"/>
        <v>30.685833333333342</v>
      </c>
      <c r="AP16" s="75">
        <f t="shared" si="9"/>
        <v>22.341524444444445</v>
      </c>
      <c r="AQ16" s="75">
        <f t="shared" si="10"/>
        <v>29.243771111111105</v>
      </c>
      <c r="AR16" s="75">
        <f t="shared" si="11"/>
        <v>24.398458974358959</v>
      </c>
      <c r="AS16" s="75">
        <f t="shared" si="23"/>
        <v>-2.0569345299145141</v>
      </c>
      <c r="AT16" s="75">
        <f t="shared" si="29"/>
        <v>-6.2873743589743825</v>
      </c>
      <c r="AU16" s="75">
        <f>AR16-AQ16</f>
        <v>-4.8453121367521454</v>
      </c>
      <c r="AV16" s="121"/>
      <c r="AW16" s="99"/>
      <c r="AX16" s="100" t="s">
        <v>121</v>
      </c>
      <c r="AY16" s="101">
        <v>1.9736842105263155</v>
      </c>
      <c r="AZ16" s="101">
        <v>0.1260099413770526</v>
      </c>
      <c r="BA16" s="101">
        <v>1.7248618777967133</v>
      </c>
      <c r="BB16" s="101">
        <v>2.2225065432559177</v>
      </c>
      <c r="BC16" s="93"/>
      <c r="BD16" s="74" t="s">
        <v>121</v>
      </c>
      <c r="BE16" s="75">
        <f t="shared" si="12"/>
        <v>1.9736842105263155</v>
      </c>
      <c r="BF16" s="75">
        <f t="shared" si="13"/>
        <v>1.9555555555555553</v>
      </c>
      <c r="BG16" s="75">
        <f t="shared" si="14"/>
        <v>2.2333333333333329</v>
      </c>
      <c r="BH16" s="75">
        <f t="shared" si="15"/>
        <v>1.8333333333333333</v>
      </c>
      <c r="BI16" s="75">
        <f t="shared" si="26"/>
        <v>0.12222222222222201</v>
      </c>
      <c r="BJ16" s="75">
        <f t="shared" si="30"/>
        <v>-0.14035087719298223</v>
      </c>
      <c r="BK16" s="75">
        <f>BH16-BG16</f>
        <v>-0.39999999999999969</v>
      </c>
      <c r="BN16" s="110" t="s">
        <v>113</v>
      </c>
      <c r="BO16" s="120" t="s">
        <v>6</v>
      </c>
      <c r="BP16" s="110">
        <v>-2.7820236843576925E-2</v>
      </c>
      <c r="BQ16" s="110">
        <v>-0.28570406218268229</v>
      </c>
      <c r="BR16" s="110">
        <v>1.9853753871890204E-2</v>
      </c>
      <c r="BS16" s="110">
        <v>8.3863611284805156E-2</v>
      </c>
      <c r="BT16" s="111">
        <f t="shared" si="16"/>
        <v>0.41724166418295461</v>
      </c>
    </row>
    <row r="17" spans="1:72" x14ac:dyDescent="0.2">
      <c r="A17" s="99"/>
      <c r="B17" s="100" t="s">
        <v>122</v>
      </c>
      <c r="C17" s="101">
        <v>7.6466282051282048</v>
      </c>
      <c r="D17" s="101">
        <v>0.72003520305217139</v>
      </c>
      <c r="E17" s="101">
        <v>6.224893800866786</v>
      </c>
      <c r="F17" s="101">
        <v>9.0683626093896237</v>
      </c>
      <c r="G17" s="93"/>
      <c r="H17" s="74" t="s">
        <v>122</v>
      </c>
      <c r="I17" s="75">
        <f t="shared" si="0"/>
        <v>7.6466282051282048</v>
      </c>
      <c r="J17" s="75">
        <f t="shared" si="1"/>
        <v>7.5819111111111113</v>
      </c>
      <c r="K17" s="75">
        <f t="shared" si="2"/>
        <v>8.0564755555555543</v>
      </c>
      <c r="L17" s="75">
        <f t="shared" si="3"/>
        <v>7.7647948717948454</v>
      </c>
      <c r="M17" s="75">
        <f t="shared" si="17"/>
        <v>-0.18288376068373413</v>
      </c>
      <c r="N17" s="75">
        <f t="shared" si="18"/>
        <v>0.11816666666664055</v>
      </c>
      <c r="O17" s="75">
        <f t="shared" si="19"/>
        <v>-0.29168068376070888</v>
      </c>
      <c r="P17" s="75"/>
      <c r="Q17" s="73"/>
      <c r="R17" s="74" t="s">
        <v>122</v>
      </c>
      <c r="S17" s="75">
        <v>4.0411128205128204</v>
      </c>
      <c r="T17" s="75">
        <v>0.3381158493314963</v>
      </c>
      <c r="U17" s="75">
        <v>3.3734913853622008</v>
      </c>
      <c r="V17" s="75">
        <v>4.7087342556634404</v>
      </c>
      <c r="W17" s="66"/>
      <c r="X17" s="74" t="s">
        <v>122</v>
      </c>
      <c r="Y17" s="75">
        <f t="shared" si="4"/>
        <v>4.0411128205128204</v>
      </c>
      <c r="Z17" s="75">
        <f t="shared" si="5"/>
        <v>2.5326111111111116</v>
      </c>
      <c r="AA17" s="75">
        <f t="shared" si="6"/>
        <v>3.651346666666667</v>
      </c>
      <c r="AB17" s="75">
        <f t="shared" si="7"/>
        <v>2.5955384615384554</v>
      </c>
      <c r="AC17" s="75">
        <f t="shared" si="20"/>
        <v>-6.2927350427343764E-2</v>
      </c>
      <c r="AD17" s="75">
        <f t="shared" si="21"/>
        <v>-1.445574358974365</v>
      </c>
      <c r="AE17" s="75">
        <f t="shared" si="22"/>
        <v>-1.0558082051282116</v>
      </c>
      <c r="AF17" s="121"/>
      <c r="AG17" s="99"/>
      <c r="AH17" s="100" t="s">
        <v>122</v>
      </c>
      <c r="AI17" s="101">
        <v>31.403456410256418</v>
      </c>
      <c r="AJ17" s="101">
        <v>1.7950007554098695</v>
      </c>
      <c r="AK17" s="101">
        <v>27.859165355008475</v>
      </c>
      <c r="AL17" s="101">
        <v>34.947747465504364</v>
      </c>
      <c r="AM17" s="93"/>
      <c r="AN17" s="74" t="s">
        <v>122</v>
      </c>
      <c r="AO17" s="75">
        <f t="shared" si="8"/>
        <v>31.403456410256418</v>
      </c>
      <c r="AP17" s="75">
        <f t="shared" si="9"/>
        <v>15.806600000000003</v>
      </c>
      <c r="AQ17" s="75">
        <f t="shared" si="10"/>
        <v>31.965460000000011</v>
      </c>
      <c r="AR17" s="75">
        <f t="shared" si="11"/>
        <v>17.422376923076925</v>
      </c>
      <c r="AS17" s="75">
        <f t="shared" si="23"/>
        <v>-1.6157769230769219</v>
      </c>
      <c r="AT17" s="75">
        <f t="shared" si="29"/>
        <v>-13.981079487179493</v>
      </c>
      <c r="AU17" s="75">
        <f t="shared" ref="AU17:AU24" si="31">AR17-AQ17</f>
        <v>-14.543083076923086</v>
      </c>
      <c r="AV17" s="121"/>
      <c r="AW17" s="99"/>
      <c r="AX17" s="100" t="s">
        <v>122</v>
      </c>
      <c r="AY17" s="101">
        <v>1.8684210526315788</v>
      </c>
      <c r="AZ17" s="101">
        <v>0.14764126745237255</v>
      </c>
      <c r="BA17" s="101">
        <v>1.5768849708495074</v>
      </c>
      <c r="BB17" s="101">
        <v>2.1599571344136499</v>
      </c>
      <c r="BC17" s="93"/>
      <c r="BD17" s="74" t="s">
        <v>122</v>
      </c>
      <c r="BE17" s="75">
        <f t="shared" si="12"/>
        <v>1.8684210526315788</v>
      </c>
      <c r="BF17" s="75">
        <f t="shared" si="13"/>
        <v>1.9999999999999998</v>
      </c>
      <c r="BG17" s="75">
        <f t="shared" si="14"/>
        <v>1.8666666666666665</v>
      </c>
      <c r="BH17" s="75">
        <f t="shared" si="15"/>
        <v>1.6410256410256419</v>
      </c>
      <c r="BI17" s="75">
        <f t="shared" si="26"/>
        <v>0.35897435897435792</v>
      </c>
      <c r="BJ17" s="75">
        <f t="shared" si="30"/>
        <v>-0.2273954116059369</v>
      </c>
      <c r="BK17" s="75">
        <f t="shared" ref="BK17:BK24" si="32">BH17-BG17</f>
        <v>-0.22564102564102462</v>
      </c>
      <c r="BN17" s="110" t="s">
        <v>123</v>
      </c>
      <c r="BO17" s="117" t="s">
        <v>26</v>
      </c>
      <c r="BP17" s="110">
        <v>-6.6236103547855751E-2</v>
      </c>
      <c r="BQ17" s="110">
        <v>0.17450449311927915</v>
      </c>
      <c r="BR17" s="110">
        <v>-0.1018117998106419</v>
      </c>
      <c r="BS17" s="110">
        <v>9.6006815661331957E-2</v>
      </c>
      <c r="BT17" s="111">
        <f t="shared" si="16"/>
        <v>0.43855921213910876</v>
      </c>
    </row>
    <row r="18" spans="1:72" x14ac:dyDescent="0.2">
      <c r="A18" s="99"/>
      <c r="B18" s="100" t="s">
        <v>123</v>
      </c>
      <c r="C18" s="101">
        <v>9.2126564102564128</v>
      </c>
      <c r="D18" s="101">
        <v>0.89902815922051227</v>
      </c>
      <c r="E18" s="101">
        <v>7.4374942252055769</v>
      </c>
      <c r="F18" s="101">
        <v>10.987818595307248</v>
      </c>
      <c r="G18" s="93"/>
      <c r="H18" s="74" t="s">
        <v>123</v>
      </c>
      <c r="I18" s="75">
        <f t="shared" si="0"/>
        <v>9.2126564102564128</v>
      </c>
      <c r="J18" s="75">
        <f t="shared" ref="J18:J24" si="33">C38</f>
        <v>9.716113333333336</v>
      </c>
      <c r="K18" s="75">
        <f t="shared" ref="K18:K24" si="34">C58</f>
        <v>9.461706666666668</v>
      </c>
      <c r="L18" s="75">
        <f t="shared" ref="L18:L24" si="35">C78</f>
        <v>10.357746153846151</v>
      </c>
      <c r="M18" s="75">
        <f t="shared" si="17"/>
        <v>-0.64163282051281456</v>
      </c>
      <c r="N18" s="75">
        <f t="shared" si="18"/>
        <v>1.1450897435897378</v>
      </c>
      <c r="O18" s="75">
        <f t="shared" si="19"/>
        <v>0.89603948717948256</v>
      </c>
      <c r="P18" s="75"/>
      <c r="Q18" s="73"/>
      <c r="R18" s="74" t="s">
        <v>123</v>
      </c>
      <c r="S18" s="75">
        <v>4.0587974358974366</v>
      </c>
      <c r="T18" s="75">
        <v>0.40075343950589881</v>
      </c>
      <c r="U18" s="75">
        <v>3.2674959131990384</v>
      </c>
      <c r="V18" s="75">
        <v>4.8500989585958347</v>
      </c>
      <c r="W18" s="66"/>
      <c r="X18" s="74" t="s">
        <v>123</v>
      </c>
      <c r="Y18" s="75">
        <f t="shared" si="4"/>
        <v>4.0587974358974366</v>
      </c>
      <c r="Z18" s="75">
        <f t="shared" ref="Z18:Z24" si="36">S38</f>
        <v>4.8191111111111118</v>
      </c>
      <c r="AA18" s="75">
        <f t="shared" ref="AA18:AA24" si="37">S58</f>
        <v>5.6932911111111126</v>
      </c>
      <c r="AB18" s="75">
        <f t="shared" ref="AB18:AB24" si="38">S78</f>
        <v>4.0085487179487211</v>
      </c>
      <c r="AC18" s="75">
        <f t="shared" si="20"/>
        <v>0.81056239316239065</v>
      </c>
      <c r="AD18" s="75">
        <f t="shared" si="21"/>
        <v>-5.0248717948715438E-2</v>
      </c>
      <c r="AE18" s="75">
        <f t="shared" si="22"/>
        <v>-1.6847423931623915</v>
      </c>
      <c r="AF18" s="121"/>
      <c r="AG18" s="99"/>
      <c r="AH18" s="100" t="s">
        <v>123</v>
      </c>
      <c r="AI18" s="101">
        <v>38.138341025641033</v>
      </c>
      <c r="AJ18" s="101">
        <v>2.718893829628136</v>
      </c>
      <c r="AK18" s="101">
        <v>32.769791150953424</v>
      </c>
      <c r="AL18" s="101">
        <v>43.506890900328642</v>
      </c>
      <c r="AM18" s="93"/>
      <c r="AN18" s="74" t="s">
        <v>123</v>
      </c>
      <c r="AO18" s="75">
        <f t="shared" si="8"/>
        <v>38.138341025641033</v>
      </c>
      <c r="AP18" s="75">
        <f t="shared" ref="AP18:AP24" si="39">AI38</f>
        <v>19.900740000000006</v>
      </c>
      <c r="AQ18" s="75">
        <f t="shared" ref="AQ18:AQ24" si="40">AI58</f>
        <v>30.070968888888892</v>
      </c>
      <c r="AR18" s="75">
        <f t="shared" ref="AR18:AR24" si="41">AI78</f>
        <v>22.721735897435959</v>
      </c>
      <c r="AS18" s="75">
        <f t="shared" si="23"/>
        <v>-2.820995897435953</v>
      </c>
      <c r="AT18" s="75">
        <f t="shared" si="29"/>
        <v>-15.416605128205074</v>
      </c>
      <c r="AU18" s="75">
        <f t="shared" si="31"/>
        <v>-7.3492329914529329</v>
      </c>
      <c r="AV18" s="121"/>
      <c r="AW18" s="99"/>
      <c r="AX18" s="100" t="s">
        <v>123</v>
      </c>
      <c r="AY18" s="101">
        <v>1.6052631578947365</v>
      </c>
      <c r="AZ18" s="101">
        <v>0.15693914951186697</v>
      </c>
      <c r="BA18" s="101">
        <v>1.29536724927515</v>
      </c>
      <c r="BB18" s="101">
        <v>1.915159066514323</v>
      </c>
      <c r="BC18" s="93"/>
      <c r="BD18" s="74" t="s">
        <v>123</v>
      </c>
      <c r="BE18" s="75">
        <f t="shared" si="12"/>
        <v>1.6052631578947365</v>
      </c>
      <c r="BF18" s="75">
        <f t="shared" ref="BF18:BF24" si="42">AY38</f>
        <v>1.5444444444444443</v>
      </c>
      <c r="BG18" s="75">
        <f t="shared" ref="BG18:BG24" si="43">AY58</f>
        <v>1.5777777777777775</v>
      </c>
      <c r="BH18" s="75">
        <f t="shared" ref="BH18:BH24" si="44">AY78</f>
        <v>1.3974358974358976</v>
      </c>
      <c r="BI18" s="75">
        <f t="shared" si="26"/>
        <v>0.14700854700854671</v>
      </c>
      <c r="BJ18" s="75">
        <f t="shared" si="30"/>
        <v>-0.20782726045883892</v>
      </c>
      <c r="BK18" s="75">
        <f t="shared" si="32"/>
        <v>-0.18034188034187992</v>
      </c>
      <c r="BN18" s="110" t="s">
        <v>118</v>
      </c>
      <c r="BO18" s="4" t="s">
        <v>16</v>
      </c>
      <c r="BP18" s="110">
        <v>-0.21071184392220219</v>
      </c>
      <c r="BQ18" s="110">
        <v>-1.5007202266668395E-2</v>
      </c>
      <c r="BR18" s="110">
        <v>8.3260324276376849E-2</v>
      </c>
      <c r="BS18" s="110">
        <v>-0.17204162970752437</v>
      </c>
      <c r="BT18" s="111">
        <f t="shared" si="16"/>
        <v>0.48102100017277183</v>
      </c>
    </row>
    <row r="19" spans="1:72" x14ac:dyDescent="0.2">
      <c r="A19" s="99"/>
      <c r="B19" s="100" t="s">
        <v>124</v>
      </c>
      <c r="C19" s="101">
        <v>8.9721358974358996</v>
      </c>
      <c r="D19" s="101">
        <v>0.81328658771385953</v>
      </c>
      <c r="E19" s="101">
        <v>7.3662734099133473</v>
      </c>
      <c r="F19" s="101">
        <v>10.577998384958452</v>
      </c>
      <c r="G19" s="93"/>
      <c r="H19" s="74" t="s">
        <v>124</v>
      </c>
      <c r="I19" s="75">
        <f t="shared" si="0"/>
        <v>8.9721358974358996</v>
      </c>
      <c r="J19" s="75">
        <f t="shared" si="33"/>
        <v>7.5493155555555571</v>
      </c>
      <c r="K19" s="75">
        <f t="shared" si="34"/>
        <v>9.8727333333333362</v>
      </c>
      <c r="L19" s="75">
        <f t="shared" si="35"/>
        <v>8.359402564102556</v>
      </c>
      <c r="M19" s="75">
        <f t="shared" si="17"/>
        <v>-0.81008700854699889</v>
      </c>
      <c r="N19" s="75">
        <f t="shared" si="18"/>
        <v>-0.61273333333334357</v>
      </c>
      <c r="O19" s="75">
        <f t="shared" si="19"/>
        <v>-1.5133307692307802</v>
      </c>
      <c r="P19" s="75"/>
      <c r="Q19" s="73"/>
      <c r="R19" s="74" t="s">
        <v>124</v>
      </c>
      <c r="S19" s="75">
        <v>4.7388435897435901</v>
      </c>
      <c r="T19" s="75">
        <v>0.44817576832550265</v>
      </c>
      <c r="U19" s="75">
        <v>3.8539050391231786</v>
      </c>
      <c r="V19" s="75">
        <v>5.6237821403640016</v>
      </c>
      <c r="W19" s="66"/>
      <c r="X19" s="74" t="s">
        <v>124</v>
      </c>
      <c r="Y19" s="75">
        <f t="shared" si="4"/>
        <v>4.7388435897435901</v>
      </c>
      <c r="Z19" s="75">
        <f t="shared" si="36"/>
        <v>4.2318800000000003</v>
      </c>
      <c r="AA19" s="75">
        <f t="shared" si="37"/>
        <v>5.4234600000000022</v>
      </c>
      <c r="AB19" s="75">
        <f t="shared" si="38"/>
        <v>4.568751282051287</v>
      </c>
      <c r="AC19" s="75">
        <f t="shared" si="20"/>
        <v>-0.33687128205128669</v>
      </c>
      <c r="AD19" s="75">
        <f t="shared" si="21"/>
        <v>-0.1700923076923031</v>
      </c>
      <c r="AE19" s="75">
        <f t="shared" si="22"/>
        <v>-0.85470871794871517</v>
      </c>
      <c r="AF19" s="121"/>
      <c r="AG19" s="99"/>
      <c r="AH19" s="100" t="s">
        <v>124</v>
      </c>
      <c r="AI19" s="101">
        <v>31.092105128205127</v>
      </c>
      <c r="AJ19" s="101">
        <v>1.7597322477362396</v>
      </c>
      <c r="AK19" s="101">
        <v>27.617452960797678</v>
      </c>
      <c r="AL19" s="101">
        <v>34.566757295612575</v>
      </c>
      <c r="AM19" s="93"/>
      <c r="AN19" s="74" t="s">
        <v>124</v>
      </c>
      <c r="AO19" s="75">
        <f t="shared" si="8"/>
        <v>31.092105128205127</v>
      </c>
      <c r="AP19" s="75">
        <f t="shared" si="39"/>
        <v>16.863919999999997</v>
      </c>
      <c r="AQ19" s="75">
        <f t="shared" si="40"/>
        <v>23.492440000000002</v>
      </c>
      <c r="AR19" s="75">
        <f t="shared" si="41"/>
        <v>17.92106153846154</v>
      </c>
      <c r="AS19" s="75">
        <f t="shared" si="23"/>
        <v>-1.0571415384615435</v>
      </c>
      <c r="AT19" s="75">
        <f t="shared" si="29"/>
        <v>-13.171043589743586</v>
      </c>
      <c r="AU19" s="75">
        <f t="shared" si="31"/>
        <v>-5.5713784615384618</v>
      </c>
      <c r="AV19" s="121"/>
      <c r="AW19" s="99"/>
      <c r="AX19" s="100" t="s">
        <v>124</v>
      </c>
      <c r="AY19" s="101">
        <v>2.1052631578947372</v>
      </c>
      <c r="AZ19" s="101">
        <v>0.12960102896021361</v>
      </c>
      <c r="BA19" s="101">
        <v>1.8493497752073802</v>
      </c>
      <c r="BB19" s="101">
        <v>2.3611765405820941</v>
      </c>
      <c r="BC19" s="93"/>
      <c r="BD19" s="74" t="s">
        <v>124</v>
      </c>
      <c r="BE19" s="75">
        <f t="shared" si="12"/>
        <v>2.1052631578947372</v>
      </c>
      <c r="BF19" s="75">
        <f t="shared" si="42"/>
        <v>2.2222222222222223</v>
      </c>
      <c r="BG19" s="75">
        <f t="shared" si="43"/>
        <v>2.1555555555555554</v>
      </c>
      <c r="BH19" s="75">
        <f t="shared" si="44"/>
        <v>1.9230769230769238</v>
      </c>
      <c r="BI19" s="75">
        <f t="shared" si="26"/>
        <v>0.29914529914529853</v>
      </c>
      <c r="BJ19" s="75">
        <f t="shared" si="30"/>
        <v>-0.18218623481781338</v>
      </c>
      <c r="BK19" s="75">
        <f t="shared" si="32"/>
        <v>-0.23247863247863165</v>
      </c>
      <c r="BN19" s="110" t="s">
        <v>117</v>
      </c>
      <c r="BO19" s="5" t="s">
        <v>14</v>
      </c>
      <c r="BP19" s="110">
        <v>-0.15639895707163318</v>
      </c>
      <c r="BQ19" s="110">
        <v>-0.15667554409580631</v>
      </c>
      <c r="BR19" s="110">
        <v>0.1562676990071018</v>
      </c>
      <c r="BS19" s="110">
        <v>-2.7256705603483426E-2</v>
      </c>
      <c r="BT19" s="111">
        <f t="shared" si="16"/>
        <v>0.49659890577802474</v>
      </c>
    </row>
    <row r="20" spans="1:72" x14ac:dyDescent="0.2">
      <c r="A20" s="99"/>
      <c r="B20" s="100" t="s">
        <v>125</v>
      </c>
      <c r="C20" s="101">
        <v>12.31847435897436</v>
      </c>
      <c r="D20" s="101">
        <v>0.96464292133769636</v>
      </c>
      <c r="E20" s="101">
        <v>10.413753557436449</v>
      </c>
      <c r="F20" s="101">
        <v>14.223195160512271</v>
      </c>
      <c r="G20" s="93"/>
      <c r="H20" s="74" t="s">
        <v>125</v>
      </c>
      <c r="I20" s="75">
        <f t="shared" si="0"/>
        <v>12.31847435897436</v>
      </c>
      <c r="J20" s="75">
        <f t="shared" si="33"/>
        <v>13.031897777777777</v>
      </c>
      <c r="K20" s="75">
        <f t="shared" si="34"/>
        <v>13.446280000000002</v>
      </c>
      <c r="L20" s="75">
        <f t="shared" si="35"/>
        <v>13.399948717948707</v>
      </c>
      <c r="M20" s="75">
        <f t="shared" si="17"/>
        <v>-0.36805094017092976</v>
      </c>
      <c r="N20" s="75">
        <f t="shared" si="18"/>
        <v>1.0814743589743472</v>
      </c>
      <c r="O20" s="75">
        <f t="shared" si="19"/>
        <v>-4.6331282051294664E-2</v>
      </c>
      <c r="P20" s="75"/>
      <c r="Q20" s="73"/>
      <c r="R20" s="74" t="s">
        <v>125</v>
      </c>
      <c r="S20" s="75">
        <v>4.1767128205128206</v>
      </c>
      <c r="T20" s="75">
        <v>0.58682979137718583</v>
      </c>
      <c r="U20" s="75">
        <v>3.0179971072950544</v>
      </c>
      <c r="V20" s="75">
        <v>5.3354285337305871</v>
      </c>
      <c r="W20" s="66"/>
      <c r="X20" s="74" t="s">
        <v>125</v>
      </c>
      <c r="Y20" s="75">
        <f t="shared" si="4"/>
        <v>4.1767128205128206</v>
      </c>
      <c r="Z20" s="75">
        <f t="shared" si="36"/>
        <v>5.1980955555555557</v>
      </c>
      <c r="AA20" s="75">
        <f t="shared" si="37"/>
        <v>6.1726066666666668</v>
      </c>
      <c r="AB20" s="75">
        <f t="shared" si="38"/>
        <v>5.1199948717948764</v>
      </c>
      <c r="AC20" s="75">
        <f t="shared" si="20"/>
        <v>7.8100683760679246E-2</v>
      </c>
      <c r="AD20" s="75">
        <f t="shared" si="21"/>
        <v>0.94328205128205589</v>
      </c>
      <c r="AE20" s="75">
        <f t="shared" si="22"/>
        <v>-1.0526117948717904</v>
      </c>
      <c r="AF20" s="121"/>
      <c r="AG20" s="99"/>
      <c r="AH20" s="100" t="s">
        <v>125</v>
      </c>
      <c r="AI20" s="101">
        <v>38.11130769230769</v>
      </c>
      <c r="AJ20" s="101">
        <v>2.0618566588377325</v>
      </c>
      <c r="AK20" s="101">
        <v>34.040100428969623</v>
      </c>
      <c r="AL20" s="101">
        <v>42.182514955645757</v>
      </c>
      <c r="AM20" s="93"/>
      <c r="AN20" s="74" t="s">
        <v>125</v>
      </c>
      <c r="AO20" s="75">
        <f t="shared" si="8"/>
        <v>38.11130769230769</v>
      </c>
      <c r="AP20" s="75">
        <f t="shared" si="39"/>
        <v>19.951108888888886</v>
      </c>
      <c r="AQ20" s="75">
        <f t="shared" si="40"/>
        <v>27.540879999999998</v>
      </c>
      <c r="AR20" s="75">
        <f t="shared" si="41"/>
        <v>21.825743589743599</v>
      </c>
      <c r="AS20" s="75">
        <f t="shared" si="23"/>
        <v>-1.8746347008547133</v>
      </c>
      <c r="AT20" s="75">
        <f t="shared" si="29"/>
        <v>-16.285564102564091</v>
      </c>
      <c r="AU20" s="75">
        <f t="shared" si="31"/>
        <v>-5.7151364102563988</v>
      </c>
      <c r="AV20" s="121"/>
      <c r="AW20" s="99"/>
      <c r="AX20" s="100" t="s">
        <v>125</v>
      </c>
      <c r="AY20" s="101">
        <v>1.2763157894736843</v>
      </c>
      <c r="AZ20" s="101">
        <v>0.15787914912013576</v>
      </c>
      <c r="BA20" s="101">
        <v>0.96456373448391197</v>
      </c>
      <c r="BB20" s="101">
        <v>1.5880678444634566</v>
      </c>
      <c r="BC20" s="93"/>
      <c r="BD20" s="74" t="s">
        <v>125</v>
      </c>
      <c r="BE20" s="75">
        <f t="shared" si="12"/>
        <v>1.2763157894736843</v>
      </c>
      <c r="BF20" s="75">
        <f t="shared" si="42"/>
        <v>1.6111111111111112</v>
      </c>
      <c r="BG20" s="75">
        <f t="shared" si="43"/>
        <v>1.7000000000000002</v>
      </c>
      <c r="BH20" s="75">
        <f t="shared" si="44"/>
        <v>1.551282051282052</v>
      </c>
      <c r="BI20" s="75">
        <f t="shared" si="26"/>
        <v>5.982905982905895E-2</v>
      </c>
      <c r="BJ20" s="75">
        <f t="shared" si="30"/>
        <v>0.2749662618083677</v>
      </c>
      <c r="BK20" s="75">
        <f t="shared" si="32"/>
        <v>-0.14871794871794819</v>
      </c>
      <c r="BN20" s="110" t="s">
        <v>129</v>
      </c>
      <c r="BO20" s="2" t="s">
        <v>38</v>
      </c>
      <c r="BP20" s="110">
        <v>-1.4820848269073593E-2</v>
      </c>
      <c r="BQ20" s="110">
        <v>0.1524620595605643</v>
      </c>
      <c r="BR20" s="110">
        <v>-0.19024914099896847</v>
      </c>
      <c r="BS20" s="110">
        <v>0.15101032779523987</v>
      </c>
      <c r="BT20" s="111">
        <f t="shared" si="16"/>
        <v>0.50854237662384616</v>
      </c>
    </row>
    <row r="21" spans="1:72" x14ac:dyDescent="0.2">
      <c r="A21" s="99"/>
      <c r="B21" s="100" t="s">
        <v>126</v>
      </c>
      <c r="C21" s="101">
        <v>8.3357230769230757</v>
      </c>
      <c r="D21" s="101">
        <v>0.68751530997739019</v>
      </c>
      <c r="E21" s="101">
        <v>6.9782003259410166</v>
      </c>
      <c r="F21" s="101">
        <v>9.6932458279051357</v>
      </c>
      <c r="G21" s="93"/>
      <c r="H21" s="74" t="s">
        <v>126</v>
      </c>
      <c r="I21" s="75">
        <f t="shared" si="0"/>
        <v>8.3357230769230757</v>
      </c>
      <c r="J21" s="75">
        <f t="shared" si="33"/>
        <v>7.6864888888888858</v>
      </c>
      <c r="K21" s="75">
        <f t="shared" si="34"/>
        <v>9.627151111111111</v>
      </c>
      <c r="L21" s="75">
        <f t="shared" si="35"/>
        <v>8.3743769230769125</v>
      </c>
      <c r="M21" s="75">
        <f t="shared" si="17"/>
        <v>-0.6878880341880258</v>
      </c>
      <c r="N21" s="75">
        <f>L21-I21</f>
        <v>3.8653846153836824E-2</v>
      </c>
      <c r="O21" s="75">
        <f t="shared" si="19"/>
        <v>-1.2527741880341985</v>
      </c>
      <c r="P21" s="75"/>
      <c r="Q21" s="73"/>
      <c r="R21" s="74" t="s">
        <v>126</v>
      </c>
      <c r="S21" s="75">
        <v>4.8782794871794861</v>
      </c>
      <c r="T21" s="75">
        <v>0.37629503123378433</v>
      </c>
      <c r="U21" s="75">
        <v>4.1352719372848288</v>
      </c>
      <c r="V21" s="75">
        <v>5.6212870370741435</v>
      </c>
      <c r="W21" s="66"/>
      <c r="X21" s="74" t="s">
        <v>126</v>
      </c>
      <c r="Y21" s="75">
        <f t="shared" si="4"/>
        <v>4.8782794871794861</v>
      </c>
      <c r="Z21" s="75">
        <f t="shared" si="36"/>
        <v>3.2161466666666665</v>
      </c>
      <c r="AA21" s="75">
        <f t="shared" si="37"/>
        <v>4.3867044444444447</v>
      </c>
      <c r="AB21" s="75">
        <f t="shared" si="38"/>
        <v>3.2699307692307609</v>
      </c>
      <c r="AC21" s="75">
        <f t="shared" si="20"/>
        <v>-5.3784102564094383E-2</v>
      </c>
      <c r="AD21" s="75">
        <f>AB21-Y21</f>
        <v>-1.6083487179487252</v>
      </c>
      <c r="AE21" s="75">
        <f t="shared" si="22"/>
        <v>-1.1167736752136839</v>
      </c>
      <c r="AF21" s="121"/>
      <c r="AG21" s="99"/>
      <c r="AH21" s="100" t="s">
        <v>126</v>
      </c>
      <c r="AI21" s="101">
        <v>26.322876923076926</v>
      </c>
      <c r="AJ21" s="101">
        <v>1.8224539622595457</v>
      </c>
      <c r="AK21" s="101">
        <v>22.724378561686116</v>
      </c>
      <c r="AL21" s="101">
        <v>29.921375284467736</v>
      </c>
      <c r="AM21" s="93"/>
      <c r="AN21" s="74" t="s">
        <v>126</v>
      </c>
      <c r="AO21" s="75">
        <f t="shared" si="8"/>
        <v>26.322876923076926</v>
      </c>
      <c r="AP21" s="75">
        <f t="shared" si="39"/>
        <v>19.748655555555551</v>
      </c>
      <c r="AQ21" s="75">
        <f t="shared" si="40"/>
        <v>32.336422222222232</v>
      </c>
      <c r="AR21" s="75">
        <f t="shared" si="41"/>
        <v>22.116194871794868</v>
      </c>
      <c r="AS21" s="75">
        <f t="shared" si="23"/>
        <v>-2.3675393162393163</v>
      </c>
      <c r="AT21" s="75">
        <f>AR21-AO21</f>
        <v>-4.2066820512820584</v>
      </c>
      <c r="AU21" s="75">
        <f t="shared" si="31"/>
        <v>-10.220227350427365</v>
      </c>
      <c r="AV21" s="121"/>
      <c r="AW21" s="99"/>
      <c r="AX21" s="100" t="s">
        <v>126</v>
      </c>
      <c r="AY21" s="101">
        <v>2.2763157894736841</v>
      </c>
      <c r="AZ21" s="101">
        <v>0.10834708759659495</v>
      </c>
      <c r="BA21" s="101">
        <v>2.0623709626954949</v>
      </c>
      <c r="BB21" s="101">
        <v>2.4902606162518732</v>
      </c>
      <c r="BC21" s="93"/>
      <c r="BD21" s="74" t="s">
        <v>126</v>
      </c>
      <c r="BE21" s="75">
        <f t="shared" si="12"/>
        <v>2.2763157894736841</v>
      </c>
      <c r="BF21" s="75">
        <f t="shared" si="42"/>
        <v>2.2111111111111108</v>
      </c>
      <c r="BG21" s="75">
        <f t="shared" si="43"/>
        <v>2.1888888888888887</v>
      </c>
      <c r="BH21" s="75">
        <f t="shared" si="44"/>
        <v>2.1410256410256414</v>
      </c>
      <c r="BI21" s="75">
        <f t="shared" si="26"/>
        <v>7.0085470085469392E-2</v>
      </c>
      <c r="BJ21" s="75">
        <f>BH21-BE21</f>
        <v>-0.13529014844804266</v>
      </c>
      <c r="BK21" s="75">
        <f t="shared" si="32"/>
        <v>-4.7863247863247249E-2</v>
      </c>
      <c r="BN21" s="110" t="s">
        <v>115</v>
      </c>
      <c r="BO21" s="2" t="s">
        <v>10</v>
      </c>
      <c r="BP21" s="110">
        <v>0.29574802793921939</v>
      </c>
      <c r="BQ21" s="110">
        <v>7.086040267946779E-2</v>
      </c>
      <c r="BR21" s="110">
        <v>-6.8625754463486448E-3</v>
      </c>
      <c r="BS21" s="110">
        <v>0.29006407999436673</v>
      </c>
      <c r="BT21" s="111">
        <f t="shared" si="16"/>
        <v>0.66353508605940259</v>
      </c>
    </row>
    <row r="22" spans="1:72" x14ac:dyDescent="0.2">
      <c r="A22" s="99"/>
      <c r="B22" s="100" t="s">
        <v>127</v>
      </c>
      <c r="C22" s="101">
        <v>10.14572307692308</v>
      </c>
      <c r="D22" s="101">
        <v>0.82532853040456755</v>
      </c>
      <c r="E22" s="101">
        <v>8.5160833571972248</v>
      </c>
      <c r="F22" s="101">
        <v>11.775362796648935</v>
      </c>
      <c r="G22" s="93"/>
      <c r="H22" s="74" t="s">
        <v>127</v>
      </c>
      <c r="I22" s="75">
        <f t="shared" si="0"/>
        <v>10.14572307692308</v>
      </c>
      <c r="J22" s="75">
        <f t="shared" si="33"/>
        <v>9.6058955555555556</v>
      </c>
      <c r="K22" s="75">
        <f t="shared" si="34"/>
        <v>8.6175599999999992</v>
      </c>
      <c r="L22" s="75">
        <f t="shared" si="35"/>
        <v>11.187035897435909</v>
      </c>
      <c r="M22" s="75">
        <f t="shared" si="17"/>
        <v>-1.5811403418803529</v>
      </c>
      <c r="N22" s="75">
        <f t="shared" si="18"/>
        <v>1.0413128205128288</v>
      </c>
      <c r="O22" s="75">
        <f t="shared" si="19"/>
        <v>2.5694758974359093</v>
      </c>
      <c r="P22" s="75"/>
      <c r="Q22" s="73"/>
      <c r="R22" s="74" t="s">
        <v>127</v>
      </c>
      <c r="S22" s="75">
        <v>4.9667538461538463</v>
      </c>
      <c r="T22" s="75">
        <v>0.43490473101882937</v>
      </c>
      <c r="U22" s="75">
        <v>4.1080194175529625</v>
      </c>
      <c r="V22" s="75">
        <v>5.8254882747547301</v>
      </c>
      <c r="W22" s="66"/>
      <c r="X22" s="74" t="s">
        <v>127</v>
      </c>
      <c r="Y22" s="75">
        <f t="shared" si="4"/>
        <v>4.9667538461538463</v>
      </c>
      <c r="Z22" s="75">
        <f t="shared" si="36"/>
        <v>5.0876333333333337</v>
      </c>
      <c r="AA22" s="75">
        <f t="shared" si="37"/>
        <v>4.5901377777777777</v>
      </c>
      <c r="AB22" s="75">
        <f t="shared" si="38"/>
        <v>4.9592820512820444</v>
      </c>
      <c r="AC22" s="75">
        <f t="shared" si="20"/>
        <v>0.12835128205128932</v>
      </c>
      <c r="AD22" s="75">
        <f t="shared" ref="AD22:AD24" si="45">AB22-Y22</f>
        <v>-7.47179487180194E-3</v>
      </c>
      <c r="AE22" s="75">
        <f t="shared" si="22"/>
        <v>0.36914427350426671</v>
      </c>
      <c r="AF22" s="121"/>
      <c r="AG22" s="99"/>
      <c r="AH22" s="100" t="s">
        <v>127</v>
      </c>
      <c r="AI22" s="101">
        <v>31.850133333333332</v>
      </c>
      <c r="AJ22" s="101">
        <v>2.2523100493801449</v>
      </c>
      <c r="AK22" s="101">
        <v>27.40286926527989</v>
      </c>
      <c r="AL22" s="101">
        <v>36.297397401386775</v>
      </c>
      <c r="AM22" s="93"/>
      <c r="AN22" s="74" t="s">
        <v>127</v>
      </c>
      <c r="AO22" s="75">
        <f t="shared" si="8"/>
        <v>31.850133333333332</v>
      </c>
      <c r="AP22" s="75">
        <f t="shared" si="39"/>
        <v>19.284048888888897</v>
      </c>
      <c r="AQ22" s="75">
        <f t="shared" si="40"/>
        <v>34.383795555555565</v>
      </c>
      <c r="AR22" s="75">
        <f t="shared" si="41"/>
        <v>23.005689743589695</v>
      </c>
      <c r="AS22" s="75">
        <f t="shared" si="23"/>
        <v>-3.721640854700798</v>
      </c>
      <c r="AT22" s="75">
        <f t="shared" ref="AT22:AT24" si="46">AR22-AO22</f>
        <v>-8.8444435897436371</v>
      </c>
      <c r="AU22" s="75">
        <f t="shared" si="31"/>
        <v>-11.37810581196587</v>
      </c>
      <c r="AV22" s="121"/>
      <c r="AW22" s="99"/>
      <c r="AX22" s="100" t="s">
        <v>127</v>
      </c>
      <c r="AY22" s="101">
        <v>1.9078947368421053</v>
      </c>
      <c r="AZ22" s="101">
        <v>0.15224314782613244</v>
      </c>
      <c r="BA22" s="101">
        <v>1.6072716687712678</v>
      </c>
      <c r="BB22" s="101">
        <v>2.208517804912943</v>
      </c>
      <c r="BC22" s="93"/>
      <c r="BD22" s="74" t="s">
        <v>127</v>
      </c>
      <c r="BE22" s="75">
        <f t="shared" si="12"/>
        <v>1.9078947368421053</v>
      </c>
      <c r="BF22" s="75">
        <f t="shared" si="42"/>
        <v>1.9222222222222223</v>
      </c>
      <c r="BG22" s="75">
        <f t="shared" si="43"/>
        <v>1.7333333333333334</v>
      </c>
      <c r="BH22" s="75">
        <f t="shared" si="44"/>
        <v>1.8717948717948718</v>
      </c>
      <c r="BI22" s="75">
        <f t="shared" si="26"/>
        <v>5.042735042735047E-2</v>
      </c>
      <c r="BJ22" s="75">
        <f t="shared" ref="BJ22:BJ24" si="47">BH22-BE22</f>
        <v>-3.6099865047233504E-2</v>
      </c>
      <c r="BK22" s="75">
        <f t="shared" si="32"/>
        <v>0.13846153846153841</v>
      </c>
      <c r="BN22" s="110" t="s">
        <v>112</v>
      </c>
      <c r="BO22" s="6" t="s">
        <v>4</v>
      </c>
      <c r="BP22" s="110">
        <v>-1.0174755957484259E-2</v>
      </c>
      <c r="BQ22" s="110">
        <v>0.3200883234389888</v>
      </c>
      <c r="BR22" s="110">
        <v>-0.1592058950137239</v>
      </c>
      <c r="BS22" s="110">
        <v>0.27664478390106628</v>
      </c>
      <c r="BT22" s="111">
        <f t="shared" si="16"/>
        <v>0.76611375831126316</v>
      </c>
    </row>
    <row r="23" spans="1:72" x14ac:dyDescent="0.2">
      <c r="A23" s="99"/>
      <c r="B23" s="100" t="s">
        <v>128</v>
      </c>
      <c r="C23" s="101">
        <v>9.3410538461538497</v>
      </c>
      <c r="D23" s="101">
        <v>0.66212331118278844</v>
      </c>
      <c r="E23" s="101">
        <v>8.0336684747418747</v>
      </c>
      <c r="F23" s="101">
        <v>10.648439217565825</v>
      </c>
      <c r="G23" s="93"/>
      <c r="H23" s="74" t="s">
        <v>128</v>
      </c>
      <c r="I23" s="75">
        <f t="shared" si="0"/>
        <v>9.3410538461538497</v>
      </c>
      <c r="J23" s="75">
        <f t="shared" si="33"/>
        <v>8.2869155555555523</v>
      </c>
      <c r="K23" s="75">
        <f t="shared" si="34"/>
        <v>7.8675533333333316</v>
      </c>
      <c r="L23" s="75">
        <f t="shared" si="35"/>
        <v>9.8190358974359171</v>
      </c>
      <c r="M23" s="75">
        <f t="shared" si="17"/>
        <v>-1.5321203418803648</v>
      </c>
      <c r="N23" s="75">
        <f t="shared" si="18"/>
        <v>0.47798205128206739</v>
      </c>
      <c r="O23" s="75">
        <f t="shared" si="19"/>
        <v>1.9514825641025855</v>
      </c>
      <c r="P23" s="75"/>
      <c r="Q23" s="73"/>
      <c r="R23" s="74" t="s">
        <v>128</v>
      </c>
      <c r="S23" s="75">
        <v>4.0774435897435897</v>
      </c>
      <c r="T23" s="75">
        <v>0.41748046454935595</v>
      </c>
      <c r="U23" s="75">
        <v>3.2531139777456435</v>
      </c>
      <c r="V23" s="75">
        <v>4.9017732017415359</v>
      </c>
      <c r="W23" s="66"/>
      <c r="X23" s="74" t="s">
        <v>128</v>
      </c>
      <c r="Y23" s="75">
        <f t="shared" si="4"/>
        <v>4.0774435897435897</v>
      </c>
      <c r="Z23" s="75">
        <f t="shared" si="36"/>
        <v>3.3283577777777777</v>
      </c>
      <c r="AA23" s="75">
        <f t="shared" si="37"/>
        <v>5.3199311111111118</v>
      </c>
      <c r="AB23" s="75">
        <f t="shared" si="38"/>
        <v>3.5510948717948683</v>
      </c>
      <c r="AC23" s="75">
        <f t="shared" si="20"/>
        <v>-0.22273709401709052</v>
      </c>
      <c r="AD23" s="75">
        <f t="shared" si="45"/>
        <v>-0.5263487179487214</v>
      </c>
      <c r="AE23" s="75">
        <f t="shared" si="22"/>
        <v>-1.7688362393162436</v>
      </c>
      <c r="AF23" s="121"/>
      <c r="AG23" s="99"/>
      <c r="AH23" s="100" t="s">
        <v>128</v>
      </c>
      <c r="AI23" s="101">
        <v>33.409151282051283</v>
      </c>
      <c r="AJ23" s="101">
        <v>2.4672880895491582</v>
      </c>
      <c r="AK23" s="101">
        <v>28.537405640633942</v>
      </c>
      <c r="AL23" s="101">
        <v>38.280896923468624</v>
      </c>
      <c r="AM23" s="93"/>
      <c r="AN23" s="74" t="s">
        <v>128</v>
      </c>
      <c r="AO23" s="75">
        <f t="shared" si="8"/>
        <v>33.409151282051283</v>
      </c>
      <c r="AP23" s="75">
        <f t="shared" si="39"/>
        <v>19.008557777777781</v>
      </c>
      <c r="AQ23" s="75">
        <f t="shared" si="40"/>
        <v>31.19785111111112</v>
      </c>
      <c r="AR23" s="75">
        <f t="shared" si="41"/>
        <v>20.918861538461488</v>
      </c>
      <c r="AS23" s="75">
        <f t="shared" si="23"/>
        <v>-1.910303760683707</v>
      </c>
      <c r="AT23" s="75">
        <f t="shared" si="46"/>
        <v>-12.490289743589795</v>
      </c>
      <c r="AU23" s="75">
        <f t="shared" si="31"/>
        <v>-10.278989572649632</v>
      </c>
      <c r="AV23" s="121"/>
      <c r="AW23" s="99"/>
      <c r="AX23" s="100" t="s">
        <v>128</v>
      </c>
      <c r="AY23" s="101">
        <v>2.0394736842105265</v>
      </c>
      <c r="AZ23" s="101">
        <v>0.14416465188909841</v>
      </c>
      <c r="BA23" s="101">
        <v>1.7548026131173298</v>
      </c>
      <c r="BB23" s="101">
        <v>2.3241447553037236</v>
      </c>
      <c r="BC23" s="93"/>
      <c r="BD23" s="74" t="s">
        <v>128</v>
      </c>
      <c r="BE23" s="75">
        <f t="shared" si="12"/>
        <v>2.0394736842105265</v>
      </c>
      <c r="BF23" s="75">
        <f t="shared" si="42"/>
        <v>1.8888888888888891</v>
      </c>
      <c r="BG23" s="75">
        <f t="shared" si="43"/>
        <v>1.8000000000000003</v>
      </c>
      <c r="BH23" s="75">
        <f t="shared" si="44"/>
        <v>2.051282051282052</v>
      </c>
      <c r="BI23" s="75">
        <f t="shared" si="26"/>
        <v>-0.16239316239316293</v>
      </c>
      <c r="BJ23" s="75">
        <f t="shared" si="47"/>
        <v>1.1808367071525439E-2</v>
      </c>
      <c r="BK23" s="75">
        <f t="shared" si="32"/>
        <v>0.25128205128205172</v>
      </c>
      <c r="BN23" s="110" t="s">
        <v>120</v>
      </c>
      <c r="BO23" s="7" t="s">
        <v>20</v>
      </c>
      <c r="BP23" s="110">
        <v>-0.27477461755376309</v>
      </c>
      <c r="BQ23" s="110">
        <v>-5.0744838383303445E-2</v>
      </c>
      <c r="BR23" s="110">
        <v>-0.2236978990673823</v>
      </c>
      <c r="BS23" s="110">
        <v>0.22516452788904828</v>
      </c>
      <c r="BT23" s="111">
        <f t="shared" si="16"/>
        <v>0.77438188289349708</v>
      </c>
    </row>
    <row r="24" spans="1:72" ht="15" thickBot="1" x14ac:dyDescent="0.25">
      <c r="A24" s="102"/>
      <c r="B24" s="103" t="s">
        <v>129</v>
      </c>
      <c r="C24" s="104">
        <v>8.7899923076923105</v>
      </c>
      <c r="D24" s="104">
        <v>0.89358458916221695</v>
      </c>
      <c r="E24" s="104">
        <v>7.0255786399376845</v>
      </c>
      <c r="F24" s="104">
        <v>10.554405975446937</v>
      </c>
      <c r="G24" s="93"/>
      <c r="H24" s="77" t="s">
        <v>129</v>
      </c>
      <c r="I24" s="78">
        <f t="shared" si="0"/>
        <v>8.7899923076923105</v>
      </c>
      <c r="J24" s="78">
        <f t="shared" si="33"/>
        <v>9.2145955555555581</v>
      </c>
      <c r="K24" s="78">
        <f t="shared" si="34"/>
        <v>11.125737777777779</v>
      </c>
      <c r="L24" s="81">
        <f t="shared" si="35"/>
        <v>9.3571999999999882</v>
      </c>
      <c r="M24" s="75">
        <f t="shared" si="17"/>
        <v>-0.1426044444444301</v>
      </c>
      <c r="N24" s="75">
        <f t="shared" si="18"/>
        <v>0.56720769230767765</v>
      </c>
      <c r="O24" s="75">
        <f t="shared" si="19"/>
        <v>-1.7685377777777909</v>
      </c>
      <c r="P24" s="75"/>
      <c r="Q24" s="76"/>
      <c r="R24" s="77" t="s">
        <v>129</v>
      </c>
      <c r="S24" s="78">
        <v>4.6414538461538459</v>
      </c>
      <c r="T24" s="78">
        <v>0.42639563435271044</v>
      </c>
      <c r="U24" s="78">
        <v>3.7995209231295313</v>
      </c>
      <c r="V24" s="78">
        <v>5.4833867691781606</v>
      </c>
      <c r="W24" s="66"/>
      <c r="X24" s="77" t="s">
        <v>129</v>
      </c>
      <c r="Y24" s="78">
        <f t="shared" si="4"/>
        <v>4.6414538461538459</v>
      </c>
      <c r="Z24" s="78">
        <f t="shared" si="36"/>
        <v>4.2312311111111098</v>
      </c>
      <c r="AA24" s="78">
        <f t="shared" si="37"/>
        <v>4.5042599999999995</v>
      </c>
      <c r="AB24" s="81">
        <f t="shared" si="38"/>
        <v>3.584728205128207</v>
      </c>
      <c r="AC24" s="75">
        <f t="shared" si="20"/>
        <v>0.64650290598290283</v>
      </c>
      <c r="AD24" s="75">
        <f t="shared" si="45"/>
        <v>-1.0567256410256389</v>
      </c>
      <c r="AE24" s="75">
        <f t="shared" si="22"/>
        <v>-0.91953179487179248</v>
      </c>
      <c r="AF24" s="121"/>
      <c r="AG24" s="102"/>
      <c r="AH24" s="103" t="s">
        <v>129</v>
      </c>
      <c r="AI24" s="104">
        <v>27.526674358974368</v>
      </c>
      <c r="AJ24" s="104">
        <v>1.821216231641223</v>
      </c>
      <c r="AK24" s="104">
        <v>23.930619939485034</v>
      </c>
      <c r="AL24" s="104">
        <v>31.122728778463703</v>
      </c>
      <c r="AM24" s="93"/>
      <c r="AN24" s="77" t="s">
        <v>129</v>
      </c>
      <c r="AO24" s="78">
        <f t="shared" si="8"/>
        <v>27.526674358974368</v>
      </c>
      <c r="AP24" s="78">
        <f t="shared" si="39"/>
        <v>15.240606666666665</v>
      </c>
      <c r="AQ24" s="78">
        <f t="shared" si="40"/>
        <v>26.976391111111106</v>
      </c>
      <c r="AR24" s="81">
        <f t="shared" si="41"/>
        <v>19.484502564102538</v>
      </c>
      <c r="AS24" s="75">
        <f t="shared" si="23"/>
        <v>-4.2438958974358734</v>
      </c>
      <c r="AT24" s="75">
        <f t="shared" si="46"/>
        <v>-8.0421717948718303</v>
      </c>
      <c r="AU24" s="75">
        <f t="shared" si="31"/>
        <v>-7.4918885470085677</v>
      </c>
      <c r="AV24" s="121"/>
      <c r="AW24" s="102"/>
      <c r="AX24" s="103" t="s">
        <v>129</v>
      </c>
      <c r="AY24" s="104">
        <v>1.8947368421052635</v>
      </c>
      <c r="AZ24" s="104">
        <v>0.13225794794381082</v>
      </c>
      <c r="BA24" s="104">
        <v>1.6335770417769837</v>
      </c>
      <c r="BB24" s="104">
        <v>2.1558966424335431</v>
      </c>
      <c r="BC24" s="93"/>
      <c r="BD24" s="77" t="s">
        <v>129</v>
      </c>
      <c r="BE24" s="78">
        <f t="shared" si="12"/>
        <v>1.8947368421052635</v>
      </c>
      <c r="BF24" s="78">
        <f t="shared" si="42"/>
        <v>2.2000000000000006</v>
      </c>
      <c r="BG24" s="78">
        <f t="shared" si="43"/>
        <v>2.0222222222222226</v>
      </c>
      <c r="BH24" s="81">
        <f t="shared" si="44"/>
        <v>1.8974358974358982</v>
      </c>
      <c r="BI24" s="75">
        <f t="shared" si="26"/>
        <v>0.30256410256410193</v>
      </c>
      <c r="BJ24" s="75">
        <f t="shared" si="47"/>
        <v>2.6990553306347476E-3</v>
      </c>
      <c r="BK24" s="75">
        <f t="shared" si="32"/>
        <v>-0.12478632478632434</v>
      </c>
      <c r="BN24" s="110" t="s">
        <v>119</v>
      </c>
      <c r="BO24" s="4" t="s">
        <v>18</v>
      </c>
      <c r="BP24" s="110">
        <v>-0.24244313067910753</v>
      </c>
      <c r="BQ24" s="110">
        <v>-0.41259147417854608</v>
      </c>
      <c r="BR24" s="110">
        <v>6.3222983626843839E-3</v>
      </c>
      <c r="BS24" s="110">
        <v>0.18493886952926547</v>
      </c>
      <c r="BT24" s="111">
        <f t="shared" si="16"/>
        <v>0.84629577274960344</v>
      </c>
    </row>
    <row r="25" spans="1:72" ht="24.75" thickTop="1" x14ac:dyDescent="0.2">
      <c r="A25" s="102" t="s">
        <v>108</v>
      </c>
      <c r="B25" s="100" t="s">
        <v>106</v>
      </c>
      <c r="C25" s="101">
        <v>15.061828888888892</v>
      </c>
      <c r="D25" s="101">
        <v>0.87856776216503274</v>
      </c>
      <c r="E25" s="101">
        <v>13.327066465259882</v>
      </c>
      <c r="F25" s="101">
        <v>16.796591312517901</v>
      </c>
      <c r="G25" s="93"/>
      <c r="Q25" s="76" t="s">
        <v>108</v>
      </c>
      <c r="R25" s="74" t="s">
        <v>106</v>
      </c>
      <c r="S25" s="75">
        <v>5.2594155555555551</v>
      </c>
      <c r="T25" s="75">
        <v>0.44764928990320035</v>
      </c>
      <c r="U25" s="75">
        <v>4.3755165547834229</v>
      </c>
      <c r="V25" s="75">
        <v>6.1433145563276872</v>
      </c>
      <c r="W25" s="66"/>
      <c r="AG25" s="102" t="s">
        <v>108</v>
      </c>
      <c r="AH25" s="100" t="s">
        <v>106</v>
      </c>
      <c r="AI25" s="101">
        <v>18.914848888888891</v>
      </c>
      <c r="AJ25" s="101">
        <v>2.0456350717057652</v>
      </c>
      <c r="AK25" s="101">
        <v>14.875671710218182</v>
      </c>
      <c r="AL25" s="101">
        <v>22.9540260675596</v>
      </c>
      <c r="AM25" s="93"/>
      <c r="AW25" s="102" t="s">
        <v>108</v>
      </c>
      <c r="AX25" s="100" t="s">
        <v>106</v>
      </c>
      <c r="AY25" s="101">
        <v>0.55555555555555547</v>
      </c>
      <c r="AZ25" s="101">
        <v>0.18703585912147638</v>
      </c>
      <c r="BA25" s="101">
        <v>0.18622994313077229</v>
      </c>
      <c r="BB25" s="101">
        <v>0.92488116798033859</v>
      </c>
      <c r="BC25" s="93"/>
    </row>
    <row r="26" spans="1:72" x14ac:dyDescent="0.2">
      <c r="A26" s="99"/>
      <c r="B26" s="100" t="s">
        <v>111</v>
      </c>
      <c r="C26" s="101">
        <v>10.508488888888893</v>
      </c>
      <c r="D26" s="101">
        <v>0.69228950953585344</v>
      </c>
      <c r="E26" s="101">
        <v>9.1415393158066021</v>
      </c>
      <c r="F26" s="101">
        <v>11.875438461971184</v>
      </c>
      <c r="G26" s="93"/>
      <c r="Q26" s="73"/>
      <c r="R26" s="74" t="s">
        <v>111</v>
      </c>
      <c r="S26" s="75">
        <v>5.3306666666666676</v>
      </c>
      <c r="T26" s="75">
        <v>0.44651586358195938</v>
      </c>
      <c r="U26" s="75">
        <v>4.4490056553550135</v>
      </c>
      <c r="V26" s="75">
        <v>6.2123276779783216</v>
      </c>
      <c r="W26" s="66"/>
      <c r="AG26" s="99"/>
      <c r="AH26" s="100" t="s">
        <v>111</v>
      </c>
      <c r="AI26" s="101">
        <v>25.805502222222223</v>
      </c>
      <c r="AJ26" s="101">
        <v>2.1114000416700112</v>
      </c>
      <c r="AK26" s="101">
        <v>21.636469836476852</v>
      </c>
      <c r="AL26" s="101">
        <v>29.974534607967595</v>
      </c>
      <c r="AM26" s="93"/>
      <c r="AW26" s="99"/>
      <c r="AX26" s="100" t="s">
        <v>111</v>
      </c>
      <c r="AY26" s="101">
        <v>1.4444444444444444</v>
      </c>
      <c r="AZ26" s="101">
        <v>0.14304117371660641</v>
      </c>
      <c r="BA26" s="101">
        <v>1.1619918210117681</v>
      </c>
      <c r="BB26" s="101">
        <v>1.7268970678771207</v>
      </c>
      <c r="BC26" s="93"/>
    </row>
    <row r="27" spans="1:72" x14ac:dyDescent="0.2">
      <c r="A27" s="99"/>
      <c r="B27" s="100" t="s">
        <v>112</v>
      </c>
      <c r="C27" s="101">
        <v>10.170857777777774</v>
      </c>
      <c r="D27" s="101">
        <v>0.89108781067885223</v>
      </c>
      <c r="E27" s="101">
        <v>8.4113740854668091</v>
      </c>
      <c r="F27" s="101">
        <v>11.93034147008874</v>
      </c>
      <c r="G27" s="93"/>
      <c r="Q27" s="73"/>
      <c r="R27" s="74" t="s">
        <v>112</v>
      </c>
      <c r="S27" s="75">
        <v>4.8635355555555559</v>
      </c>
      <c r="T27" s="75">
        <v>0.3674720112425563</v>
      </c>
      <c r="U27" s="75">
        <v>4.1379493636970643</v>
      </c>
      <c r="V27" s="75">
        <v>5.5891217474140475</v>
      </c>
      <c r="W27" s="66"/>
      <c r="AG27" s="99"/>
      <c r="AH27" s="100" t="s">
        <v>112</v>
      </c>
      <c r="AI27" s="101">
        <v>20.595175555555549</v>
      </c>
      <c r="AJ27" s="101">
        <v>2.5400451124869363</v>
      </c>
      <c r="AK27" s="101">
        <v>15.579768656711074</v>
      </c>
      <c r="AL27" s="101">
        <v>25.610582454400024</v>
      </c>
      <c r="AM27" s="93"/>
      <c r="AW27" s="99"/>
      <c r="AX27" s="100" t="s">
        <v>112</v>
      </c>
      <c r="AY27" s="101">
        <v>1.6222222222222225</v>
      </c>
      <c r="AZ27" s="101">
        <v>0.14417787001464757</v>
      </c>
      <c r="BA27" s="101">
        <v>1.3375250502928733</v>
      </c>
      <c r="BB27" s="101">
        <v>1.9069193941515716</v>
      </c>
      <c r="BC27" s="93"/>
    </row>
    <row r="28" spans="1:72" x14ac:dyDescent="0.2">
      <c r="A28" s="99"/>
      <c r="B28" s="100" t="s">
        <v>113</v>
      </c>
      <c r="C28" s="101">
        <v>8.5884977777777749</v>
      </c>
      <c r="D28" s="101">
        <v>0.69793064006839611</v>
      </c>
      <c r="E28" s="101">
        <v>7.2104095974120508</v>
      </c>
      <c r="F28" s="101">
        <v>9.966585958143499</v>
      </c>
      <c r="G28" s="93"/>
      <c r="Q28" s="73"/>
      <c r="R28" s="74" t="s">
        <v>113</v>
      </c>
      <c r="S28" s="75">
        <v>3.5831977777777775</v>
      </c>
      <c r="T28" s="75">
        <v>0.37905220892341207</v>
      </c>
      <c r="U28" s="75">
        <v>2.8347460852031654</v>
      </c>
      <c r="V28" s="75">
        <v>4.3316494703523896</v>
      </c>
      <c r="W28" s="66"/>
      <c r="AG28" s="99"/>
      <c r="AH28" s="100" t="s">
        <v>113</v>
      </c>
      <c r="AI28" s="101">
        <v>20.533251111111113</v>
      </c>
      <c r="AJ28" s="101">
        <v>1.6681912546890316</v>
      </c>
      <c r="AK28" s="101">
        <v>17.239349799583749</v>
      </c>
      <c r="AL28" s="101">
        <v>23.827152422638477</v>
      </c>
      <c r="AM28" s="93"/>
      <c r="AW28" s="99"/>
      <c r="AX28" s="100" t="s">
        <v>113</v>
      </c>
      <c r="AY28" s="101">
        <v>2</v>
      </c>
      <c r="AZ28" s="101">
        <v>0.12008209373897706</v>
      </c>
      <c r="BA28" s="101">
        <v>1.7628829411658766</v>
      </c>
      <c r="BB28" s="101">
        <v>2.2371170588341234</v>
      </c>
      <c r="BC28" s="93"/>
    </row>
    <row r="29" spans="1:72" x14ac:dyDescent="0.2">
      <c r="A29" s="99"/>
      <c r="B29" s="100" t="s">
        <v>114</v>
      </c>
      <c r="C29" s="101">
        <v>7.04369333333333</v>
      </c>
      <c r="D29" s="101">
        <v>0.57724071974468705</v>
      </c>
      <c r="E29" s="101">
        <v>5.9039115736043115</v>
      </c>
      <c r="F29" s="101">
        <v>8.1834750930623485</v>
      </c>
      <c r="G29" s="93"/>
      <c r="Q29" s="73"/>
      <c r="R29" s="74" t="s">
        <v>114</v>
      </c>
      <c r="S29" s="75">
        <v>3.3603911111111104</v>
      </c>
      <c r="T29" s="75">
        <v>0.3206958458343131</v>
      </c>
      <c r="U29" s="75">
        <v>2.7271660751772457</v>
      </c>
      <c r="V29" s="75">
        <v>3.9936161470449751</v>
      </c>
      <c r="W29" s="66"/>
      <c r="AG29" s="99"/>
      <c r="AH29" s="100" t="s">
        <v>114</v>
      </c>
      <c r="AI29" s="101">
        <v>22.257357777777774</v>
      </c>
      <c r="AJ29" s="101">
        <v>2.0533402252623918</v>
      </c>
      <c r="AK29" s="101">
        <v>18.20296650699721</v>
      </c>
      <c r="AL29" s="101">
        <v>26.311749048558337</v>
      </c>
      <c r="AM29" s="93"/>
      <c r="AW29" s="99"/>
      <c r="AX29" s="100" t="s">
        <v>114</v>
      </c>
      <c r="AY29" s="101">
        <v>2.1333333333333329</v>
      </c>
      <c r="AZ29" s="101">
        <v>0.11401459352195195</v>
      </c>
      <c r="BA29" s="101">
        <v>1.9081973098154634</v>
      </c>
      <c r="BB29" s="101">
        <v>2.3584693568512023</v>
      </c>
      <c r="BC29" s="93"/>
    </row>
    <row r="30" spans="1:72" x14ac:dyDescent="0.2">
      <c r="A30" s="99"/>
      <c r="B30" s="100" t="s">
        <v>115</v>
      </c>
      <c r="C30" s="101">
        <v>23.556942222222233</v>
      </c>
      <c r="D30" s="101">
        <v>1.7262680545538116</v>
      </c>
      <c r="E30" s="101">
        <v>20.148366261306677</v>
      </c>
      <c r="F30" s="101">
        <v>26.965518183137789</v>
      </c>
      <c r="G30" s="93"/>
      <c r="Q30" s="73"/>
      <c r="R30" s="74" t="s">
        <v>115</v>
      </c>
      <c r="S30" s="75">
        <v>5.9617533333333341</v>
      </c>
      <c r="T30" s="75">
        <v>0.52820528909776854</v>
      </c>
      <c r="U30" s="75">
        <v>4.9187937268587412</v>
      </c>
      <c r="V30" s="75">
        <v>7.0047129398079271</v>
      </c>
      <c r="W30" s="66"/>
      <c r="AG30" s="99"/>
      <c r="AH30" s="100" t="s">
        <v>115</v>
      </c>
      <c r="AI30" s="101">
        <v>23.658308888888889</v>
      </c>
      <c r="AJ30" s="101">
        <v>3.0585524852141268</v>
      </c>
      <c r="AK30" s="101">
        <v>17.619091254757308</v>
      </c>
      <c r="AL30" s="101">
        <v>29.697526523020471</v>
      </c>
      <c r="AM30" s="93"/>
      <c r="AW30" s="99"/>
      <c r="AX30" s="100" t="s">
        <v>115</v>
      </c>
      <c r="AY30" s="101">
        <v>0.9111111111111112</v>
      </c>
      <c r="AZ30" s="101">
        <v>0.19023769985441508</v>
      </c>
      <c r="BA30" s="101">
        <v>0.53546306514265563</v>
      </c>
      <c r="BB30" s="101">
        <v>1.2867591570795667</v>
      </c>
      <c r="BC30" s="93"/>
    </row>
    <row r="31" spans="1:72" x14ac:dyDescent="0.2">
      <c r="A31" s="99"/>
      <c r="B31" s="100" t="s">
        <v>116</v>
      </c>
      <c r="C31" s="101">
        <v>7.5701777777777766</v>
      </c>
      <c r="D31" s="101">
        <v>0.67223721936046066</v>
      </c>
      <c r="E31" s="101">
        <v>6.2428221449719352</v>
      </c>
      <c r="F31" s="101">
        <v>8.8975334105836179</v>
      </c>
      <c r="G31" s="93"/>
      <c r="Q31" s="73"/>
      <c r="R31" s="74" t="s">
        <v>116</v>
      </c>
      <c r="S31" s="75">
        <v>3.2272666666666665</v>
      </c>
      <c r="T31" s="75">
        <v>0.37024056454281651</v>
      </c>
      <c r="U31" s="75">
        <v>2.496213870591705</v>
      </c>
      <c r="V31" s="75">
        <v>3.958319462741628</v>
      </c>
      <c r="W31" s="66"/>
      <c r="AG31" s="99"/>
      <c r="AH31" s="100" t="s">
        <v>116</v>
      </c>
      <c r="AI31" s="101">
        <v>24.876102222222229</v>
      </c>
      <c r="AJ31" s="101">
        <v>2.3282594791636879</v>
      </c>
      <c r="AK31" s="101">
        <v>20.278873379044484</v>
      </c>
      <c r="AL31" s="101">
        <v>29.473331065399975</v>
      </c>
      <c r="AM31" s="93"/>
      <c r="AW31" s="99"/>
      <c r="AX31" s="100" t="s">
        <v>116</v>
      </c>
      <c r="AY31" s="101">
        <v>2.1444444444444444</v>
      </c>
      <c r="AZ31" s="101">
        <v>0.12444216095999824</v>
      </c>
      <c r="BA31" s="101">
        <v>1.8987178895266261</v>
      </c>
      <c r="BB31" s="101">
        <v>2.3901709993622626</v>
      </c>
      <c r="BC31" s="93"/>
    </row>
    <row r="32" spans="1:72" x14ac:dyDescent="0.2">
      <c r="A32" s="99"/>
      <c r="B32" s="100" t="s">
        <v>117</v>
      </c>
      <c r="C32" s="101">
        <v>7.2371155555555546</v>
      </c>
      <c r="D32" s="101">
        <v>0.69331265718962309</v>
      </c>
      <c r="E32" s="101">
        <v>5.8681457420546881</v>
      </c>
      <c r="F32" s="101">
        <v>8.6060853690564212</v>
      </c>
      <c r="G32" s="93"/>
      <c r="Q32" s="73"/>
      <c r="R32" s="74" t="s">
        <v>117</v>
      </c>
      <c r="S32" s="75">
        <v>3.7060377777777775</v>
      </c>
      <c r="T32" s="75">
        <v>0.42194098336733721</v>
      </c>
      <c r="U32" s="75">
        <v>2.8729007171474623</v>
      </c>
      <c r="V32" s="75">
        <v>4.5391748384080923</v>
      </c>
      <c r="W32" s="66"/>
      <c r="AG32" s="99"/>
      <c r="AH32" s="100" t="s">
        <v>117</v>
      </c>
      <c r="AI32" s="101">
        <v>21.536324444444439</v>
      </c>
      <c r="AJ32" s="101">
        <v>1.6146314177551728</v>
      </c>
      <c r="AK32" s="101">
        <v>18.348178882820292</v>
      </c>
      <c r="AL32" s="101">
        <v>24.724470006068586</v>
      </c>
      <c r="AM32" s="93"/>
      <c r="AW32" s="99"/>
      <c r="AX32" s="100" t="s">
        <v>117</v>
      </c>
      <c r="AY32" s="101">
        <v>2.0222222222222221</v>
      </c>
      <c r="AZ32" s="101">
        <v>0.1110047331385461</v>
      </c>
      <c r="BA32" s="101">
        <v>1.8030295431230958</v>
      </c>
      <c r="BB32" s="101">
        <v>2.2414149013213485</v>
      </c>
      <c r="BC32" s="93"/>
    </row>
    <row r="33" spans="1:64" x14ac:dyDescent="0.2">
      <c r="A33" s="99"/>
      <c r="B33" s="100" t="s">
        <v>118</v>
      </c>
      <c r="C33" s="101">
        <v>7.8370755555555558</v>
      </c>
      <c r="D33" s="101">
        <v>0.96819852143253071</v>
      </c>
      <c r="E33" s="101">
        <v>5.9253340986924705</v>
      </c>
      <c r="F33" s="101">
        <v>9.7488170124186411</v>
      </c>
      <c r="G33" s="93"/>
      <c r="Q33" s="73"/>
      <c r="R33" s="74" t="s">
        <v>118</v>
      </c>
      <c r="S33" s="75">
        <v>3.1752133333333332</v>
      </c>
      <c r="T33" s="75">
        <v>0.33897668847144258</v>
      </c>
      <c r="U33" s="75">
        <v>2.5058921415366378</v>
      </c>
      <c r="V33" s="75">
        <v>3.8445345251300287</v>
      </c>
      <c r="W33" s="66"/>
      <c r="AG33" s="99"/>
      <c r="AH33" s="100" t="s">
        <v>118</v>
      </c>
      <c r="AI33" s="101">
        <v>22.449731111111117</v>
      </c>
      <c r="AJ33" s="101">
        <v>1.896720886062087</v>
      </c>
      <c r="AK33" s="101">
        <v>18.70459014082958</v>
      </c>
      <c r="AL33" s="101">
        <v>26.194872081392653</v>
      </c>
      <c r="AM33" s="93"/>
      <c r="AW33" s="99"/>
      <c r="AX33" s="100" t="s">
        <v>118</v>
      </c>
      <c r="AY33" s="101">
        <v>1.4000000000000004</v>
      </c>
      <c r="AZ33" s="101">
        <v>0.15428555371680958</v>
      </c>
      <c r="BA33" s="101">
        <v>1.0953439469714259</v>
      </c>
      <c r="BB33" s="101">
        <v>1.7046560530285748</v>
      </c>
      <c r="BC33" s="93"/>
    </row>
    <row r="34" spans="1:64" x14ac:dyDescent="0.2">
      <c r="A34" s="99"/>
      <c r="B34" s="100" t="s">
        <v>119</v>
      </c>
      <c r="C34" s="101">
        <v>9.2064688888888835</v>
      </c>
      <c r="D34" s="101">
        <v>0.69885662793914782</v>
      </c>
      <c r="E34" s="101">
        <v>7.8265523134555348</v>
      </c>
      <c r="F34" s="101">
        <v>10.586385464322232</v>
      </c>
      <c r="G34" s="93"/>
      <c r="Q34" s="73"/>
      <c r="R34" s="74" t="s">
        <v>119</v>
      </c>
      <c r="S34" s="75">
        <v>3.2490422222222222</v>
      </c>
      <c r="T34" s="75">
        <v>0.45585416529225198</v>
      </c>
      <c r="U34" s="75">
        <v>2.3489424113038018</v>
      </c>
      <c r="V34" s="75">
        <v>4.1491420331406426</v>
      </c>
      <c r="W34" s="66"/>
      <c r="AG34" s="99"/>
      <c r="AH34" s="100" t="s">
        <v>119</v>
      </c>
      <c r="AI34" s="101">
        <v>20.648720000000008</v>
      </c>
      <c r="AJ34" s="101">
        <v>2.1979327316259774</v>
      </c>
      <c r="AK34" s="101">
        <v>16.308825825994582</v>
      </c>
      <c r="AL34" s="101">
        <v>24.988614174005434</v>
      </c>
      <c r="AM34" s="93"/>
      <c r="AW34" s="99"/>
      <c r="AX34" s="100" t="s">
        <v>119</v>
      </c>
      <c r="AY34" s="101">
        <v>1.5333333333333334</v>
      </c>
      <c r="AZ34" s="101">
        <v>0.13971036410953458</v>
      </c>
      <c r="BA34" s="101">
        <v>1.2574578085585311</v>
      </c>
      <c r="BB34" s="101">
        <v>1.8092088581081358</v>
      </c>
      <c r="BC34" s="93"/>
    </row>
    <row r="35" spans="1:64" x14ac:dyDescent="0.2">
      <c r="A35" s="99"/>
      <c r="B35" s="100" t="s">
        <v>120</v>
      </c>
      <c r="C35" s="101">
        <v>9.406302222222223</v>
      </c>
      <c r="D35" s="101">
        <v>0.90979312926894562</v>
      </c>
      <c r="E35" s="101">
        <v>7.6098842316026802</v>
      </c>
      <c r="F35" s="101">
        <v>11.202720212841765</v>
      </c>
      <c r="G35" s="93"/>
      <c r="Q35" s="73"/>
      <c r="R35" s="74" t="s">
        <v>120</v>
      </c>
      <c r="S35" s="75">
        <v>3.4908488888888893</v>
      </c>
      <c r="T35" s="75">
        <v>0.35597716405855934</v>
      </c>
      <c r="U35" s="75">
        <v>2.7879596702394029</v>
      </c>
      <c r="V35" s="75">
        <v>4.1937381075383762</v>
      </c>
      <c r="W35" s="66"/>
      <c r="AG35" s="99"/>
      <c r="AH35" s="100" t="s">
        <v>120</v>
      </c>
      <c r="AI35" s="101">
        <v>19.81825111111111</v>
      </c>
      <c r="AJ35" s="101">
        <v>2.1134841149282964</v>
      </c>
      <c r="AK35" s="101">
        <v>15.645103650658633</v>
      </c>
      <c r="AL35" s="101">
        <v>23.991398571563586</v>
      </c>
      <c r="AM35" s="93"/>
      <c r="AW35" s="99"/>
      <c r="AX35" s="100" t="s">
        <v>120</v>
      </c>
      <c r="AY35" s="101">
        <v>1.9111111111111112</v>
      </c>
      <c r="AZ35" s="101">
        <v>0.15786506013436785</v>
      </c>
      <c r="BA35" s="101">
        <v>1.5993868765795207</v>
      </c>
      <c r="BB35" s="101">
        <v>2.2228353456427019</v>
      </c>
      <c r="BC35" s="93"/>
    </row>
    <row r="36" spans="1:64" x14ac:dyDescent="0.2">
      <c r="A36" s="99"/>
      <c r="B36" s="100" t="s">
        <v>121</v>
      </c>
      <c r="C36" s="101">
        <v>8.7428511111111131</v>
      </c>
      <c r="D36" s="101">
        <v>0.724620714383852</v>
      </c>
      <c r="E36" s="101">
        <v>7.3120624561773031</v>
      </c>
      <c r="F36" s="101">
        <v>10.173639766044923</v>
      </c>
      <c r="G36" s="93"/>
      <c r="Q36" s="73"/>
      <c r="R36" s="74" t="s">
        <v>121</v>
      </c>
      <c r="S36" s="75">
        <v>3.841682222222222</v>
      </c>
      <c r="T36" s="75">
        <v>0.42798706777320789</v>
      </c>
      <c r="U36" s="75">
        <v>2.9966069588839597</v>
      </c>
      <c r="V36" s="75">
        <v>4.6867574855604843</v>
      </c>
      <c r="W36" s="66"/>
      <c r="AG36" s="99"/>
      <c r="AH36" s="100" t="s">
        <v>121</v>
      </c>
      <c r="AI36" s="101">
        <v>22.341524444444445</v>
      </c>
      <c r="AJ36" s="101">
        <v>1.5632131906509139</v>
      </c>
      <c r="AK36" s="101">
        <v>19.254905950066977</v>
      </c>
      <c r="AL36" s="101">
        <v>25.428142938821914</v>
      </c>
      <c r="AM36" s="93"/>
      <c r="AW36" s="99"/>
      <c r="AX36" s="100" t="s">
        <v>121</v>
      </c>
      <c r="AY36" s="101">
        <v>1.9555555555555553</v>
      </c>
      <c r="AZ36" s="101">
        <v>0.11579514501262161</v>
      </c>
      <c r="BA36" s="101">
        <v>1.726903611225312</v>
      </c>
      <c r="BB36" s="101">
        <v>2.1842074998857988</v>
      </c>
      <c r="BC36" s="93"/>
    </row>
    <row r="37" spans="1:64" x14ac:dyDescent="0.2">
      <c r="A37" s="99"/>
      <c r="B37" s="100" t="s">
        <v>122</v>
      </c>
      <c r="C37" s="101">
        <v>7.5819111111111113</v>
      </c>
      <c r="D37" s="101">
        <v>0.67031629435896212</v>
      </c>
      <c r="E37" s="101">
        <v>6.2583484111383596</v>
      </c>
      <c r="F37" s="101">
        <v>8.9054738110838638</v>
      </c>
      <c r="G37" s="93"/>
      <c r="Q37" s="73"/>
      <c r="R37" s="74" t="s">
        <v>122</v>
      </c>
      <c r="S37" s="75">
        <v>2.5326111111111116</v>
      </c>
      <c r="T37" s="75">
        <v>0.31476872551118845</v>
      </c>
      <c r="U37" s="75">
        <v>1.9110893791905268</v>
      </c>
      <c r="V37" s="75">
        <v>3.1541328430316966</v>
      </c>
      <c r="W37" s="66"/>
      <c r="AG37" s="99"/>
      <c r="AH37" s="100" t="s">
        <v>122</v>
      </c>
      <c r="AI37" s="101">
        <v>15.806600000000003</v>
      </c>
      <c r="AJ37" s="101">
        <v>1.671054761819333</v>
      </c>
      <c r="AK37" s="101">
        <v>12.507044594635644</v>
      </c>
      <c r="AL37" s="101">
        <v>19.106155405364362</v>
      </c>
      <c r="AM37" s="93"/>
      <c r="AW37" s="99"/>
      <c r="AX37" s="100" t="s">
        <v>122</v>
      </c>
      <c r="AY37" s="101">
        <v>1.9999999999999998</v>
      </c>
      <c r="AZ37" s="101">
        <v>0.13567296189225966</v>
      </c>
      <c r="BA37" s="101">
        <v>1.7320968290481709</v>
      </c>
      <c r="BB37" s="101">
        <v>2.2679031709518287</v>
      </c>
      <c r="BC37" s="93"/>
    </row>
    <row r="38" spans="1:64" x14ac:dyDescent="0.2">
      <c r="A38" s="99"/>
      <c r="B38" s="100" t="s">
        <v>123</v>
      </c>
      <c r="C38" s="101">
        <v>9.716113333333336</v>
      </c>
      <c r="D38" s="101">
        <v>0.83694966809753046</v>
      </c>
      <c r="E38" s="101">
        <v>8.0635272754219187</v>
      </c>
      <c r="F38" s="101">
        <v>11.368699391244753</v>
      </c>
      <c r="G38" s="93"/>
      <c r="Q38" s="73"/>
      <c r="R38" s="74" t="s">
        <v>123</v>
      </c>
      <c r="S38" s="75">
        <v>4.8191111111111118</v>
      </c>
      <c r="T38" s="75">
        <v>0.37308114850842705</v>
      </c>
      <c r="U38" s="75">
        <v>4.0824494837804242</v>
      </c>
      <c r="V38" s="75">
        <v>5.5557727384417994</v>
      </c>
      <c r="W38" s="66"/>
      <c r="AG38" s="99"/>
      <c r="AH38" s="100" t="s">
        <v>123</v>
      </c>
      <c r="AI38" s="101">
        <v>19.900740000000006</v>
      </c>
      <c r="AJ38" s="101">
        <v>2.5311524060299671</v>
      </c>
      <c r="AK38" s="101">
        <v>14.902892057527772</v>
      </c>
      <c r="AL38" s="101">
        <v>24.89858794247224</v>
      </c>
      <c r="AM38" s="93"/>
      <c r="AW38" s="99"/>
      <c r="AX38" s="100" t="s">
        <v>123</v>
      </c>
      <c r="AY38" s="101">
        <v>1.5444444444444443</v>
      </c>
      <c r="AZ38" s="101">
        <v>0.14421712586554339</v>
      </c>
      <c r="BA38" s="101">
        <v>1.2596697569453992</v>
      </c>
      <c r="BB38" s="101">
        <v>1.8292191319434894</v>
      </c>
      <c r="BC38" s="93"/>
    </row>
    <row r="39" spans="1:64" x14ac:dyDescent="0.2">
      <c r="A39" s="99"/>
      <c r="B39" s="100" t="s">
        <v>124</v>
      </c>
      <c r="C39" s="101">
        <v>7.5493155555555571</v>
      </c>
      <c r="D39" s="101">
        <v>0.75712860901427192</v>
      </c>
      <c r="E39" s="101">
        <v>6.0543389386856354</v>
      </c>
      <c r="F39" s="101">
        <v>9.0442921724254788</v>
      </c>
      <c r="G39" s="93"/>
      <c r="Q39" s="73"/>
      <c r="R39" s="74" t="s">
        <v>124</v>
      </c>
      <c r="S39" s="75">
        <v>4.2318800000000003</v>
      </c>
      <c r="T39" s="75">
        <v>0.41722893404652639</v>
      </c>
      <c r="U39" s="75">
        <v>3.408047043676774</v>
      </c>
      <c r="V39" s="75">
        <v>5.0557129563232266</v>
      </c>
      <c r="W39" s="66"/>
      <c r="AG39" s="99"/>
      <c r="AH39" s="100" t="s">
        <v>124</v>
      </c>
      <c r="AI39" s="101">
        <v>16.863919999999997</v>
      </c>
      <c r="AJ39" s="101">
        <v>1.638221568009995</v>
      </c>
      <c r="AK39" s="101">
        <v>13.629194871048021</v>
      </c>
      <c r="AL39" s="101">
        <v>20.098645128951972</v>
      </c>
      <c r="AM39" s="93"/>
      <c r="AW39" s="99"/>
      <c r="AX39" s="100" t="s">
        <v>124</v>
      </c>
      <c r="AY39" s="101">
        <v>2.2222222222222223</v>
      </c>
      <c r="AZ39" s="101">
        <v>0.11909512676724276</v>
      </c>
      <c r="BA39" s="101">
        <v>1.9870540526705658</v>
      </c>
      <c r="BB39" s="101">
        <v>2.4573903917738789</v>
      </c>
      <c r="BC39" s="93"/>
    </row>
    <row r="40" spans="1:64" x14ac:dyDescent="0.2">
      <c r="A40" s="99"/>
      <c r="B40" s="100" t="s">
        <v>125</v>
      </c>
      <c r="C40" s="101">
        <v>13.031897777777777</v>
      </c>
      <c r="D40" s="101">
        <v>0.8980336873388074</v>
      </c>
      <c r="E40" s="101">
        <v>11.258699211842085</v>
      </c>
      <c r="F40" s="101">
        <v>14.805096343713469</v>
      </c>
      <c r="G40" s="93"/>
      <c r="Q40" s="73"/>
      <c r="R40" s="74" t="s">
        <v>125</v>
      </c>
      <c r="S40" s="75">
        <v>5.1980955555555557</v>
      </c>
      <c r="T40" s="75">
        <v>0.54630880477505817</v>
      </c>
      <c r="U40" s="75">
        <v>4.1193899314315683</v>
      </c>
      <c r="V40" s="75">
        <v>6.2768011796795431</v>
      </c>
      <c r="W40" s="66"/>
      <c r="AG40" s="99"/>
      <c r="AH40" s="100" t="s">
        <v>125</v>
      </c>
      <c r="AI40" s="101">
        <v>19.951108888888886</v>
      </c>
      <c r="AJ40" s="101">
        <v>1.9194840879902333</v>
      </c>
      <c r="AK40" s="101">
        <v>16.161021189342989</v>
      </c>
      <c r="AL40" s="101">
        <v>23.741196588434782</v>
      </c>
      <c r="AM40" s="93"/>
      <c r="AW40" s="99"/>
      <c r="AX40" s="100" t="s">
        <v>125</v>
      </c>
      <c r="AY40" s="101">
        <v>1.6111111111111112</v>
      </c>
      <c r="AZ40" s="101">
        <v>0.14508092589403157</v>
      </c>
      <c r="BA40" s="101">
        <v>1.3246307428082222</v>
      </c>
      <c r="BB40" s="101">
        <v>1.8975914794140001</v>
      </c>
      <c r="BC40" s="93"/>
    </row>
    <row r="41" spans="1:64" x14ac:dyDescent="0.2">
      <c r="A41" s="99"/>
      <c r="B41" s="100" t="s">
        <v>126</v>
      </c>
      <c r="C41" s="101">
        <v>7.6864888888888858</v>
      </c>
      <c r="D41" s="101">
        <v>0.64004192148603256</v>
      </c>
      <c r="E41" s="101">
        <v>6.4227039849161498</v>
      </c>
      <c r="F41" s="101">
        <v>8.9502737928616227</v>
      </c>
      <c r="G41" s="93"/>
      <c r="Q41" s="73"/>
      <c r="R41" s="74" t="s">
        <v>126</v>
      </c>
      <c r="S41" s="75">
        <v>3.2161466666666665</v>
      </c>
      <c r="T41" s="75">
        <v>0.35031160956173968</v>
      </c>
      <c r="U41" s="75">
        <v>2.524444281262558</v>
      </c>
      <c r="V41" s="75">
        <v>3.9078490520707749</v>
      </c>
      <c r="W41" s="66"/>
      <c r="AG41" s="99"/>
      <c r="AH41" s="100" t="s">
        <v>126</v>
      </c>
      <c r="AI41" s="101">
        <v>19.748655555555551</v>
      </c>
      <c r="AJ41" s="101">
        <v>1.696612306514008</v>
      </c>
      <c r="AK41" s="101">
        <v>16.398635894517522</v>
      </c>
      <c r="AL41" s="101">
        <v>23.09867521659358</v>
      </c>
      <c r="AM41" s="93"/>
      <c r="AW41" s="99"/>
      <c r="AX41" s="100" t="s">
        <v>126</v>
      </c>
      <c r="AY41" s="101">
        <v>2.2111111111111108</v>
      </c>
      <c r="AZ41" s="101">
        <v>9.9564102505230317E-2</v>
      </c>
      <c r="BA41" s="101">
        <v>2.0145093829399068</v>
      </c>
      <c r="BB41" s="101">
        <v>2.4077128392823148</v>
      </c>
      <c r="BC41" s="93"/>
    </row>
    <row r="42" spans="1:64" x14ac:dyDescent="0.2">
      <c r="A42" s="99"/>
      <c r="B42" s="100" t="s">
        <v>127</v>
      </c>
      <c r="C42" s="101">
        <v>9.6058955555555556</v>
      </c>
      <c r="D42" s="101">
        <v>0.76833904756936222</v>
      </c>
      <c r="E42" s="101">
        <v>8.0887835401480768</v>
      </c>
      <c r="F42" s="101">
        <v>11.123007570963034</v>
      </c>
      <c r="G42" s="93"/>
      <c r="Q42" s="73"/>
      <c r="R42" s="74" t="s">
        <v>127</v>
      </c>
      <c r="S42" s="75">
        <v>5.0876333333333337</v>
      </c>
      <c r="T42" s="75">
        <v>0.4048742706745132</v>
      </c>
      <c r="U42" s="75">
        <v>4.2881950870112338</v>
      </c>
      <c r="V42" s="75">
        <v>5.8870715796554336</v>
      </c>
      <c r="W42" s="66"/>
      <c r="AG42" s="99"/>
      <c r="AH42" s="100" t="s">
        <v>127</v>
      </c>
      <c r="AI42" s="101">
        <v>19.284048888888897</v>
      </c>
      <c r="AJ42" s="101">
        <v>2.096786545502495</v>
      </c>
      <c r="AK42" s="101">
        <v>15.143871356600453</v>
      </c>
      <c r="AL42" s="101">
        <v>23.424226421177341</v>
      </c>
      <c r="AM42" s="93"/>
      <c r="AW42" s="99"/>
      <c r="AX42" s="100" t="s">
        <v>127</v>
      </c>
      <c r="AY42" s="101">
        <v>1.9222222222222223</v>
      </c>
      <c r="AZ42" s="101">
        <v>0.13990179812047254</v>
      </c>
      <c r="BA42" s="101">
        <v>1.6459686871361314</v>
      </c>
      <c r="BB42" s="101">
        <v>2.1984757573083131</v>
      </c>
      <c r="BC42" s="93"/>
    </row>
    <row r="43" spans="1:64" x14ac:dyDescent="0.2">
      <c r="A43" s="99"/>
      <c r="B43" s="100" t="s">
        <v>128</v>
      </c>
      <c r="C43" s="101">
        <v>8.2869155555555523</v>
      </c>
      <c r="D43" s="101">
        <v>0.61640325706210519</v>
      </c>
      <c r="E43" s="101">
        <v>7.0698060118149639</v>
      </c>
      <c r="F43" s="101">
        <v>9.5040250992961397</v>
      </c>
      <c r="G43" s="93"/>
      <c r="Q43" s="73"/>
      <c r="R43" s="74" t="s">
        <v>128</v>
      </c>
      <c r="S43" s="75">
        <v>3.3283577777777777</v>
      </c>
      <c r="T43" s="75">
        <v>0.3886531613700917</v>
      </c>
      <c r="U43" s="75">
        <v>2.5609486726360289</v>
      </c>
      <c r="V43" s="75">
        <v>4.0957668829195271</v>
      </c>
      <c r="W43" s="66"/>
      <c r="AG43" s="99"/>
      <c r="AH43" s="100" t="s">
        <v>128</v>
      </c>
      <c r="AI43" s="101">
        <v>19.008557777777781</v>
      </c>
      <c r="AJ43" s="101">
        <v>2.2969202093064349</v>
      </c>
      <c r="AK43" s="101">
        <v>14.473209406515327</v>
      </c>
      <c r="AL43" s="101">
        <v>23.543906149040236</v>
      </c>
      <c r="AM43" s="93"/>
      <c r="AW43" s="99"/>
      <c r="AX43" s="100" t="s">
        <v>128</v>
      </c>
      <c r="AY43" s="101">
        <v>1.8888888888888891</v>
      </c>
      <c r="AZ43" s="101">
        <v>0.13247817266449657</v>
      </c>
      <c r="BA43" s="101">
        <v>1.627294227404998</v>
      </c>
      <c r="BB43" s="101">
        <v>2.1504835503727802</v>
      </c>
      <c r="BC43" s="93"/>
    </row>
    <row r="44" spans="1:64" ht="15" thickBot="1" x14ac:dyDescent="0.25">
      <c r="A44" s="102"/>
      <c r="B44" s="103" t="s">
        <v>129</v>
      </c>
      <c r="C44" s="104">
        <v>9.2145955555555581</v>
      </c>
      <c r="D44" s="104">
        <v>0.83188198016492321</v>
      </c>
      <c r="E44" s="104">
        <v>7.5720158226867325</v>
      </c>
      <c r="F44" s="104">
        <v>10.857175288424383</v>
      </c>
      <c r="G44" s="93"/>
      <c r="Q44" s="76"/>
      <c r="R44" s="77" t="s">
        <v>129</v>
      </c>
      <c r="S44" s="78">
        <v>4.2312311111111098</v>
      </c>
      <c r="T44" s="78">
        <v>0.39695273278109189</v>
      </c>
      <c r="U44" s="78">
        <v>3.4474342152535389</v>
      </c>
      <c r="V44" s="78">
        <v>5.0150280069686808</v>
      </c>
      <c r="W44" s="66"/>
      <c r="AG44" s="102"/>
      <c r="AH44" s="103" t="s">
        <v>129</v>
      </c>
      <c r="AI44" s="104">
        <v>15.240606666666665</v>
      </c>
      <c r="AJ44" s="104">
        <v>1.6954600420164225</v>
      </c>
      <c r="AK44" s="104">
        <v>11.892862191719651</v>
      </c>
      <c r="AL44" s="104">
        <v>18.588351141613678</v>
      </c>
      <c r="AM44" s="93"/>
      <c r="AW44" s="102"/>
      <c r="AX44" s="103" t="s">
        <v>129</v>
      </c>
      <c r="AY44" s="104">
        <v>2.2000000000000006</v>
      </c>
      <c r="AZ44" s="104">
        <v>0.1215366668205933</v>
      </c>
      <c r="BA44" s="104">
        <v>1.9600107053459235</v>
      </c>
      <c r="BB44" s="104">
        <v>2.4399892946540778</v>
      </c>
      <c r="BC44" s="93"/>
    </row>
    <row r="45" spans="1:64" ht="15" thickTop="1" x14ac:dyDescent="0.2">
      <c r="A45" s="103" t="s">
        <v>109</v>
      </c>
      <c r="B45" s="100" t="s">
        <v>106</v>
      </c>
      <c r="C45" s="101">
        <v>13.703899999999999</v>
      </c>
      <c r="D45" s="101">
        <v>0.87856776216503296</v>
      </c>
      <c r="E45" s="101">
        <v>11.96913757637099</v>
      </c>
      <c r="F45" s="101">
        <v>15.438662423629008</v>
      </c>
      <c r="G45" s="93"/>
      <c r="H45" s="156" t="s">
        <v>106</v>
      </c>
      <c r="M45" s="151">
        <f t="shared" ref="M45:O51" si="48">ABS(M5/$L5)</f>
        <v>4.0181553100061163E-2</v>
      </c>
      <c r="N45" s="151">
        <f t="shared" si="48"/>
        <v>1.4369953251168867E-2</v>
      </c>
      <c r="O45" s="151">
        <f t="shared" si="48"/>
        <v>5.3598066298342982E-2</v>
      </c>
      <c r="P45" s="8" t="s">
        <v>1</v>
      </c>
      <c r="Q45" s="77" t="s">
        <v>109</v>
      </c>
      <c r="R45" s="74" t="s">
        <v>106</v>
      </c>
      <c r="S45" s="75">
        <v>6.1771088888888901</v>
      </c>
      <c r="T45" s="75">
        <v>0.44764928990320046</v>
      </c>
      <c r="U45" s="75">
        <v>5.293209888116758</v>
      </c>
      <c r="V45" s="75">
        <v>7.0610078896610222</v>
      </c>
      <c r="W45" s="66"/>
      <c r="X45" s="156" t="s">
        <v>106</v>
      </c>
      <c r="AC45" s="151">
        <f t="shared" ref="AC45:AE51" si="49">ABS(AC5/$AB5)</f>
        <v>5.081020694596633E-2</v>
      </c>
      <c r="AD45" s="151">
        <f t="shared" si="49"/>
        <v>0.25282954685754305</v>
      </c>
      <c r="AE45" s="151">
        <f t="shared" si="49"/>
        <v>0.23416166707052663</v>
      </c>
      <c r="AF45" s="8" t="s">
        <v>1</v>
      </c>
      <c r="AG45" s="103" t="s">
        <v>109</v>
      </c>
      <c r="AH45" s="100" t="s">
        <v>106</v>
      </c>
      <c r="AI45" s="101">
        <v>31.214759999999998</v>
      </c>
      <c r="AJ45" s="101">
        <v>2.0456350717057656</v>
      </c>
      <c r="AK45" s="101">
        <v>27.175582821329289</v>
      </c>
      <c r="AL45" s="101">
        <v>35.253937178670711</v>
      </c>
      <c r="AM45" s="93"/>
      <c r="AN45" s="156" t="s">
        <v>106</v>
      </c>
      <c r="AS45" s="151">
        <f t="shared" ref="AS45:AU51" si="50">ABS(AS5/$AR5)</f>
        <v>0.24012282951510977</v>
      </c>
      <c r="AT45" s="151">
        <f t="shared" si="50"/>
        <v>0.52670270820394838</v>
      </c>
      <c r="AU45" s="151">
        <f t="shared" si="50"/>
        <v>0.25400861754165838</v>
      </c>
      <c r="AV45" s="8" t="s">
        <v>1</v>
      </c>
      <c r="AW45" s="103" t="s">
        <v>109</v>
      </c>
      <c r="AX45" s="100" t="s">
        <v>106</v>
      </c>
      <c r="AY45" s="101">
        <v>0.6</v>
      </c>
      <c r="AZ45" s="101">
        <v>0.18703585912147638</v>
      </c>
      <c r="BA45" s="101">
        <v>0.2306743875752168</v>
      </c>
      <c r="BB45" s="101">
        <v>0.9693256124247831</v>
      </c>
      <c r="BC45" s="93"/>
      <c r="BD45" s="156" t="s">
        <v>106</v>
      </c>
      <c r="BI45" s="151">
        <f t="shared" ref="BI45:BK51" si="51">ABS(BI5/$AB5)</f>
        <v>1.6222752393154741E-2</v>
      </c>
      <c r="BJ45" s="151">
        <f t="shared" si="51"/>
        <v>3.1681552457546121E-2</v>
      </c>
      <c r="BK45" s="151">
        <f t="shared" si="51"/>
        <v>2.5102574755723698E-2</v>
      </c>
      <c r="BL45" s="8" t="s">
        <v>1</v>
      </c>
    </row>
    <row r="46" spans="1:64" x14ac:dyDescent="0.2">
      <c r="A46" s="100"/>
      <c r="B46" s="100" t="s">
        <v>111</v>
      </c>
      <c r="C46" s="101">
        <v>11.21976888888889</v>
      </c>
      <c r="D46" s="101">
        <v>0.69228950953585355</v>
      </c>
      <c r="E46" s="101">
        <v>9.8528193158065989</v>
      </c>
      <c r="F46" s="101">
        <v>12.586718461971181</v>
      </c>
      <c r="G46" s="93"/>
      <c r="H46" s="74" t="s">
        <v>111</v>
      </c>
      <c r="M46" s="151">
        <f t="shared" si="48"/>
        <v>2.5987000676938724E-2</v>
      </c>
      <c r="N46" s="151">
        <f t="shared" si="48"/>
        <v>4.6672077439807044E-2</v>
      </c>
      <c r="O46" s="151">
        <f t="shared" si="48"/>
        <v>3.9940267599571408E-2</v>
      </c>
      <c r="P46" s="159" t="s">
        <v>3</v>
      </c>
      <c r="Q46" s="74"/>
      <c r="R46" s="74" t="s">
        <v>111</v>
      </c>
      <c r="S46" s="75">
        <v>5.8828977777777771</v>
      </c>
      <c r="T46" s="75">
        <v>0.44651586358195949</v>
      </c>
      <c r="U46" s="75">
        <v>5.0012367664661221</v>
      </c>
      <c r="V46" s="75">
        <v>6.7645587890894321</v>
      </c>
      <c r="W46" s="66"/>
      <c r="X46" s="74" t="s">
        <v>111</v>
      </c>
      <c r="AC46" s="151">
        <f t="shared" si="49"/>
        <v>3.9038705899046983E-2</v>
      </c>
      <c r="AD46" s="151">
        <f t="shared" si="49"/>
        <v>9.3988814916402388E-2</v>
      </c>
      <c r="AE46" s="151">
        <f t="shared" si="49"/>
        <v>6.0512205152004589E-2</v>
      </c>
      <c r="AF46" s="159" t="s">
        <v>3</v>
      </c>
      <c r="AG46" s="100"/>
      <c r="AH46" s="100" t="s">
        <v>111</v>
      </c>
      <c r="AI46" s="101">
        <v>33.382388888888897</v>
      </c>
      <c r="AJ46" s="101">
        <v>2.1114000416700116</v>
      </c>
      <c r="AK46" s="101">
        <v>29.213356503143523</v>
      </c>
      <c r="AL46" s="101">
        <v>37.551421274634272</v>
      </c>
      <c r="AM46" s="93"/>
      <c r="AN46" s="74" t="s">
        <v>111</v>
      </c>
      <c r="AS46" s="151">
        <f t="shared" si="50"/>
        <v>0.17964995785797866</v>
      </c>
      <c r="AT46" s="151">
        <f t="shared" si="50"/>
        <v>0.55953195862658522</v>
      </c>
      <c r="AU46" s="151">
        <f t="shared" si="50"/>
        <v>0.52601306910682943</v>
      </c>
      <c r="AV46" s="159" t="s">
        <v>3</v>
      </c>
      <c r="AW46" s="100"/>
      <c r="AX46" s="100" t="s">
        <v>111</v>
      </c>
      <c r="AY46" s="101">
        <v>1.5999999999999999</v>
      </c>
      <c r="AZ46" s="101">
        <v>0.14304117371660641</v>
      </c>
      <c r="BA46" s="101">
        <v>1.3175473765673236</v>
      </c>
      <c r="BB46" s="101">
        <v>1.8824526234326762</v>
      </c>
      <c r="BC46" s="93"/>
      <c r="BD46" s="74" t="s">
        <v>111</v>
      </c>
      <c r="BI46" s="151">
        <f t="shared" si="51"/>
        <v>8.4742485306036792E-3</v>
      </c>
      <c r="BJ46" s="151">
        <f t="shared" si="51"/>
        <v>4.8655972424536058E-4</v>
      </c>
      <c r="BK46" s="151">
        <f t="shared" si="51"/>
        <v>3.6516307304601786E-2</v>
      </c>
      <c r="BL46" s="159" t="s">
        <v>3</v>
      </c>
    </row>
    <row r="47" spans="1:64" x14ac:dyDescent="0.2">
      <c r="A47" s="100"/>
      <c r="B47" s="100" t="s">
        <v>112</v>
      </c>
      <c r="C47" s="101">
        <v>9.2333022222222176</v>
      </c>
      <c r="D47" s="101">
        <v>0.89108781067885234</v>
      </c>
      <c r="E47" s="101">
        <v>7.4738185299112523</v>
      </c>
      <c r="F47" s="101">
        <v>10.992785914533183</v>
      </c>
      <c r="G47" s="93"/>
      <c r="H47" s="74" t="s">
        <v>112</v>
      </c>
      <c r="M47" s="151">
        <f t="shared" si="48"/>
        <v>9.9094226185973151E-3</v>
      </c>
      <c r="N47" s="151">
        <f t="shared" si="48"/>
        <v>6.7755192713513223E-3</v>
      </c>
      <c r="O47" s="151">
        <f t="shared" si="48"/>
        <v>0.10117654498022365</v>
      </c>
      <c r="P47" s="159" t="s">
        <v>5</v>
      </c>
      <c r="Q47" s="74"/>
      <c r="R47" s="74" t="s">
        <v>112</v>
      </c>
      <c r="S47" s="75">
        <v>3.6305711111111103</v>
      </c>
      <c r="T47" s="75">
        <v>0.36747201124255635</v>
      </c>
      <c r="U47" s="75">
        <v>2.9049849192526183</v>
      </c>
      <c r="V47" s="75">
        <v>4.3561573029696028</v>
      </c>
      <c r="W47" s="66"/>
      <c r="X47" s="74" t="s">
        <v>112</v>
      </c>
      <c r="AC47" s="151">
        <f t="shared" si="49"/>
        <v>0.35561474802542642</v>
      </c>
      <c r="AD47" s="151">
        <f t="shared" si="49"/>
        <v>7.6392829627176861E-2</v>
      </c>
      <c r="AE47" s="151">
        <f t="shared" si="49"/>
        <v>1.1950192562144296E-2</v>
      </c>
      <c r="AF47" s="159" t="s">
        <v>5</v>
      </c>
      <c r="AG47" s="100"/>
      <c r="AH47" s="100" t="s">
        <v>112</v>
      </c>
      <c r="AI47" s="101">
        <v>35.851375555555542</v>
      </c>
      <c r="AJ47" s="101">
        <v>2.5400451124869368</v>
      </c>
      <c r="AK47" s="101">
        <v>30.835968656711067</v>
      </c>
      <c r="AL47" s="101">
        <v>40.866782454400017</v>
      </c>
      <c r="AM47" s="93"/>
      <c r="AN47" s="74" t="s">
        <v>112</v>
      </c>
      <c r="AS47" s="151">
        <f t="shared" si="50"/>
        <v>0.18317777126480875</v>
      </c>
      <c r="AT47" s="151">
        <f t="shared" si="50"/>
        <v>0.36356778456713146</v>
      </c>
      <c r="AU47" s="151">
        <f t="shared" si="50"/>
        <v>0.42189613317531632</v>
      </c>
      <c r="AV47" s="159" t="s">
        <v>5</v>
      </c>
      <c r="AW47" s="100"/>
      <c r="AX47" s="100" t="s">
        <v>112</v>
      </c>
      <c r="AY47" s="101">
        <v>1.3333333333333335</v>
      </c>
      <c r="AZ47" s="101">
        <v>0.14417787001464757</v>
      </c>
      <c r="BA47" s="101">
        <v>1.0486361614039843</v>
      </c>
      <c r="BB47" s="101">
        <v>1.6180305052626827</v>
      </c>
      <c r="BC47" s="93"/>
      <c r="BD47" s="74" t="s">
        <v>112</v>
      </c>
      <c r="BI47" s="151">
        <f t="shared" si="51"/>
        <v>0.10910981164025425</v>
      </c>
      <c r="BJ47" s="151">
        <f t="shared" si="51"/>
        <v>6.7707766359155652E-2</v>
      </c>
      <c r="BK47" s="151">
        <f t="shared" si="51"/>
        <v>2.8587723573865662E-2</v>
      </c>
      <c r="BL47" s="159" t="s">
        <v>5</v>
      </c>
    </row>
    <row r="48" spans="1:64" x14ac:dyDescent="0.2">
      <c r="A48" s="100"/>
      <c r="B48" s="100" t="s">
        <v>113</v>
      </c>
      <c r="C48" s="101">
        <v>8.5230177777777776</v>
      </c>
      <c r="D48" s="101">
        <v>0.69793064006839622</v>
      </c>
      <c r="E48" s="101">
        <v>7.1449295974120535</v>
      </c>
      <c r="F48" s="101">
        <v>9.9011059581435017</v>
      </c>
      <c r="G48" s="93"/>
      <c r="H48" s="74" t="s">
        <v>113</v>
      </c>
      <c r="M48" s="151">
        <f t="shared" si="48"/>
        <v>2.773473065699816E-2</v>
      </c>
      <c r="N48" s="151">
        <f t="shared" si="48"/>
        <v>5.0588059082829123E-2</v>
      </c>
      <c r="O48" s="151">
        <f t="shared" si="48"/>
        <v>3.5147427438652311E-2</v>
      </c>
      <c r="P48" s="160" t="s">
        <v>7</v>
      </c>
      <c r="Q48" s="74"/>
      <c r="R48" s="74" t="s">
        <v>113</v>
      </c>
      <c r="S48" s="75">
        <v>5.131157777777779</v>
      </c>
      <c r="T48" s="75">
        <v>0.37905220892341213</v>
      </c>
      <c r="U48" s="75">
        <v>4.382706085203167</v>
      </c>
      <c r="V48" s="75">
        <v>5.8796094703523911</v>
      </c>
      <c r="W48" s="66"/>
      <c r="X48" s="74" t="s">
        <v>113</v>
      </c>
      <c r="AC48" s="151">
        <f t="shared" si="49"/>
        <v>0.27197336111834636</v>
      </c>
      <c r="AD48" s="151">
        <f t="shared" si="49"/>
        <v>3.7198749674395279E-2</v>
      </c>
      <c r="AE48" s="151">
        <f t="shared" si="49"/>
        <v>4.2537917860554914E-2</v>
      </c>
      <c r="AF48" s="160" t="s">
        <v>7</v>
      </c>
      <c r="AG48" s="100"/>
      <c r="AH48" s="100" t="s">
        <v>113</v>
      </c>
      <c r="AI48" s="101">
        <v>26.189255555555562</v>
      </c>
      <c r="AJ48" s="101">
        <v>1.6681912546890318</v>
      </c>
      <c r="AK48" s="101">
        <v>22.895354244028198</v>
      </c>
      <c r="AL48" s="101">
        <v>29.483156867082926</v>
      </c>
      <c r="AM48" s="93"/>
      <c r="AN48" s="74" t="s">
        <v>113</v>
      </c>
      <c r="AS48" s="151">
        <f t="shared" si="50"/>
        <v>2.3923429110452622E-2</v>
      </c>
      <c r="AT48" s="151">
        <f t="shared" si="50"/>
        <v>0.4900380597238233</v>
      </c>
      <c r="AU48" s="151">
        <f t="shared" si="50"/>
        <v>0.3059691428886121</v>
      </c>
      <c r="AV48" s="160" t="s">
        <v>7</v>
      </c>
      <c r="AW48" s="100"/>
      <c r="AX48" s="100" t="s">
        <v>113</v>
      </c>
      <c r="AY48" s="101">
        <v>2.1555555555555554</v>
      </c>
      <c r="AZ48" s="101">
        <v>0.12008209373897705</v>
      </c>
      <c r="BA48" s="101">
        <v>1.9184384967214321</v>
      </c>
      <c r="BB48" s="101">
        <v>2.3926726143896788</v>
      </c>
      <c r="BC48" s="93"/>
      <c r="BD48" s="74" t="s">
        <v>113</v>
      </c>
      <c r="BI48" s="151">
        <f t="shared" si="51"/>
        <v>3.3862985152383424E-2</v>
      </c>
      <c r="BJ48" s="151">
        <f t="shared" si="51"/>
        <v>2.5842804458397824E-2</v>
      </c>
      <c r="BK48" s="151">
        <f t="shared" si="51"/>
        <v>6.5468437961274634E-2</v>
      </c>
      <c r="BL48" s="160" t="s">
        <v>7</v>
      </c>
    </row>
    <row r="49" spans="1:64" x14ac:dyDescent="0.2">
      <c r="A49" s="100"/>
      <c r="B49" s="100" t="s">
        <v>114</v>
      </c>
      <c r="C49" s="101">
        <v>9.6512511111111152</v>
      </c>
      <c r="D49" s="101">
        <v>0.57724071974468727</v>
      </c>
      <c r="E49" s="101">
        <v>8.5114693513820967</v>
      </c>
      <c r="F49" s="101">
        <v>10.791032870840134</v>
      </c>
      <c r="G49" s="93"/>
      <c r="H49" s="74" t="s">
        <v>114</v>
      </c>
      <c r="M49" s="151">
        <f t="shared" si="48"/>
        <v>5.5008758326600425E-2</v>
      </c>
      <c r="N49" s="151">
        <f t="shared" si="48"/>
        <v>8.4046911055854212E-2</v>
      </c>
      <c r="O49" s="151">
        <f t="shared" si="48"/>
        <v>0.29482465229283217</v>
      </c>
      <c r="P49" s="161" t="s">
        <v>9</v>
      </c>
      <c r="Q49" s="74"/>
      <c r="R49" s="74" t="s">
        <v>114</v>
      </c>
      <c r="S49" s="75">
        <v>3.8833444444444432</v>
      </c>
      <c r="T49" s="75">
        <v>0.32069584583431315</v>
      </c>
      <c r="U49" s="75">
        <v>3.250119408510578</v>
      </c>
      <c r="V49" s="75">
        <v>4.5165694803783083</v>
      </c>
      <c r="W49" s="66"/>
      <c r="X49" s="74" t="s">
        <v>114</v>
      </c>
      <c r="AC49" s="151">
        <f t="shared" si="49"/>
        <v>8.5489180292483508E-2</v>
      </c>
      <c r="AD49" s="151">
        <f t="shared" si="49"/>
        <v>7.8650360346780704E-2</v>
      </c>
      <c r="AE49" s="151">
        <f t="shared" si="49"/>
        <v>5.6829515871818753E-2</v>
      </c>
      <c r="AF49" s="161" t="s">
        <v>9</v>
      </c>
      <c r="AG49" s="100"/>
      <c r="AH49" s="100" t="s">
        <v>114</v>
      </c>
      <c r="AI49" s="101">
        <v>28.655759999999994</v>
      </c>
      <c r="AJ49" s="101">
        <v>2.0533402252623922</v>
      </c>
      <c r="AK49" s="101">
        <v>24.601368729219431</v>
      </c>
      <c r="AL49" s="101">
        <v>32.710151270780557</v>
      </c>
      <c r="AM49" s="93"/>
      <c r="AN49" s="74" t="s">
        <v>114</v>
      </c>
      <c r="AS49" s="151">
        <f t="shared" si="50"/>
        <v>2.0764268472293349E-2</v>
      </c>
      <c r="AT49" s="151">
        <f t="shared" si="50"/>
        <v>0.31536625072353935</v>
      </c>
      <c r="AU49" s="151">
        <f t="shared" si="50"/>
        <v>0.26074012855644713</v>
      </c>
      <c r="AV49" s="161" t="s">
        <v>9</v>
      </c>
      <c r="AW49" s="100"/>
      <c r="AX49" s="100" t="s">
        <v>114</v>
      </c>
      <c r="AY49" s="101">
        <v>2.1333333333333329</v>
      </c>
      <c r="AZ49" s="101">
        <v>0.11401459352195194</v>
      </c>
      <c r="BA49" s="101">
        <v>1.9081973098154634</v>
      </c>
      <c r="BB49" s="101">
        <v>2.3584693568512023</v>
      </c>
      <c r="BC49" s="93"/>
      <c r="BD49" s="74" t="s">
        <v>114</v>
      </c>
      <c r="BI49" s="151">
        <f t="shared" si="51"/>
        <v>5.0241998961665028E-2</v>
      </c>
      <c r="BJ49" s="151">
        <f t="shared" si="51"/>
        <v>5.6926241513582637E-2</v>
      </c>
      <c r="BK49" s="151">
        <f t="shared" si="51"/>
        <v>5.0241998961665028E-2</v>
      </c>
      <c r="BL49" s="161" t="s">
        <v>9</v>
      </c>
    </row>
    <row r="50" spans="1:64" x14ac:dyDescent="0.2">
      <c r="A50" s="100"/>
      <c r="B50" s="100" t="s">
        <v>115</v>
      </c>
      <c r="C50" s="101">
        <v>21.090660000000003</v>
      </c>
      <c r="D50" s="101">
        <v>1.726268054553812</v>
      </c>
      <c r="E50" s="101">
        <v>17.682084039084447</v>
      </c>
      <c r="F50" s="101">
        <v>24.499235960915559</v>
      </c>
      <c r="G50" s="93"/>
      <c r="H50" s="74" t="s">
        <v>115</v>
      </c>
      <c r="M50" s="151">
        <f t="shared" si="48"/>
        <v>0.3312142577212413</v>
      </c>
      <c r="N50" s="151">
        <f t="shared" si="48"/>
        <v>4.3376000199380121E-2</v>
      </c>
      <c r="O50" s="151">
        <f t="shared" si="48"/>
        <v>0.19184345030424435</v>
      </c>
      <c r="P50" s="168" t="s">
        <v>11</v>
      </c>
      <c r="Q50" s="74"/>
      <c r="R50" s="74" t="s">
        <v>115</v>
      </c>
      <c r="S50" s="75">
        <v>6.7451911111111098</v>
      </c>
      <c r="T50" s="75">
        <v>0.52820528909776865</v>
      </c>
      <c r="U50" s="75">
        <v>5.7022315046365168</v>
      </c>
      <c r="V50" s="75">
        <v>7.7881507175857028</v>
      </c>
      <c r="W50" s="66"/>
      <c r="X50" s="74" t="s">
        <v>115</v>
      </c>
      <c r="AC50" s="151">
        <f t="shared" si="49"/>
        <v>7.3233325440159633E-2</v>
      </c>
      <c r="AD50" s="151">
        <f t="shared" si="49"/>
        <v>0.15355176652454355</v>
      </c>
      <c r="AE50" s="151">
        <f t="shared" si="49"/>
        <v>0.21426759581474031</v>
      </c>
      <c r="AF50" s="162" t="s">
        <v>11</v>
      </c>
      <c r="AG50" s="100"/>
      <c r="AH50" s="100" t="s">
        <v>115</v>
      </c>
      <c r="AI50" s="101">
        <v>38.587088888888886</v>
      </c>
      <c r="AJ50" s="101">
        <v>3.0585524852141273</v>
      </c>
      <c r="AK50" s="101">
        <v>32.547871254757304</v>
      </c>
      <c r="AL50" s="101">
        <v>44.626306523020467</v>
      </c>
      <c r="AM50" s="93"/>
      <c r="AN50" s="74" t="s">
        <v>115</v>
      </c>
      <c r="AS50" s="151">
        <f t="shared" si="50"/>
        <v>9.5644111286679774E-3</v>
      </c>
      <c r="AT50" s="151">
        <f t="shared" si="50"/>
        <v>0.9689709173868537</v>
      </c>
      <c r="AU50" s="151">
        <f t="shared" si="50"/>
        <v>0.61541665069924623</v>
      </c>
      <c r="AV50" s="162" t="s">
        <v>11</v>
      </c>
      <c r="AW50" s="100"/>
      <c r="AX50" s="100" t="s">
        <v>115</v>
      </c>
      <c r="AY50" s="101">
        <v>0.86666666666666681</v>
      </c>
      <c r="AZ50" s="101">
        <v>0.19023769985441505</v>
      </c>
      <c r="BA50" s="101">
        <v>0.49101862069821128</v>
      </c>
      <c r="BB50" s="101">
        <v>1.2423147126351224</v>
      </c>
      <c r="BC50" s="93"/>
      <c r="BD50" s="74" t="s">
        <v>115</v>
      </c>
      <c r="BI50" s="151">
        <f t="shared" si="51"/>
        <v>4.1696881519465157E-2</v>
      </c>
      <c r="BJ50" s="151">
        <f t="shared" si="51"/>
        <v>1.0325019214860762E-2</v>
      </c>
      <c r="BK50" s="151">
        <f t="shared" si="51"/>
        <v>3.369600388473383E-2</v>
      </c>
      <c r="BL50" s="162" t="s">
        <v>11</v>
      </c>
    </row>
    <row r="51" spans="1:64" x14ac:dyDescent="0.2">
      <c r="A51" s="100"/>
      <c r="B51" s="100" t="s">
        <v>116</v>
      </c>
      <c r="C51" s="101">
        <v>8.6975555555555548</v>
      </c>
      <c r="D51" s="101">
        <v>0.67223721936046077</v>
      </c>
      <c r="E51" s="101">
        <v>7.3701999227497135</v>
      </c>
      <c r="F51" s="101">
        <v>10.024911188361395</v>
      </c>
      <c r="G51" s="93"/>
      <c r="H51" s="74" t="s">
        <v>116</v>
      </c>
      <c r="M51" s="151">
        <f t="shared" si="48"/>
        <v>0.1246509690836653</v>
      </c>
      <c r="N51" s="151">
        <f>ABS(N11/$L11)</f>
        <v>2.0872920972665483E-4</v>
      </c>
      <c r="O51" s="151">
        <f t="shared" si="48"/>
        <v>5.7091194404483795E-3</v>
      </c>
      <c r="P51" s="8" t="s">
        <v>13</v>
      </c>
      <c r="Q51" s="74"/>
      <c r="R51" s="74" t="s">
        <v>116</v>
      </c>
      <c r="S51" s="75">
        <v>4.0310711111111122</v>
      </c>
      <c r="T51" s="75">
        <v>0.37024056454281662</v>
      </c>
      <c r="U51" s="75">
        <v>3.3000183150361506</v>
      </c>
      <c r="V51" s="75">
        <v>4.7621239071860737</v>
      </c>
      <c r="W51" s="66"/>
      <c r="X51" s="74" t="s">
        <v>116</v>
      </c>
      <c r="AC51" s="151">
        <f t="shared" si="49"/>
        <v>4.9563999909937477E-2</v>
      </c>
      <c r="AD51" s="151">
        <f t="shared" si="49"/>
        <v>0.45121110209581589</v>
      </c>
      <c r="AE51" s="151">
        <f t="shared" si="49"/>
        <v>0.31097537213095966</v>
      </c>
      <c r="AF51" s="8" t="s">
        <v>13</v>
      </c>
      <c r="AG51" s="100"/>
      <c r="AH51" s="100" t="s">
        <v>116</v>
      </c>
      <c r="AI51" s="101">
        <v>35.184395555555554</v>
      </c>
      <c r="AJ51" s="101">
        <v>2.3282594791636879</v>
      </c>
      <c r="AK51" s="101">
        <v>30.587166712377808</v>
      </c>
      <c r="AL51" s="101">
        <v>39.7816243987333</v>
      </c>
      <c r="AM51" s="93"/>
      <c r="AN51" s="74" t="s">
        <v>116</v>
      </c>
      <c r="AS51" s="151">
        <f t="shared" si="50"/>
        <v>0.11814071642507386</v>
      </c>
      <c r="AT51" s="151">
        <f t="shared" si="50"/>
        <v>0.33987585946506199</v>
      </c>
      <c r="AU51" s="151">
        <f t="shared" si="50"/>
        <v>0.58148189382852822</v>
      </c>
      <c r="AV51" s="8" t="s">
        <v>13</v>
      </c>
      <c r="AW51" s="100"/>
      <c r="AX51" s="100" t="s">
        <v>116</v>
      </c>
      <c r="AY51" s="101">
        <v>1.8888888888888888</v>
      </c>
      <c r="AZ51" s="101">
        <v>0.12444216095999824</v>
      </c>
      <c r="BA51" s="101">
        <v>1.6431623339710706</v>
      </c>
      <c r="BB51" s="101">
        <v>2.1346154438067071</v>
      </c>
      <c r="BC51" s="93"/>
      <c r="BD51" s="74" t="s">
        <v>116</v>
      </c>
      <c r="BI51" s="151">
        <f t="shared" si="51"/>
        <v>6.7823162777536458E-2</v>
      </c>
      <c r="BJ51" s="151">
        <f t="shared" si="51"/>
        <v>1.6568104367031909E-2</v>
      </c>
      <c r="BK51" s="151">
        <f t="shared" si="51"/>
        <v>1.5288008003133121E-2</v>
      </c>
      <c r="BL51" s="8" t="s">
        <v>13</v>
      </c>
    </row>
    <row r="52" spans="1:64" x14ac:dyDescent="0.2">
      <c r="A52" s="100"/>
      <c r="B52" s="100"/>
      <c r="C52" s="101"/>
      <c r="D52" s="101"/>
      <c r="E52" s="101"/>
      <c r="F52" s="101"/>
      <c r="G52" s="93"/>
      <c r="H52" s="74"/>
      <c r="M52" s="151"/>
      <c r="N52" s="151"/>
      <c r="O52" s="151"/>
      <c r="P52" s="167"/>
      <c r="Q52" s="74"/>
      <c r="R52" s="74"/>
      <c r="S52" s="75"/>
      <c r="T52" s="75"/>
      <c r="U52" s="75"/>
      <c r="V52" s="75"/>
      <c r="W52" s="66"/>
      <c r="X52" s="74"/>
      <c r="AC52" s="151"/>
      <c r="AD52" s="151"/>
      <c r="AE52" s="151"/>
      <c r="AF52" s="160"/>
      <c r="AG52" s="100"/>
      <c r="AH52" s="100"/>
      <c r="AI52" s="101"/>
      <c r="AJ52" s="101"/>
      <c r="AK52" s="101"/>
      <c r="AL52" s="101"/>
      <c r="AM52" s="93"/>
      <c r="AN52" s="74"/>
      <c r="AS52" s="151"/>
      <c r="AT52" s="151"/>
      <c r="AU52" s="151"/>
      <c r="AV52" s="160"/>
      <c r="AW52" s="100"/>
      <c r="AX52" s="100"/>
      <c r="AY52" s="101"/>
      <c r="AZ52" s="101"/>
      <c r="BA52" s="101"/>
      <c r="BB52" s="101"/>
      <c r="BC52" s="93"/>
      <c r="BD52" s="74"/>
      <c r="BI52" s="151"/>
      <c r="BJ52" s="151"/>
      <c r="BK52" s="151"/>
      <c r="BL52" s="160"/>
    </row>
    <row r="53" spans="1:64" x14ac:dyDescent="0.2">
      <c r="A53" s="100"/>
      <c r="B53" s="100"/>
      <c r="C53" s="101"/>
      <c r="D53" s="101"/>
      <c r="E53" s="101"/>
      <c r="F53" s="101"/>
      <c r="G53" s="93"/>
      <c r="H53" s="74"/>
      <c r="M53" s="151"/>
      <c r="N53" s="151"/>
      <c r="O53" s="151"/>
      <c r="P53" s="166" t="s">
        <v>17</v>
      </c>
      <c r="Q53" s="74"/>
      <c r="R53" s="74"/>
      <c r="S53" s="75"/>
      <c r="T53" s="75"/>
      <c r="U53" s="75"/>
      <c r="V53" s="75"/>
      <c r="W53" s="66"/>
      <c r="X53" s="74"/>
      <c r="AC53" s="151"/>
      <c r="AD53" s="151"/>
      <c r="AE53" s="151"/>
      <c r="AF53" s="163" t="s">
        <v>17</v>
      </c>
      <c r="AG53" s="100"/>
      <c r="AH53" s="100"/>
      <c r="AI53" s="101"/>
      <c r="AJ53" s="101"/>
      <c r="AK53" s="101"/>
      <c r="AL53" s="101"/>
      <c r="AM53" s="93"/>
      <c r="AN53" s="74"/>
      <c r="AS53" s="151"/>
      <c r="AT53" s="151"/>
      <c r="AU53" s="151"/>
      <c r="AV53" s="163" t="s">
        <v>17</v>
      </c>
      <c r="AW53" s="100"/>
      <c r="AX53" s="100"/>
      <c r="AY53" s="101"/>
      <c r="AZ53" s="101"/>
      <c r="BA53" s="101"/>
      <c r="BB53" s="101"/>
      <c r="BC53" s="93"/>
      <c r="BD53" s="74"/>
      <c r="BI53" s="151"/>
      <c r="BJ53" s="151"/>
      <c r="BK53" s="151"/>
      <c r="BL53" s="163" t="s">
        <v>17</v>
      </c>
    </row>
    <row r="54" spans="1:64" x14ac:dyDescent="0.2">
      <c r="A54" s="100"/>
      <c r="B54" s="100" t="s">
        <v>119</v>
      </c>
      <c r="C54" s="101">
        <v>8.970311111111112</v>
      </c>
      <c r="D54" s="101">
        <v>0.69885662793914793</v>
      </c>
      <c r="E54" s="101">
        <v>7.5903945356777633</v>
      </c>
      <c r="F54" s="101">
        <v>10.350227686544461</v>
      </c>
      <c r="G54" s="93"/>
      <c r="H54" s="74" t="s">
        <v>119</v>
      </c>
      <c r="M54" s="151">
        <f t="shared" ref="M54:O58" si="52">ABS(M14/$L14)</f>
        <v>0.20980811770545207</v>
      </c>
      <c r="N54" s="151">
        <f t="shared" si="52"/>
        <v>9.8550088008833456E-2</v>
      </c>
      <c r="O54" s="151">
        <f t="shared" si="52"/>
        <v>0.23007755663940979</v>
      </c>
      <c r="P54" s="163" t="s">
        <v>19</v>
      </c>
      <c r="Q54" s="74"/>
      <c r="R54" s="74" t="s">
        <v>119</v>
      </c>
      <c r="S54" s="75">
        <v>4.9374111111111114</v>
      </c>
      <c r="T54" s="75">
        <v>0.45585416529225209</v>
      </c>
      <c r="U54" s="75">
        <v>4.037311300192691</v>
      </c>
      <c r="V54" s="75">
        <v>5.8375109220295318</v>
      </c>
      <c r="W54" s="66"/>
      <c r="X54" s="74" t="s">
        <v>119</v>
      </c>
      <c r="AC54" s="151">
        <f t="shared" ref="AC54:AE58" si="53">ABS(AC14/$AB14)</f>
        <v>0.35870272148781118</v>
      </c>
      <c r="AD54" s="151">
        <f t="shared" si="53"/>
        <v>0.1382872441646272</v>
      </c>
      <c r="AE54" s="151">
        <f t="shared" si="53"/>
        <v>2.5451781822110234E-2</v>
      </c>
      <c r="AF54" s="163" t="s">
        <v>19</v>
      </c>
      <c r="AG54" s="100"/>
      <c r="AH54" s="100" t="s">
        <v>119</v>
      </c>
      <c r="AI54" s="101">
        <v>34.330739999999992</v>
      </c>
      <c r="AJ54" s="101">
        <v>2.1979327316259778</v>
      </c>
      <c r="AK54" s="101">
        <v>29.990845825994565</v>
      </c>
      <c r="AL54" s="101">
        <v>38.670634174005414</v>
      </c>
      <c r="AM54" s="93"/>
      <c r="AN54" s="74" t="s">
        <v>119</v>
      </c>
      <c r="AS54" s="151">
        <f t="shared" ref="AS54:AU58" si="54">ABS(AS14/$AR14)</f>
        <v>8.7831393308124856E-3</v>
      </c>
      <c r="AT54" s="151">
        <f t="shared" si="54"/>
        <v>0.870933394263676</v>
      </c>
      <c r="AU54" s="151">
        <f t="shared" si="54"/>
        <v>0.67721154980792397</v>
      </c>
      <c r="AV54" s="163" t="s">
        <v>19</v>
      </c>
      <c r="AW54" s="100"/>
      <c r="AX54" s="100" t="s">
        <v>119</v>
      </c>
      <c r="AY54" s="101">
        <v>1.6333333333333333</v>
      </c>
      <c r="AZ54" s="101">
        <v>0.13971036410953458</v>
      </c>
      <c r="BA54" s="101">
        <v>1.3574578085585309</v>
      </c>
      <c r="BB54" s="101">
        <v>1.9092088581081357</v>
      </c>
      <c r="BC54" s="93"/>
      <c r="BD54" s="74" t="s">
        <v>119</v>
      </c>
      <c r="BI54" s="151">
        <f t="shared" ref="BI54:BK58" si="55">ABS(BI14/$AB14)</f>
        <v>5.2128671781686925E-2</v>
      </c>
      <c r="BJ54" s="151">
        <f t="shared" si="55"/>
        <v>1.3984441842301324E-3</v>
      </c>
      <c r="BK54" s="151">
        <f t="shared" si="55"/>
        <v>7.1866712553393636E-2</v>
      </c>
      <c r="BL54" s="163" t="s">
        <v>19</v>
      </c>
    </row>
    <row r="55" spans="1:64" x14ac:dyDescent="0.2">
      <c r="A55" s="100"/>
      <c r="B55" s="100" t="s">
        <v>120</v>
      </c>
      <c r="C55" s="101">
        <v>9.7054311111111122</v>
      </c>
      <c r="D55" s="101">
        <v>0.90979312926894584</v>
      </c>
      <c r="E55" s="101">
        <v>7.9090131204915686</v>
      </c>
      <c r="F55" s="101">
        <v>11.501849101730656</v>
      </c>
      <c r="G55" s="93"/>
      <c r="H55" s="74" t="s">
        <v>120</v>
      </c>
      <c r="M55" s="151">
        <f t="shared" si="52"/>
        <v>0.23688516041994576</v>
      </c>
      <c r="N55" s="151">
        <f t="shared" si="52"/>
        <v>0.10206884816492463</v>
      </c>
      <c r="O55" s="151">
        <f t="shared" si="52"/>
        <v>0.21261742069976947</v>
      </c>
      <c r="P55" s="169" t="s">
        <v>21</v>
      </c>
      <c r="Q55" s="74"/>
      <c r="R55" s="74" t="s">
        <v>120</v>
      </c>
      <c r="S55" s="75">
        <v>3.9797888888888902</v>
      </c>
      <c r="T55" s="75">
        <v>0.35597716405855945</v>
      </c>
      <c r="U55" s="75">
        <v>3.2768996702394033</v>
      </c>
      <c r="V55" s="75">
        <v>4.6826781075383765</v>
      </c>
      <c r="W55" s="66"/>
      <c r="X55" s="74" t="s">
        <v>120</v>
      </c>
      <c r="AC55" s="151">
        <f t="shared" si="53"/>
        <v>5.484596182768102E-2</v>
      </c>
      <c r="AD55" s="151">
        <f t="shared" si="53"/>
        <v>0.30058461587592156</v>
      </c>
      <c r="AE55" s="151">
        <f t="shared" si="53"/>
        <v>7.7535481807670628E-2</v>
      </c>
      <c r="AF55" s="164" t="s">
        <v>21</v>
      </c>
      <c r="AG55" s="100"/>
      <c r="AH55" s="100" t="s">
        <v>120</v>
      </c>
      <c r="AI55" s="101">
        <v>32.024613333333328</v>
      </c>
      <c r="AJ55" s="101">
        <v>2.1134841149282968</v>
      </c>
      <c r="AK55" s="101">
        <v>27.851465872880851</v>
      </c>
      <c r="AL55" s="101">
        <v>36.197760793785804</v>
      </c>
      <c r="AM55" s="93"/>
      <c r="AN55" s="74" t="s">
        <v>120</v>
      </c>
      <c r="AS55" s="151">
        <f t="shared" si="54"/>
        <v>0.2572847080211233</v>
      </c>
      <c r="AT55" s="151">
        <f t="shared" si="54"/>
        <v>0.65769419296599918</v>
      </c>
      <c r="AU55" s="151">
        <f t="shared" si="54"/>
        <v>0.20016493428333473</v>
      </c>
      <c r="AV55" s="164" t="s">
        <v>21</v>
      </c>
      <c r="AW55" s="100"/>
      <c r="AX55" s="100" t="s">
        <v>120</v>
      </c>
      <c r="AY55" s="101">
        <v>1.788888888888889</v>
      </c>
      <c r="AZ55" s="101">
        <v>0.15786506013436782</v>
      </c>
      <c r="BA55" s="101">
        <v>1.4771646543572985</v>
      </c>
      <c r="BB55" s="101">
        <v>2.1006131234204792</v>
      </c>
      <c r="BC55" s="93"/>
      <c r="BD55" s="74" t="s">
        <v>120</v>
      </c>
      <c r="BI55" s="151">
        <f t="shared" si="55"/>
        <v>0.10089558718339088</v>
      </c>
      <c r="BJ55" s="151">
        <f t="shared" si="55"/>
        <v>4.2476262711501317E-2</v>
      </c>
      <c r="BK55" s="151">
        <f t="shared" si="55"/>
        <v>6.7803685882416309E-2</v>
      </c>
      <c r="BL55" s="164" t="s">
        <v>21</v>
      </c>
    </row>
    <row r="56" spans="1:64" x14ac:dyDescent="0.2">
      <c r="A56" s="100"/>
      <c r="B56" s="100" t="s">
        <v>121</v>
      </c>
      <c r="C56" s="101">
        <v>9.254895555555553</v>
      </c>
      <c r="D56" s="101">
        <v>0.72462071438385212</v>
      </c>
      <c r="E56" s="101">
        <v>7.8241069006217421</v>
      </c>
      <c r="F56" s="101">
        <v>10.685684210489363</v>
      </c>
      <c r="G56" s="93"/>
      <c r="H56" s="74" t="s">
        <v>121</v>
      </c>
      <c r="M56" s="151">
        <f t="shared" si="52"/>
        <v>0.13434282733977959</v>
      </c>
      <c r="N56" s="151">
        <f t="shared" si="52"/>
        <v>7.625256069569146E-2</v>
      </c>
      <c r="O56" s="151">
        <f t="shared" si="52"/>
        <v>8.3643697225253985E-2</v>
      </c>
      <c r="P56" s="161" t="s">
        <v>23</v>
      </c>
      <c r="Q56" s="74"/>
      <c r="R56" s="74" t="s">
        <v>121</v>
      </c>
      <c r="S56" s="75">
        <v>4.6184911111111111</v>
      </c>
      <c r="T56" s="75">
        <v>0.42798706777320794</v>
      </c>
      <c r="U56" s="75">
        <v>3.7734158477728483</v>
      </c>
      <c r="V56" s="75">
        <v>5.4635663744493739</v>
      </c>
      <c r="W56" s="66"/>
      <c r="X56" s="74" t="s">
        <v>121</v>
      </c>
      <c r="AC56" s="151">
        <f t="shared" si="53"/>
        <v>1.5435689559315709E-2</v>
      </c>
      <c r="AD56" s="151">
        <f t="shared" si="53"/>
        <v>0.41963400409764862</v>
      </c>
      <c r="AE56" s="151">
        <f t="shared" si="53"/>
        <v>0.22076226893693371</v>
      </c>
      <c r="AF56" s="161" t="s">
        <v>23</v>
      </c>
      <c r="AG56" s="100"/>
      <c r="AH56" s="100" t="s">
        <v>121</v>
      </c>
      <c r="AI56" s="101">
        <v>29.243771111111105</v>
      </c>
      <c r="AJ56" s="101">
        <v>1.5632131906509141</v>
      </c>
      <c r="AK56" s="101">
        <v>26.157152616733637</v>
      </c>
      <c r="AL56" s="101">
        <v>32.330389605488577</v>
      </c>
      <c r="AM56" s="93"/>
      <c r="AN56" s="74" t="s">
        <v>121</v>
      </c>
      <c r="AS56" s="151">
        <f t="shared" si="54"/>
        <v>8.4305919979462865E-2</v>
      </c>
      <c r="AT56" s="151">
        <f t="shared" si="54"/>
        <v>0.25769555223065377</v>
      </c>
      <c r="AU56" s="151">
        <f t="shared" si="54"/>
        <v>0.19859090862436118</v>
      </c>
      <c r="AV56" s="161" t="s">
        <v>23</v>
      </c>
      <c r="AW56" s="100"/>
      <c r="AX56" s="100" t="s">
        <v>121</v>
      </c>
      <c r="AY56" s="101">
        <v>2.2333333333333329</v>
      </c>
      <c r="AZ56" s="101">
        <v>0.11579514501262161</v>
      </c>
      <c r="BA56" s="101">
        <v>2.0046813890030895</v>
      </c>
      <c r="BB56" s="101">
        <v>2.4619852776635764</v>
      </c>
      <c r="BC56" s="93"/>
      <c r="BD56" s="74" t="s">
        <v>121</v>
      </c>
      <c r="BI56" s="151">
        <f t="shared" si="55"/>
        <v>3.2305849188614864E-2</v>
      </c>
      <c r="BJ56" s="151">
        <f t="shared" si="55"/>
        <v>3.7097625862524249E-2</v>
      </c>
      <c r="BK56" s="151">
        <f t="shared" si="55"/>
        <v>0.1057282337081942</v>
      </c>
      <c r="BL56" s="161" t="s">
        <v>23</v>
      </c>
    </row>
    <row r="57" spans="1:64" x14ac:dyDescent="0.2">
      <c r="A57" s="100"/>
      <c r="B57" s="100" t="s">
        <v>122</v>
      </c>
      <c r="C57" s="101">
        <v>8.0564755555555543</v>
      </c>
      <c r="D57" s="101">
        <v>0.67031629435896223</v>
      </c>
      <c r="E57" s="101">
        <v>6.7329128555828017</v>
      </c>
      <c r="F57" s="101">
        <v>9.3800382555283068</v>
      </c>
      <c r="G57" s="93"/>
      <c r="H57" s="74" t="s">
        <v>122</v>
      </c>
      <c r="M57" s="151">
        <f t="shared" si="52"/>
        <v>2.3552941668562102E-2</v>
      </c>
      <c r="N57" s="151">
        <f t="shared" si="52"/>
        <v>1.521825993058412E-2</v>
      </c>
      <c r="O57" s="151">
        <f t="shared" si="52"/>
        <v>3.756450602709694E-2</v>
      </c>
      <c r="P57" s="163" t="s">
        <v>25</v>
      </c>
      <c r="Q57" s="74"/>
      <c r="R57" s="74" t="s">
        <v>122</v>
      </c>
      <c r="S57" s="75">
        <v>3.651346666666667</v>
      </c>
      <c r="T57" s="75">
        <v>0.31476872551118851</v>
      </c>
      <c r="U57" s="75">
        <v>3.0298249347460819</v>
      </c>
      <c r="V57" s="75">
        <v>4.272868398587252</v>
      </c>
      <c r="W57" s="66"/>
      <c r="X57" s="74" t="s">
        <v>122</v>
      </c>
      <c r="AC57" s="151">
        <f t="shared" si="53"/>
        <v>2.424442995541079E-2</v>
      </c>
      <c r="AD57" s="151">
        <f t="shared" si="53"/>
        <v>0.55694584395313829</v>
      </c>
      <c r="AE57" s="151">
        <f t="shared" si="53"/>
        <v>0.40677810048802038</v>
      </c>
      <c r="AF57" s="163" t="s">
        <v>25</v>
      </c>
      <c r="AG57" s="100"/>
      <c r="AH57" s="100" t="s">
        <v>122</v>
      </c>
      <c r="AI57" s="101">
        <v>31.965460000000011</v>
      </c>
      <c r="AJ57" s="101">
        <v>1.6710547618193334</v>
      </c>
      <c r="AK57" s="101">
        <v>28.665904594635652</v>
      </c>
      <c r="AL57" s="101">
        <v>35.265015405364373</v>
      </c>
      <c r="AM57" s="93"/>
      <c r="AN57" s="74" t="s">
        <v>122</v>
      </c>
      <c r="AS57" s="151">
        <f t="shared" si="54"/>
        <v>9.2741474381531366E-2</v>
      </c>
      <c r="AT57" s="151">
        <f t="shared" si="54"/>
        <v>0.80247830413201315</v>
      </c>
      <c r="AU57" s="151">
        <f t="shared" si="54"/>
        <v>0.83473587680564687</v>
      </c>
      <c r="AV57" s="163" t="s">
        <v>25</v>
      </c>
      <c r="AW57" s="100"/>
      <c r="AX57" s="100" t="s">
        <v>122</v>
      </c>
      <c r="AY57" s="101">
        <v>1.8666666666666665</v>
      </c>
      <c r="AZ57" s="101">
        <v>0.13567296189225964</v>
      </c>
      <c r="BA57" s="101">
        <v>1.5987634957148376</v>
      </c>
      <c r="BB57" s="101">
        <v>2.1345698376184954</v>
      </c>
      <c r="BC57" s="93"/>
      <c r="BD57" s="74" t="s">
        <v>122</v>
      </c>
      <c r="BI57" s="151">
        <f t="shared" si="55"/>
        <v>0.13830438820065982</v>
      </c>
      <c r="BJ57" s="151">
        <f t="shared" si="55"/>
        <v>8.7610110570718588E-2</v>
      </c>
      <c r="BK57" s="151">
        <f t="shared" si="55"/>
        <v>8.6934186868986046E-2</v>
      </c>
      <c r="BL57" s="163" t="s">
        <v>25</v>
      </c>
    </row>
    <row r="58" spans="1:64" x14ac:dyDescent="0.2">
      <c r="A58" s="100"/>
      <c r="B58" s="100" t="s">
        <v>123</v>
      </c>
      <c r="C58" s="101">
        <v>9.461706666666668</v>
      </c>
      <c r="D58" s="101">
        <v>0.83694966809753057</v>
      </c>
      <c r="E58" s="101">
        <v>7.8091206087552507</v>
      </c>
      <c r="F58" s="101">
        <v>11.114292724578085</v>
      </c>
      <c r="G58" s="93"/>
      <c r="H58" s="74" t="s">
        <v>123</v>
      </c>
      <c r="M58" s="151">
        <f t="shared" si="52"/>
        <v>6.1947146703779425E-2</v>
      </c>
      <c r="N58" s="151">
        <f t="shared" si="52"/>
        <v>0.11055394934201304</v>
      </c>
      <c r="O58" s="151">
        <f t="shared" si="52"/>
        <v>8.6509118284073358E-2</v>
      </c>
      <c r="P58" s="162" t="s">
        <v>27</v>
      </c>
      <c r="Q58" s="74"/>
      <c r="R58" s="74" t="s">
        <v>123</v>
      </c>
      <c r="S58" s="75">
        <v>5.6932911111111126</v>
      </c>
      <c r="T58" s="75">
        <v>0.37308114850842711</v>
      </c>
      <c r="U58" s="75">
        <v>4.956629483780425</v>
      </c>
      <c r="V58" s="75">
        <v>6.4299527384418003</v>
      </c>
      <c r="W58" s="66"/>
      <c r="X58" s="74" t="s">
        <v>123</v>
      </c>
      <c r="AC58" s="151">
        <f t="shared" si="53"/>
        <v>0.20220844255503437</v>
      </c>
      <c r="AD58" s="151">
        <f t="shared" si="53"/>
        <v>1.2535389110707632E-2</v>
      </c>
      <c r="AE58" s="151">
        <f t="shared" si="53"/>
        <v>0.42028736874738998</v>
      </c>
      <c r="AF58" s="162" t="s">
        <v>27</v>
      </c>
      <c r="AG58" s="100"/>
      <c r="AH58" s="100" t="s">
        <v>123</v>
      </c>
      <c r="AI58" s="101">
        <v>30.070968888888892</v>
      </c>
      <c r="AJ58" s="101">
        <v>2.5311524060299675</v>
      </c>
      <c r="AK58" s="101">
        <v>25.073120946416658</v>
      </c>
      <c r="AL58" s="101">
        <v>35.068816831361126</v>
      </c>
      <c r="AM58" s="93"/>
      <c r="AN58" s="74" t="s">
        <v>123</v>
      </c>
      <c r="AS58" s="151">
        <f t="shared" si="54"/>
        <v>0.1241540659644006</v>
      </c>
      <c r="AT58" s="151">
        <f t="shared" si="54"/>
        <v>0.67849592116528235</v>
      </c>
      <c r="AU58" s="151">
        <f t="shared" si="54"/>
        <v>0.32344504947274999</v>
      </c>
      <c r="AV58" s="162" t="s">
        <v>27</v>
      </c>
      <c r="AW58" s="100"/>
      <c r="AX58" s="100" t="s">
        <v>123</v>
      </c>
      <c r="AY58" s="101">
        <v>1.5777777777777775</v>
      </c>
      <c r="AZ58" s="101">
        <v>0.14421712586554339</v>
      </c>
      <c r="BA58" s="101">
        <v>1.2930030902787324</v>
      </c>
      <c r="BB58" s="101">
        <v>1.8625524652768226</v>
      </c>
      <c r="BC58" s="93"/>
      <c r="BD58" s="74" t="s">
        <v>123</v>
      </c>
      <c r="BI58" s="151">
        <f t="shared" si="55"/>
        <v>3.6673758348077359E-2</v>
      </c>
      <c r="BJ58" s="151">
        <f t="shared" si="55"/>
        <v>5.1846010883756843E-2</v>
      </c>
      <c r="BK58" s="151">
        <f t="shared" si="55"/>
        <v>4.4989319833978608E-2</v>
      </c>
      <c r="BL58" s="162" t="s">
        <v>27</v>
      </c>
    </row>
    <row r="59" spans="1:64" x14ac:dyDescent="0.2">
      <c r="A59" s="100"/>
      <c r="B59" s="100" t="s">
        <v>124</v>
      </c>
      <c r="C59" s="101">
        <v>9.8727333333333362</v>
      </c>
      <c r="D59" s="101">
        <v>0.75712860901427204</v>
      </c>
      <c r="E59" s="101">
        <v>8.3777567164634146</v>
      </c>
      <c r="F59" s="101">
        <v>11.367709950203258</v>
      </c>
      <c r="G59" s="93"/>
      <c r="H59" s="74" t="s">
        <v>124</v>
      </c>
      <c r="M59" s="151">
        <f t="shared" ref="M59:O64" si="56">ABS(M19/$L19)</f>
        <v>9.6907285219846068E-2</v>
      </c>
      <c r="N59" s="151">
        <f t="shared" si="56"/>
        <v>7.3298699115721441E-2</v>
      </c>
      <c r="O59" s="151">
        <f t="shared" si="56"/>
        <v>0.18103336424177194</v>
      </c>
      <c r="P59" s="162" t="s">
        <v>29</v>
      </c>
      <c r="Q59" s="74"/>
      <c r="R59" s="74" t="s">
        <v>124</v>
      </c>
      <c r="S59" s="75">
        <v>5.4234600000000022</v>
      </c>
      <c r="T59" s="75">
        <v>0.4172289340465265</v>
      </c>
      <c r="U59" s="75">
        <v>4.5996270436767759</v>
      </c>
      <c r="V59" s="75">
        <v>6.2472929563232285</v>
      </c>
      <c r="W59" s="66"/>
      <c r="X59" s="74" t="s">
        <v>124</v>
      </c>
      <c r="AC59" s="151">
        <f t="shared" ref="AC59:AE64" si="57">ABS(AC19/$AB19)</f>
        <v>7.3733775654348507E-2</v>
      </c>
      <c r="AD59" s="151">
        <f t="shared" si="57"/>
        <v>3.7229496024553721E-2</v>
      </c>
      <c r="AE59" s="151">
        <f t="shared" si="57"/>
        <v>0.18707709507114301</v>
      </c>
      <c r="AF59" s="162" t="s">
        <v>29</v>
      </c>
      <c r="AG59" s="100"/>
      <c r="AH59" s="100" t="s">
        <v>124</v>
      </c>
      <c r="AI59" s="101">
        <v>23.492440000000002</v>
      </c>
      <c r="AJ59" s="101">
        <v>1.6382215680099952</v>
      </c>
      <c r="AK59" s="101">
        <v>20.257714871048027</v>
      </c>
      <c r="AL59" s="101">
        <v>26.727165128951977</v>
      </c>
      <c r="AM59" s="93"/>
      <c r="AN59" s="74" t="s">
        <v>124</v>
      </c>
      <c r="AS59" s="151">
        <f t="shared" ref="AS59:AU64" si="58">ABS(AS19/$AR19)</f>
        <v>5.8988778995750009E-2</v>
      </c>
      <c r="AT59" s="151">
        <f t="shared" si="58"/>
        <v>0.73494773518166678</v>
      </c>
      <c r="AU59" s="151">
        <f t="shared" si="58"/>
        <v>0.31088439987672434</v>
      </c>
      <c r="AV59" s="162" t="s">
        <v>29</v>
      </c>
      <c r="AW59" s="100"/>
      <c r="AX59" s="100" t="s">
        <v>124</v>
      </c>
      <c r="AY59" s="101">
        <v>2.1555555555555554</v>
      </c>
      <c r="AZ59" s="101">
        <v>0.11909512676724275</v>
      </c>
      <c r="BA59" s="101">
        <v>1.9203873860038989</v>
      </c>
      <c r="BB59" s="101">
        <v>2.390723725107212</v>
      </c>
      <c r="BC59" s="93"/>
      <c r="BD59" s="74" t="s">
        <v>124</v>
      </c>
      <c r="BI59" s="151">
        <f t="shared" ref="BI59:BK59" si="59">ABS(BI19/$AB19)</f>
        <v>6.5476380892195929E-2</v>
      </c>
      <c r="BJ59" s="151">
        <f t="shared" si="59"/>
        <v>3.9876592874194511E-2</v>
      </c>
      <c r="BK59" s="151">
        <f t="shared" si="59"/>
        <v>5.0884501721935045E-2</v>
      </c>
      <c r="BL59" s="162" t="s">
        <v>29</v>
      </c>
    </row>
    <row r="60" spans="1:64" x14ac:dyDescent="0.2">
      <c r="A60" s="100"/>
      <c r="B60" s="100" t="s">
        <v>125</v>
      </c>
      <c r="C60" s="101">
        <v>13.446280000000002</v>
      </c>
      <c r="D60" s="101">
        <v>0.89803368733880762</v>
      </c>
      <c r="E60" s="101">
        <v>11.67308143406431</v>
      </c>
      <c r="F60" s="101">
        <v>15.219478565935693</v>
      </c>
      <c r="G60" s="93"/>
      <c r="H60" s="74" t="s">
        <v>125</v>
      </c>
      <c r="M60" s="151">
        <f t="shared" si="56"/>
        <v>2.746659318762466E-2</v>
      </c>
      <c r="N60" s="151">
        <f t="shared" si="56"/>
        <v>8.0707350583047718E-2</v>
      </c>
      <c r="O60" s="151">
        <f t="shared" si="56"/>
        <v>3.4575715942282469E-3</v>
      </c>
      <c r="P60" s="159" t="s">
        <v>31</v>
      </c>
      <c r="Q60" s="74"/>
      <c r="R60" s="74" t="s">
        <v>125</v>
      </c>
      <c r="S60" s="75">
        <v>6.1726066666666668</v>
      </c>
      <c r="T60" s="75">
        <v>0.54630880477505828</v>
      </c>
      <c r="U60" s="75">
        <v>5.0939010425426785</v>
      </c>
      <c r="V60" s="75">
        <v>7.2513122907906551</v>
      </c>
      <c r="W60" s="66"/>
      <c r="X60" s="74" t="s">
        <v>125</v>
      </c>
      <c r="AC60" s="151">
        <f t="shared" si="57"/>
        <v>1.5254055075508328E-2</v>
      </c>
      <c r="AD60" s="151">
        <f t="shared" si="57"/>
        <v>0.18423496017123489</v>
      </c>
      <c r="AE60" s="151">
        <f t="shared" si="57"/>
        <v>0.20558844710381213</v>
      </c>
      <c r="AF60" s="159" t="s">
        <v>31</v>
      </c>
      <c r="AG60" s="100"/>
      <c r="AH60" s="100" t="s">
        <v>125</v>
      </c>
      <c r="AI60" s="101">
        <v>27.540879999999998</v>
      </c>
      <c r="AJ60" s="101">
        <v>1.9194840879902337</v>
      </c>
      <c r="AK60" s="101">
        <v>23.750792300454101</v>
      </c>
      <c r="AL60" s="101">
        <v>31.330967699545894</v>
      </c>
      <c r="AM60" s="93"/>
      <c r="AN60" s="74" t="s">
        <v>125</v>
      </c>
      <c r="AS60" s="151">
        <f t="shared" si="58"/>
        <v>8.5890988920791944E-2</v>
      </c>
      <c r="AT60" s="151">
        <f t="shared" si="58"/>
        <v>0.74616308194040359</v>
      </c>
      <c r="AU60" s="151">
        <f t="shared" si="58"/>
        <v>0.26185299881109519</v>
      </c>
      <c r="AV60" s="159" t="s">
        <v>31</v>
      </c>
      <c r="AW60" s="100"/>
      <c r="AX60" s="100" t="s">
        <v>125</v>
      </c>
      <c r="AY60" s="101">
        <v>1.7000000000000002</v>
      </c>
      <c r="AZ60" s="101">
        <v>0.14508092589403157</v>
      </c>
      <c r="BA60" s="101">
        <v>1.4135196316971113</v>
      </c>
      <c r="BB60" s="101">
        <v>1.9864803683028891</v>
      </c>
      <c r="BC60" s="93"/>
      <c r="BD60" s="74" t="s">
        <v>125</v>
      </c>
      <c r="BI60" s="151">
        <f t="shared" ref="BI60:BK60" si="60">ABS(BI20/$AB20)</f>
        <v>1.168537495196458E-2</v>
      </c>
      <c r="BJ60" s="151">
        <f t="shared" si="60"/>
        <v>5.3704401799913315E-2</v>
      </c>
      <c r="BK60" s="151">
        <f t="shared" si="60"/>
        <v>2.9046503452026567E-2</v>
      </c>
      <c r="BL60" s="159" t="s">
        <v>31</v>
      </c>
    </row>
    <row r="61" spans="1:64" x14ac:dyDescent="0.2">
      <c r="A61" s="100"/>
      <c r="B61" s="100" t="s">
        <v>126</v>
      </c>
      <c r="C61" s="101">
        <v>9.627151111111111</v>
      </c>
      <c r="D61" s="101">
        <v>0.64004192148603267</v>
      </c>
      <c r="E61" s="101">
        <v>8.363366207138375</v>
      </c>
      <c r="F61" s="101">
        <v>10.890936015083847</v>
      </c>
      <c r="G61" s="93"/>
      <c r="H61" s="74" t="s">
        <v>126</v>
      </c>
      <c r="M61" s="151">
        <f t="shared" si="56"/>
        <v>8.2141995817317723E-2</v>
      </c>
      <c r="N61" s="151">
        <f t="shared" si="56"/>
        <v>4.615728012829238E-3</v>
      </c>
      <c r="O61" s="151">
        <f t="shared" si="56"/>
        <v>0.14959610721389699</v>
      </c>
      <c r="P61" s="161" t="s">
        <v>33</v>
      </c>
      <c r="Q61" s="74"/>
      <c r="R61" s="74" t="s">
        <v>126</v>
      </c>
      <c r="S61" s="75">
        <v>4.3867044444444447</v>
      </c>
      <c r="T61" s="75">
        <v>0.35031160956173979</v>
      </c>
      <c r="U61" s="75">
        <v>3.6950020590403359</v>
      </c>
      <c r="V61" s="75">
        <v>5.0784068298485536</v>
      </c>
      <c r="W61" s="66"/>
      <c r="X61" s="74" t="s">
        <v>126</v>
      </c>
      <c r="AC61" s="151">
        <f t="shared" si="57"/>
        <v>1.6448086017658074E-2</v>
      </c>
      <c r="AD61" s="151">
        <f t="shared" si="57"/>
        <v>0.49186017425288897</v>
      </c>
      <c r="AE61" s="151">
        <f t="shared" si="57"/>
        <v>0.34152823225563295</v>
      </c>
      <c r="AF61" s="161" t="s">
        <v>33</v>
      </c>
      <c r="AG61" s="100"/>
      <c r="AH61" s="100" t="s">
        <v>126</v>
      </c>
      <c r="AI61" s="101">
        <v>32.336422222222232</v>
      </c>
      <c r="AJ61" s="101">
        <v>1.6966123065140082</v>
      </c>
      <c r="AK61" s="101">
        <v>28.986402561184203</v>
      </c>
      <c r="AL61" s="101">
        <v>35.686441883260265</v>
      </c>
      <c r="AM61" s="93"/>
      <c r="AN61" s="74" t="s">
        <v>126</v>
      </c>
      <c r="AS61" s="151">
        <f t="shared" si="58"/>
        <v>0.10705002962596774</v>
      </c>
      <c r="AT61" s="151">
        <f t="shared" si="58"/>
        <v>0.19020821961769321</v>
      </c>
      <c r="AU61" s="151">
        <f t="shared" si="58"/>
        <v>0.46211508849840088</v>
      </c>
      <c r="AV61" s="161" t="s">
        <v>33</v>
      </c>
      <c r="AW61" s="100"/>
      <c r="AX61" s="100" t="s">
        <v>126</v>
      </c>
      <c r="AY61" s="101">
        <v>2.1888888888888887</v>
      </c>
      <c r="AZ61" s="101">
        <v>9.9564102505230304E-2</v>
      </c>
      <c r="BA61" s="101">
        <v>1.9922871607176849</v>
      </c>
      <c r="BB61" s="101">
        <v>2.3854906170600927</v>
      </c>
      <c r="BC61" s="93"/>
      <c r="BD61" s="74" t="s">
        <v>126</v>
      </c>
      <c r="BI61" s="151">
        <f t="shared" ref="BI61:BK61" si="61">ABS(BI21/$AB21)</f>
        <v>2.1433319244846503E-2</v>
      </c>
      <c r="BJ61" s="151">
        <f t="shared" si="61"/>
        <v>4.1374010031371145E-2</v>
      </c>
      <c r="BK61" s="151">
        <f t="shared" si="61"/>
        <v>1.4637388752578057E-2</v>
      </c>
      <c r="BL61" s="161" t="s">
        <v>33</v>
      </c>
    </row>
    <row r="62" spans="1:64" x14ac:dyDescent="0.2">
      <c r="A62" s="100"/>
      <c r="B62" s="100" t="s">
        <v>127</v>
      </c>
      <c r="C62" s="101">
        <v>8.6175599999999992</v>
      </c>
      <c r="D62" s="101">
        <v>0.76833904756936244</v>
      </c>
      <c r="E62" s="101">
        <v>7.1004479845925204</v>
      </c>
      <c r="F62" s="101">
        <v>10.134672015407478</v>
      </c>
      <c r="G62" s="93"/>
      <c r="H62" s="74" t="s">
        <v>127</v>
      </c>
      <c r="M62" s="151">
        <f t="shared" si="56"/>
        <v>0.14133684350139195</v>
      </c>
      <c r="N62" s="151">
        <f t="shared" si="56"/>
        <v>9.3082102360241809E-2</v>
      </c>
      <c r="O62" s="151">
        <f t="shared" si="56"/>
        <v>0.22968335142509361</v>
      </c>
      <c r="P62" s="159" t="s">
        <v>35</v>
      </c>
      <c r="Q62" s="74"/>
      <c r="R62" s="74" t="s">
        <v>127</v>
      </c>
      <c r="S62" s="75">
        <v>4.5901377777777777</v>
      </c>
      <c r="T62" s="75">
        <v>0.40487427067451326</v>
      </c>
      <c r="U62" s="75">
        <v>3.7906995314556773</v>
      </c>
      <c r="V62" s="75">
        <v>5.3895760240998785</v>
      </c>
      <c r="W62" s="66"/>
      <c r="X62" s="74" t="s">
        <v>127</v>
      </c>
      <c r="AC62" s="151">
        <f t="shared" si="57"/>
        <v>2.588102082601023E-2</v>
      </c>
      <c r="AD62" s="151">
        <f t="shared" si="57"/>
        <v>1.50662833743654E-3</v>
      </c>
      <c r="AE62" s="151">
        <f t="shared" si="57"/>
        <v>7.4435022990643918E-2</v>
      </c>
      <c r="AF62" s="159" t="s">
        <v>35</v>
      </c>
      <c r="AG62" s="100"/>
      <c r="AH62" s="100" t="s">
        <v>127</v>
      </c>
      <c r="AI62" s="101">
        <v>34.383795555555565</v>
      </c>
      <c r="AJ62" s="101">
        <v>2.0967865455024954</v>
      </c>
      <c r="AK62" s="101">
        <v>30.243618023267121</v>
      </c>
      <c r="AL62" s="101">
        <v>38.523973087844013</v>
      </c>
      <c r="AM62" s="93"/>
      <c r="AN62" s="74" t="s">
        <v>127</v>
      </c>
      <c r="AS62" s="151">
        <f t="shared" si="58"/>
        <v>0.1617704531435662</v>
      </c>
      <c r="AT62" s="151">
        <f t="shared" si="58"/>
        <v>0.38444592134900246</v>
      </c>
      <c r="AU62" s="151">
        <f t="shared" si="58"/>
        <v>0.4945779039351022</v>
      </c>
      <c r="AV62" s="159" t="s">
        <v>35</v>
      </c>
      <c r="AW62" s="100"/>
      <c r="AX62" s="100" t="s">
        <v>127</v>
      </c>
      <c r="AY62" s="101">
        <v>1.7333333333333334</v>
      </c>
      <c r="AZ62" s="101">
        <v>0.13990179812047254</v>
      </c>
      <c r="BA62" s="101">
        <v>1.4570797982472428</v>
      </c>
      <c r="BB62" s="101">
        <v>2.009586868419424</v>
      </c>
      <c r="BC62" s="93"/>
      <c r="BD62" s="74" t="s">
        <v>127</v>
      </c>
      <c r="BI62" s="151">
        <f t="shared" ref="BI62:BK62" si="62">ABS(BI22/$AB22)</f>
        <v>1.0168276356517026E-2</v>
      </c>
      <c r="BJ62" s="151">
        <f t="shared" si="62"/>
        <v>7.2792522534388176E-3</v>
      </c>
      <c r="BK62" s="151">
        <f t="shared" si="62"/>
        <v>2.7919674063656887E-2</v>
      </c>
      <c r="BL62" s="159" t="s">
        <v>35</v>
      </c>
    </row>
    <row r="63" spans="1:64" x14ac:dyDescent="0.2">
      <c r="A63" s="100"/>
      <c r="B63" s="100" t="s">
        <v>128</v>
      </c>
      <c r="C63" s="101">
        <v>7.8675533333333316</v>
      </c>
      <c r="D63" s="101">
        <v>0.6164032570621053</v>
      </c>
      <c r="E63" s="101">
        <v>6.6504437895927433</v>
      </c>
      <c r="F63" s="101">
        <v>9.0846628770739208</v>
      </c>
      <c r="G63" s="93"/>
      <c r="H63" s="74" t="s">
        <v>128</v>
      </c>
      <c r="M63" s="151">
        <f t="shared" si="56"/>
        <v>0.15603572060271756</v>
      </c>
      <c r="N63" s="151">
        <f t="shared" si="56"/>
        <v>4.8679122499886644E-2</v>
      </c>
      <c r="O63" s="151">
        <f t="shared" si="56"/>
        <v>0.19874482428689191</v>
      </c>
      <c r="P63" s="163" t="s">
        <v>37</v>
      </c>
      <c r="Q63" s="74"/>
      <c r="R63" s="74" t="s">
        <v>128</v>
      </c>
      <c r="S63" s="75">
        <v>5.3199311111111118</v>
      </c>
      <c r="T63" s="75">
        <v>0.38865316137009176</v>
      </c>
      <c r="U63" s="75">
        <v>4.5525220059693625</v>
      </c>
      <c r="V63" s="75">
        <v>6.0873402162528611</v>
      </c>
      <c r="W63" s="66"/>
      <c r="X63" s="74" t="s">
        <v>128</v>
      </c>
      <c r="AC63" s="151">
        <f t="shared" si="57"/>
        <v>6.2723498543002909E-2</v>
      </c>
      <c r="AD63" s="151">
        <f t="shared" si="57"/>
        <v>0.14822153080992828</v>
      </c>
      <c r="AE63" s="151">
        <f t="shared" si="57"/>
        <v>0.49811010496100927</v>
      </c>
      <c r="AF63" s="163" t="s">
        <v>37</v>
      </c>
      <c r="AG63" s="100"/>
      <c r="AH63" s="100" t="s">
        <v>128</v>
      </c>
      <c r="AI63" s="101">
        <v>31.19785111111112</v>
      </c>
      <c r="AJ63" s="101">
        <v>2.2969202093064358</v>
      </c>
      <c r="AK63" s="101">
        <v>26.662502739848662</v>
      </c>
      <c r="AL63" s="101">
        <v>35.733199482373578</v>
      </c>
      <c r="AM63" s="93"/>
      <c r="AN63" s="74" t="s">
        <v>128</v>
      </c>
      <c r="AS63" s="151">
        <f t="shared" si="58"/>
        <v>9.131968090956652E-2</v>
      </c>
      <c r="AT63" s="151">
        <f t="shared" si="58"/>
        <v>0.59708267204814691</v>
      </c>
      <c r="AU63" s="151">
        <f t="shared" si="58"/>
        <v>0.49137423438415362</v>
      </c>
      <c r="AV63" s="163" t="s">
        <v>37</v>
      </c>
      <c r="AW63" s="100"/>
      <c r="AX63" s="100" t="s">
        <v>128</v>
      </c>
      <c r="AY63" s="101">
        <v>1.8000000000000003</v>
      </c>
      <c r="AZ63" s="101">
        <v>0.13247817266449657</v>
      </c>
      <c r="BA63" s="101">
        <v>1.5384053385161092</v>
      </c>
      <c r="BB63" s="101">
        <v>2.0615946614838916</v>
      </c>
      <c r="BC63" s="93"/>
      <c r="BD63" s="74" t="s">
        <v>128</v>
      </c>
      <c r="BI63" s="151">
        <f t="shared" ref="BI63:BK63" si="63">ABS(BI23/$AB23)</f>
        <v>4.5730448849169381E-2</v>
      </c>
      <c r="BJ63" s="151">
        <f t="shared" si="63"/>
        <v>3.3252750201959568E-3</v>
      </c>
      <c r="BK63" s="151">
        <f t="shared" si="63"/>
        <v>7.076185242976725E-2</v>
      </c>
      <c r="BL63" s="163" t="s">
        <v>37</v>
      </c>
    </row>
    <row r="64" spans="1:64" x14ac:dyDescent="0.2">
      <c r="A64" s="103"/>
      <c r="B64" s="103" t="s">
        <v>129</v>
      </c>
      <c r="C64" s="104">
        <v>11.125737777777779</v>
      </c>
      <c r="D64" s="104">
        <v>0.83188198016492343</v>
      </c>
      <c r="E64" s="104">
        <v>9.4831580449089525</v>
      </c>
      <c r="F64" s="104">
        <v>12.768317510646606</v>
      </c>
      <c r="G64" s="93"/>
      <c r="H64" s="77" t="s">
        <v>129</v>
      </c>
      <c r="M64" s="151">
        <f t="shared" si="56"/>
        <v>1.5240076566112756E-2</v>
      </c>
      <c r="N64" s="151">
        <f t="shared" si="56"/>
        <v>6.0617245790159272E-2</v>
      </c>
      <c r="O64" s="151">
        <f t="shared" si="56"/>
        <v>0.18900288310368413</v>
      </c>
      <c r="P64" s="162" t="s">
        <v>39</v>
      </c>
      <c r="Q64" s="77"/>
      <c r="R64" s="77" t="s">
        <v>129</v>
      </c>
      <c r="S64" s="78">
        <v>4.5042599999999995</v>
      </c>
      <c r="T64" s="78">
        <v>0.396952732781092</v>
      </c>
      <c r="U64" s="78">
        <v>3.7204631041424285</v>
      </c>
      <c r="V64" s="78">
        <v>5.2880568958575704</v>
      </c>
      <c r="W64" s="66"/>
      <c r="X64" s="77" t="s">
        <v>129</v>
      </c>
      <c r="AC64" s="151">
        <f t="shared" si="57"/>
        <v>0.18034921170816653</v>
      </c>
      <c r="AD64" s="151">
        <f t="shared" si="57"/>
        <v>0.29478542878478714</v>
      </c>
      <c r="AE64" s="151">
        <f t="shared" si="57"/>
        <v>0.25651367195882169</v>
      </c>
      <c r="AF64" s="162" t="s">
        <v>39</v>
      </c>
      <c r="AG64" s="103"/>
      <c r="AH64" s="103" t="s">
        <v>129</v>
      </c>
      <c r="AI64" s="104">
        <v>26.976391111111106</v>
      </c>
      <c r="AJ64" s="104">
        <v>1.695460042016423</v>
      </c>
      <c r="AK64" s="104">
        <v>23.628646636164092</v>
      </c>
      <c r="AL64" s="104">
        <v>30.324135586058119</v>
      </c>
      <c r="AM64" s="93"/>
      <c r="AN64" s="77" t="s">
        <v>129</v>
      </c>
      <c r="AS64" s="151">
        <f t="shared" si="58"/>
        <v>0.21780878847041527</v>
      </c>
      <c r="AT64" s="151">
        <f t="shared" si="58"/>
        <v>0.41274709315332503</v>
      </c>
      <c r="AU64" s="151">
        <f t="shared" si="58"/>
        <v>0.38450499428254953</v>
      </c>
      <c r="AV64" s="162" t="s">
        <v>39</v>
      </c>
      <c r="AW64" s="103"/>
      <c r="AX64" s="103" t="s">
        <v>129</v>
      </c>
      <c r="AY64" s="104">
        <v>2.0222222222222226</v>
      </c>
      <c r="AZ64" s="104">
        <v>0.12153666682059329</v>
      </c>
      <c r="BA64" s="104">
        <v>1.7822329275681454</v>
      </c>
      <c r="BB64" s="104">
        <v>2.2622115168762997</v>
      </c>
      <c r="BC64" s="93"/>
      <c r="BD64" s="77" t="s">
        <v>129</v>
      </c>
      <c r="BI64" s="151">
        <f t="shared" ref="BI64:BK64" si="64">ABS(BI24/$AB24)</f>
        <v>8.4403638225978364E-2</v>
      </c>
      <c r="BJ64" s="151">
        <f t="shared" si="64"/>
        <v>7.529316523282179E-4</v>
      </c>
      <c r="BK64" s="151">
        <f t="shared" si="64"/>
        <v>3.4810540059301759E-2</v>
      </c>
      <c r="BL64" s="162" t="s">
        <v>39</v>
      </c>
    </row>
    <row r="65" spans="1:63" x14ac:dyDescent="0.2">
      <c r="A65" s="103" t="s">
        <v>110</v>
      </c>
      <c r="B65" s="100" t="s">
        <v>106</v>
      </c>
      <c r="C65" s="101">
        <v>14.480000000000006</v>
      </c>
      <c r="D65" s="101">
        <v>0.9437331635068783</v>
      </c>
      <c r="E65" s="101">
        <v>12.616566238271862</v>
      </c>
      <c r="F65" s="101">
        <v>16.34343376172815</v>
      </c>
      <c r="G65" s="93"/>
      <c r="L65" s="152" t="s">
        <v>55</v>
      </c>
      <c r="M65" s="165">
        <f>AVERAGE(M45:M64)</f>
        <v>0.1000195222731462</v>
      </c>
      <c r="N65" s="165">
        <f t="shared" ref="N65" si="65">AVERAGE(N45:N64)</f>
        <v>5.6093400223002784E-2</v>
      </c>
      <c r="O65" s="165">
        <f t="shared" ref="O65" si="66">AVERAGE(O45:O64)</f>
        <v>0.12912055161641589</v>
      </c>
      <c r="Q65" s="77" t="s">
        <v>110</v>
      </c>
      <c r="R65" s="74" t="s">
        <v>106</v>
      </c>
      <c r="S65" s="75">
        <v>5.005105128205134</v>
      </c>
      <c r="T65" s="75">
        <v>0.48085247227930789</v>
      </c>
      <c r="U65" s="75">
        <v>4.0556452958028597</v>
      </c>
      <c r="V65" s="75">
        <v>5.9545649606074083</v>
      </c>
      <c r="W65" s="66"/>
      <c r="AB65" s="152" t="s">
        <v>55</v>
      </c>
      <c r="AC65" s="165">
        <f>AVERAGE(AC45:AC64)</f>
        <v>0.10864169004673968</v>
      </c>
      <c r="AD65" s="165">
        <f t="shared" ref="AD65" si="67">AVERAGE(AD45:AD64)</f>
        <v>0.20720269364586286</v>
      </c>
      <c r="AE65" s="165">
        <f t="shared" ref="AE65" si="68">AVERAGE(AE45:AE64)</f>
        <v>0.20251678014477426</v>
      </c>
      <c r="AG65" s="103" t="s">
        <v>110</v>
      </c>
      <c r="AH65" s="100" t="s">
        <v>106</v>
      </c>
      <c r="AI65" s="101">
        <v>24.891982051282067</v>
      </c>
      <c r="AJ65" s="101">
        <v>2.1973645525578309</v>
      </c>
      <c r="AK65" s="101">
        <v>20.553209766491975</v>
      </c>
      <c r="AL65" s="101">
        <v>29.23075433607216</v>
      </c>
      <c r="AM65" s="93"/>
      <c r="AR65" s="152" t="s">
        <v>55</v>
      </c>
      <c r="AS65" s="165">
        <f>AVERAGE(AS45:AS64)</f>
        <v>0.11474674508432076</v>
      </c>
      <c r="AT65" s="165">
        <f t="shared" ref="AT65:AU65" si="69">AVERAGE(AT45:AT64)</f>
        <v>0.54983031259693371</v>
      </c>
      <c r="AU65" s="165">
        <f t="shared" si="69"/>
        <v>0.42249908747659337</v>
      </c>
      <c r="AW65" s="103" t="s">
        <v>110</v>
      </c>
      <c r="AX65" s="100" t="s">
        <v>106</v>
      </c>
      <c r="AY65" s="101">
        <v>0.47435897435897456</v>
      </c>
      <c r="AZ65" s="101">
        <v>0.20090874104344977</v>
      </c>
      <c r="BA65" s="101">
        <v>7.7639627727309479E-2</v>
      </c>
      <c r="BB65" s="101">
        <v>0.87107832099063964</v>
      </c>
      <c r="BC65" s="93"/>
      <c r="BH65" s="152" t="s">
        <v>55</v>
      </c>
      <c r="BI65" s="165">
        <f>AVERAGE(BI45:BI64)</f>
        <v>5.1479863011009146E-2</v>
      </c>
      <c r="BJ65" s="165">
        <f t="shared" ref="BJ65" si="70">AVERAGE(BJ45:BJ64)</f>
        <v>3.2015498107721863E-2</v>
      </c>
      <c r="BK65" s="165">
        <f t="shared" ref="BK65" si="71">AVERAGE(BK45:BK64)</f>
        <v>4.7793536320624004E-2</v>
      </c>
    </row>
    <row r="66" spans="1:63" x14ac:dyDescent="0.2">
      <c r="A66" s="99"/>
      <c r="B66" s="100" t="s">
        <v>111</v>
      </c>
      <c r="C66" s="101">
        <v>10.788858974358956</v>
      </c>
      <c r="D66" s="101">
        <v>0.74363822238013266</v>
      </c>
      <c r="E66" s="101">
        <v>9.3205195923398332</v>
      </c>
      <c r="F66" s="101">
        <v>12.257198356378078</v>
      </c>
      <c r="G66" s="93"/>
      <c r="Q66" s="73"/>
      <c r="R66" s="74" t="s">
        <v>111</v>
      </c>
      <c r="S66" s="75">
        <v>5.5472230769230739</v>
      </c>
      <c r="T66" s="75">
        <v>0.47963497710840519</v>
      </c>
      <c r="U66" s="75">
        <v>4.600167230831687</v>
      </c>
      <c r="V66" s="75">
        <v>6.4942789230144609</v>
      </c>
      <c r="W66" s="66"/>
      <c r="AG66" s="99"/>
      <c r="AH66" s="100" t="s">
        <v>111</v>
      </c>
      <c r="AI66" s="101">
        <v>21.875558974358917</v>
      </c>
      <c r="AJ66" s="101">
        <v>2.26800746233106</v>
      </c>
      <c r="AK66" s="101">
        <v>17.39729982168237</v>
      </c>
      <c r="AL66" s="101">
        <v>26.353818127035463</v>
      </c>
      <c r="AM66" s="93"/>
      <c r="AW66" s="99"/>
      <c r="AX66" s="100" t="s">
        <v>111</v>
      </c>
      <c r="AY66" s="101">
        <v>1.3974358974358982</v>
      </c>
      <c r="AZ66" s="101">
        <v>0.15365086814778037</v>
      </c>
      <c r="BA66" s="101">
        <v>1.0940331101585006</v>
      </c>
      <c r="BB66" s="101">
        <v>1.7008386847132959</v>
      </c>
      <c r="BC66" s="93"/>
    </row>
    <row r="67" spans="1:63" x14ac:dyDescent="0.2">
      <c r="A67" s="99"/>
      <c r="B67" s="100" t="s">
        <v>112</v>
      </c>
      <c r="C67" s="101">
        <v>10.272653846153872</v>
      </c>
      <c r="D67" s="101">
        <v>0.95718185295354041</v>
      </c>
      <c r="E67" s="101">
        <v>8.3826651821133176</v>
      </c>
      <c r="F67" s="101">
        <v>12.162642510194427</v>
      </c>
      <c r="G67" s="93"/>
      <c r="Q67" s="73"/>
      <c r="R67" s="74" t="s">
        <v>112</v>
      </c>
      <c r="S67" s="75">
        <v>3.5876974358974247</v>
      </c>
      <c r="T67" s="75">
        <v>0.39472825956597046</v>
      </c>
      <c r="U67" s="75">
        <v>2.8082928393161808</v>
      </c>
      <c r="V67" s="75">
        <v>4.3671020324786687</v>
      </c>
      <c r="W67" s="66"/>
      <c r="AG67" s="99"/>
      <c r="AH67" s="100" t="s">
        <v>112</v>
      </c>
      <c r="AI67" s="101">
        <v>25.21377948717943</v>
      </c>
      <c r="AJ67" s="101">
        <v>2.7284461286745891</v>
      </c>
      <c r="AK67" s="101">
        <v>19.826368267745661</v>
      </c>
      <c r="AL67" s="101">
        <v>30.601190706613199</v>
      </c>
      <c r="AM67" s="93"/>
      <c r="AW67" s="99"/>
      <c r="AX67" s="100" t="s">
        <v>112</v>
      </c>
      <c r="AY67" s="101">
        <v>1.2307692307692313</v>
      </c>
      <c r="AZ67" s="101">
        <v>0.15487187583721962</v>
      </c>
      <c r="BA67" s="101">
        <v>0.92495541164587824</v>
      </c>
      <c r="BB67" s="101">
        <v>1.5365830498925843</v>
      </c>
      <c r="BC67" s="93"/>
    </row>
    <row r="68" spans="1:63" x14ac:dyDescent="0.2">
      <c r="A68" s="99"/>
      <c r="B68" s="100" t="s">
        <v>113</v>
      </c>
      <c r="C68" s="101">
        <v>8.8334923076922856</v>
      </c>
      <c r="D68" s="101">
        <v>0.74969776860126036</v>
      </c>
      <c r="E68" s="101">
        <v>7.3531881421455374</v>
      </c>
      <c r="F68" s="101">
        <v>10.313796473239034</v>
      </c>
      <c r="G68" s="93"/>
      <c r="Q68" s="73"/>
      <c r="R68" s="74" t="s">
        <v>113</v>
      </c>
      <c r="S68" s="75">
        <v>4.9217948717948685</v>
      </c>
      <c r="T68" s="75">
        <v>0.40716738727133706</v>
      </c>
      <c r="U68" s="75">
        <v>4.1178287874658661</v>
      </c>
      <c r="V68" s="75">
        <v>5.7257609561238709</v>
      </c>
      <c r="W68" s="66"/>
      <c r="AG68" s="99"/>
      <c r="AH68" s="100" t="s">
        <v>113</v>
      </c>
      <c r="AI68" s="101">
        <v>20.053502564102526</v>
      </c>
      <c r="AJ68" s="101">
        <v>1.791924855337979</v>
      </c>
      <c r="AK68" s="101">
        <v>16.515284979898414</v>
      </c>
      <c r="AL68" s="101">
        <v>23.591720148306639</v>
      </c>
      <c r="AM68" s="93"/>
      <c r="AW68" s="99"/>
      <c r="AX68" s="100" t="s">
        <v>113</v>
      </c>
      <c r="AY68" s="101">
        <v>1.8333333333333335</v>
      </c>
      <c r="AZ68" s="101">
        <v>0.1289888601484184</v>
      </c>
      <c r="BA68" s="101">
        <v>1.578628754253935</v>
      </c>
      <c r="BB68" s="101">
        <v>2.088037912412732</v>
      </c>
      <c r="BC68" s="93"/>
    </row>
    <row r="69" spans="1:63" x14ac:dyDescent="0.2">
      <c r="A69" s="99"/>
      <c r="B69" s="100" t="s">
        <v>114</v>
      </c>
      <c r="C69" s="101">
        <v>7.4537128205128029</v>
      </c>
      <c r="D69" s="101">
        <v>0.62005599796559729</v>
      </c>
      <c r="E69" s="101">
        <v>6.2293908135616185</v>
      </c>
      <c r="F69" s="101">
        <v>8.6780348274639874</v>
      </c>
      <c r="G69" s="93"/>
      <c r="Q69" s="73"/>
      <c r="R69" s="74" t="s">
        <v>114</v>
      </c>
      <c r="S69" s="75">
        <v>3.6745230769230788</v>
      </c>
      <c r="T69" s="75">
        <v>0.34448259786691277</v>
      </c>
      <c r="U69" s="75">
        <v>2.9943302766534865</v>
      </c>
      <c r="V69" s="75">
        <v>4.3547158771926711</v>
      </c>
      <c r="W69" s="66"/>
      <c r="AG69" s="99"/>
      <c r="AH69" s="100" t="s">
        <v>114</v>
      </c>
      <c r="AI69" s="101">
        <v>22.729315384615354</v>
      </c>
      <c r="AJ69" s="101">
        <v>2.2056412151608176</v>
      </c>
      <c r="AK69" s="101">
        <v>18.374200543342958</v>
      </c>
      <c r="AL69" s="101">
        <v>27.084430225887751</v>
      </c>
      <c r="AM69" s="93"/>
      <c r="AW69" s="99"/>
      <c r="AX69" s="100" t="s">
        <v>114</v>
      </c>
      <c r="AY69" s="101">
        <v>1.9487179487179493</v>
      </c>
      <c r="AZ69" s="101">
        <v>0.12247131941794465</v>
      </c>
      <c r="BA69" s="101">
        <v>1.7068830660330925</v>
      </c>
      <c r="BB69" s="101">
        <v>2.190552831402806</v>
      </c>
      <c r="BC69" s="93"/>
    </row>
    <row r="70" spans="1:63" x14ac:dyDescent="0.2">
      <c r="A70" s="99"/>
      <c r="B70" s="100" t="s">
        <v>115</v>
      </c>
      <c r="C70" s="101">
        <v>17.695830769230763</v>
      </c>
      <c r="D70" s="101">
        <v>1.8543093456676496</v>
      </c>
      <c r="E70" s="101">
        <v>14.034432851873442</v>
      </c>
      <c r="F70" s="101">
        <v>21.357228686588087</v>
      </c>
      <c r="G70" s="93"/>
      <c r="Q70" s="73"/>
      <c r="R70" s="74" t="s">
        <v>115</v>
      </c>
      <c r="S70" s="75">
        <v>5.5549461538461555</v>
      </c>
      <c r="T70" s="75">
        <v>0.56738349610381611</v>
      </c>
      <c r="U70" s="75">
        <v>4.4346278230180012</v>
      </c>
      <c r="V70" s="75">
        <v>6.6752644846743099</v>
      </c>
      <c r="W70" s="66"/>
      <c r="AG70" s="99"/>
      <c r="AH70" s="100" t="s">
        <v>115</v>
      </c>
      <c r="AI70" s="101">
        <v>23.886771794871713</v>
      </c>
      <c r="AJ70" s="101">
        <v>3.2854123915381632</v>
      </c>
      <c r="AK70" s="101">
        <v>17.399611431827424</v>
      </c>
      <c r="AL70" s="101">
        <v>30.373932157916002</v>
      </c>
      <c r="AM70" s="93"/>
      <c r="AW70" s="99"/>
      <c r="AX70" s="100" t="s">
        <v>115</v>
      </c>
      <c r="AY70" s="101">
        <v>0.67948717948717952</v>
      </c>
      <c r="AZ70" s="101">
        <v>0.20434806970319383</v>
      </c>
      <c r="BA70" s="101">
        <v>0.27597644980439007</v>
      </c>
      <c r="BB70" s="101">
        <v>1.0829979091699689</v>
      </c>
      <c r="BC70" s="93"/>
    </row>
    <row r="71" spans="1:63" x14ac:dyDescent="0.2">
      <c r="A71" s="99"/>
      <c r="B71" s="100" t="s">
        <v>116</v>
      </c>
      <c r="C71" s="101">
        <v>8.6481820512820438</v>
      </c>
      <c r="D71" s="101">
        <v>0.72209860750040245</v>
      </c>
      <c r="E71" s="101">
        <v>7.2223733835936139</v>
      </c>
      <c r="F71" s="101">
        <v>10.073990718970474</v>
      </c>
      <c r="G71" s="93"/>
      <c r="Q71" s="73"/>
      <c r="R71" s="74" t="s">
        <v>116</v>
      </c>
      <c r="S71" s="75">
        <v>3.074864102564109</v>
      </c>
      <c r="T71" s="75">
        <v>0.39770216286280141</v>
      </c>
      <c r="U71" s="75">
        <v>2.2895874310980147</v>
      </c>
      <c r="V71" s="75">
        <v>3.8601407740302034</v>
      </c>
      <c r="W71" s="66"/>
      <c r="AG71" s="99"/>
      <c r="AH71" s="100" t="s">
        <v>116</v>
      </c>
      <c r="AI71" s="101">
        <v>22.247738461538411</v>
      </c>
      <c r="AJ71" s="101">
        <v>2.5009518654786298</v>
      </c>
      <c r="AK71" s="101">
        <v>17.309522530594393</v>
      </c>
      <c r="AL71" s="101">
        <v>27.185954392482429</v>
      </c>
      <c r="AM71" s="93"/>
      <c r="AW71" s="99"/>
      <c r="AX71" s="100" t="s">
        <v>116</v>
      </c>
      <c r="AY71" s="101">
        <v>1.9358974358974357</v>
      </c>
      <c r="AZ71" s="101">
        <v>0.13367232363159598</v>
      </c>
      <c r="BA71" s="101">
        <v>1.6719447745127598</v>
      </c>
      <c r="BB71" s="101">
        <v>2.1998500972821118</v>
      </c>
      <c r="BC71" s="93"/>
    </row>
    <row r="72" spans="1:63" x14ac:dyDescent="0.2">
      <c r="A72" s="99"/>
      <c r="B72" s="100" t="s">
        <v>117</v>
      </c>
      <c r="C72" s="101">
        <v>8.5613256410256326</v>
      </c>
      <c r="D72" s="101">
        <v>0.74473725925993728</v>
      </c>
      <c r="E72" s="101">
        <v>7.0908161726871937</v>
      </c>
      <c r="F72" s="101">
        <v>10.031835109364071</v>
      </c>
      <c r="G72" s="93"/>
      <c r="Q72" s="73"/>
      <c r="R72" s="74" t="s">
        <v>117</v>
      </c>
      <c r="S72" s="75">
        <v>4.4259358974359024</v>
      </c>
      <c r="T72" s="75">
        <v>0.45323732123426275</v>
      </c>
      <c r="U72" s="75">
        <v>3.5310031355896099</v>
      </c>
      <c r="V72" s="75">
        <v>5.320868659282195</v>
      </c>
      <c r="W72" s="66"/>
      <c r="AG72" s="99"/>
      <c r="AH72" s="100" t="s">
        <v>117</v>
      </c>
      <c r="AI72" s="101">
        <v>17.749741025640986</v>
      </c>
      <c r="AJ72" s="101">
        <v>1.7343923615187848</v>
      </c>
      <c r="AK72" s="101">
        <v>14.325123339718209</v>
      </c>
      <c r="AL72" s="101">
        <v>21.174358711563762</v>
      </c>
      <c r="AM72" s="93"/>
      <c r="AW72" s="99"/>
      <c r="AX72" s="100" t="s">
        <v>117</v>
      </c>
      <c r="AY72" s="101">
        <v>2.0769230769230771</v>
      </c>
      <c r="AZ72" s="101">
        <v>0.1192382107339362</v>
      </c>
      <c r="BA72" s="101">
        <v>1.8414723702479221</v>
      </c>
      <c r="BB72" s="101">
        <v>2.3123737835982321</v>
      </c>
      <c r="BC72" s="93"/>
    </row>
    <row r="73" spans="1:63" x14ac:dyDescent="0.2">
      <c r="A73" s="99"/>
      <c r="B73" s="100" t="s">
        <v>118</v>
      </c>
      <c r="C73" s="101">
        <v>10.280292307692294</v>
      </c>
      <c r="D73" s="101">
        <v>1.0400120433312328</v>
      </c>
      <c r="E73" s="101">
        <v>8.2267525688260896</v>
      </c>
      <c r="F73" s="101">
        <v>12.333832046558499</v>
      </c>
      <c r="G73" s="93"/>
      <c r="Q73" s="73"/>
      <c r="R73" s="74" t="s">
        <v>118</v>
      </c>
      <c r="S73" s="75">
        <v>3.2257692307692305</v>
      </c>
      <c r="T73" s="75">
        <v>0.3641193728505468</v>
      </c>
      <c r="U73" s="75">
        <v>2.5068029393361102</v>
      </c>
      <c r="V73" s="75">
        <v>3.9447355222023508</v>
      </c>
      <c r="W73" s="66"/>
      <c r="AG73" s="99"/>
      <c r="AH73" s="100" t="s">
        <v>118</v>
      </c>
      <c r="AI73" s="101">
        <v>19.931941025641056</v>
      </c>
      <c r="AJ73" s="101">
        <v>2.0374050576154694</v>
      </c>
      <c r="AK73" s="101">
        <v>15.909014294351435</v>
      </c>
      <c r="AL73" s="101">
        <v>23.954867756930675</v>
      </c>
      <c r="AM73" s="93"/>
      <c r="AW73" s="99"/>
      <c r="AX73" s="100" t="s">
        <v>118</v>
      </c>
      <c r="AY73" s="101">
        <v>1.6410256410256414</v>
      </c>
      <c r="AZ73" s="101">
        <v>0.16572926979902586</v>
      </c>
      <c r="BA73" s="101">
        <v>1.3137725444657788</v>
      </c>
      <c r="BB73" s="101">
        <v>1.968278737585504</v>
      </c>
      <c r="BC73" s="93"/>
    </row>
    <row r="74" spans="1:63" x14ac:dyDescent="0.2">
      <c r="A74" s="99"/>
      <c r="B74" s="100" t="s">
        <v>119</v>
      </c>
      <c r="C74" s="101">
        <v>11.65092820512819</v>
      </c>
      <c r="D74" s="101">
        <v>0.75069243913239847</v>
      </c>
      <c r="E74" s="101">
        <v>10.168660028226123</v>
      </c>
      <c r="F74" s="101">
        <v>13.133196382030258</v>
      </c>
      <c r="G74" s="93"/>
      <c r="Q74" s="73"/>
      <c r="R74" s="74" t="s">
        <v>119</v>
      </c>
      <c r="S74" s="75">
        <v>5.0663589743589865</v>
      </c>
      <c r="T74" s="75">
        <v>0.48966592223791777</v>
      </c>
      <c r="U74" s="75">
        <v>4.0994966802808435</v>
      </c>
      <c r="V74" s="75">
        <v>6.0332212684371296</v>
      </c>
      <c r="W74" s="66"/>
      <c r="AG74" s="99"/>
      <c r="AH74" s="100" t="s">
        <v>119</v>
      </c>
      <c r="AI74" s="101">
        <v>20.468938461538489</v>
      </c>
      <c r="AJ74" s="101">
        <v>2.360958481883225</v>
      </c>
      <c r="AK74" s="101">
        <v>15.807144306894944</v>
      </c>
      <c r="AL74" s="101">
        <v>25.130732616182033</v>
      </c>
      <c r="AM74" s="93"/>
      <c r="AW74" s="99"/>
      <c r="AX74" s="100" t="s">
        <v>119</v>
      </c>
      <c r="AY74" s="101">
        <v>1.2692307692307698</v>
      </c>
      <c r="AZ74" s="101">
        <v>0.150073004694454</v>
      </c>
      <c r="BA74" s="101">
        <v>0.97289291921876475</v>
      </c>
      <c r="BB74" s="101">
        <v>1.5655686192427749</v>
      </c>
      <c r="BC74" s="93"/>
    </row>
    <row r="75" spans="1:63" x14ac:dyDescent="0.2">
      <c r="A75" s="99"/>
      <c r="B75" s="100" t="s">
        <v>120</v>
      </c>
      <c r="C75" s="101">
        <v>12.326194871794861</v>
      </c>
      <c r="D75" s="101">
        <v>0.97727458825255875</v>
      </c>
      <c r="E75" s="101">
        <v>10.396532407182834</v>
      </c>
      <c r="F75" s="101">
        <v>14.255857336406889</v>
      </c>
      <c r="G75" s="93"/>
      <c r="Q75" s="73"/>
      <c r="R75" s="74" t="s">
        <v>120</v>
      </c>
      <c r="S75" s="75">
        <v>3.6934179487179457</v>
      </c>
      <c r="T75" s="75">
        <v>0.38238081300106463</v>
      </c>
      <c r="U75" s="75">
        <v>2.9383938123026669</v>
      </c>
      <c r="V75" s="75">
        <v>4.448442085133224</v>
      </c>
      <c r="W75" s="66"/>
      <c r="AG75" s="99"/>
      <c r="AH75" s="100" t="s">
        <v>120</v>
      </c>
      <c r="AI75" s="101">
        <v>26.683510256410276</v>
      </c>
      <c r="AJ75" s="101">
        <v>2.270246116119329</v>
      </c>
      <c r="AK75" s="101">
        <v>22.200830804425419</v>
      </c>
      <c r="AL75" s="101">
        <v>31.166189708395134</v>
      </c>
      <c r="AM75" s="93"/>
      <c r="AW75" s="99"/>
      <c r="AX75" s="100" t="s">
        <v>120</v>
      </c>
      <c r="AY75" s="101">
        <v>1.538461538461539</v>
      </c>
      <c r="AZ75" s="101">
        <v>0.16957427648002549</v>
      </c>
      <c r="BA75" s="101">
        <v>1.2036159970415961</v>
      </c>
      <c r="BB75" s="101">
        <v>1.8733070798814819</v>
      </c>
      <c r="BC75" s="93"/>
    </row>
    <row r="76" spans="1:63" x14ac:dyDescent="0.2">
      <c r="A76" s="99"/>
      <c r="B76" s="100" t="s">
        <v>121</v>
      </c>
      <c r="C76" s="101">
        <v>10.099669230769228</v>
      </c>
      <c r="D76" s="101">
        <v>0.778367507411034</v>
      </c>
      <c r="E76" s="101">
        <v>8.5627556746617657</v>
      </c>
      <c r="F76" s="101">
        <v>11.636582786876691</v>
      </c>
      <c r="G76" s="93"/>
      <c r="Q76" s="73"/>
      <c r="R76" s="74" t="s">
        <v>121</v>
      </c>
      <c r="S76" s="75">
        <v>3.78328461538461</v>
      </c>
      <c r="T76" s="75">
        <v>0.45973185769337543</v>
      </c>
      <c r="U76" s="75">
        <v>2.8755281667456294</v>
      </c>
      <c r="V76" s="75">
        <v>4.6910410640235902</v>
      </c>
      <c r="W76" s="66"/>
      <c r="AG76" s="99"/>
      <c r="AH76" s="100" t="s">
        <v>121</v>
      </c>
      <c r="AI76" s="101">
        <v>24.398458974358959</v>
      </c>
      <c r="AJ76" s="101">
        <v>1.6791603256796388</v>
      </c>
      <c r="AK76" s="101">
        <v>21.082898852895603</v>
      </c>
      <c r="AL76" s="101">
        <v>27.714019095822316</v>
      </c>
      <c r="AM76" s="93"/>
      <c r="AW76" s="99"/>
      <c r="AX76" s="100" t="s">
        <v>121</v>
      </c>
      <c r="AY76" s="101">
        <v>1.8333333333333333</v>
      </c>
      <c r="AZ76" s="101">
        <v>0.1243839385276371</v>
      </c>
      <c r="BA76" s="101">
        <v>1.5877217458639477</v>
      </c>
      <c r="BB76" s="101">
        <v>2.0789449208027189</v>
      </c>
      <c r="BC76" s="93"/>
    </row>
    <row r="77" spans="1:63" x14ac:dyDescent="0.2">
      <c r="A77" s="99"/>
      <c r="B77" s="100" t="s">
        <v>122</v>
      </c>
      <c r="C77" s="101">
        <v>7.7647948717948454</v>
      </c>
      <c r="D77" s="101">
        <v>0.72003520305217139</v>
      </c>
      <c r="E77" s="101">
        <v>6.3430604675334266</v>
      </c>
      <c r="F77" s="101">
        <v>9.1865292760562642</v>
      </c>
      <c r="G77" s="93"/>
      <c r="Q77" s="73"/>
      <c r="R77" s="74" t="s">
        <v>122</v>
      </c>
      <c r="S77" s="75">
        <v>2.5955384615384554</v>
      </c>
      <c r="T77" s="75">
        <v>0.3381158493314963</v>
      </c>
      <c r="U77" s="75">
        <v>1.9279170263878358</v>
      </c>
      <c r="V77" s="75">
        <v>3.2631598966890749</v>
      </c>
      <c r="W77" s="66"/>
      <c r="AG77" s="99"/>
      <c r="AH77" s="100" t="s">
        <v>122</v>
      </c>
      <c r="AI77" s="101">
        <v>17.422376923076925</v>
      </c>
      <c r="AJ77" s="101">
        <v>1.7950007554098695</v>
      </c>
      <c r="AK77" s="101">
        <v>13.878085867828982</v>
      </c>
      <c r="AL77" s="101">
        <v>20.966667978324868</v>
      </c>
      <c r="AM77" s="93"/>
      <c r="AW77" s="99"/>
      <c r="AX77" s="100" t="s">
        <v>122</v>
      </c>
      <c r="AY77" s="101">
        <v>1.6410256410256419</v>
      </c>
      <c r="AZ77" s="101">
        <v>0.14573613902404844</v>
      </c>
      <c r="BA77" s="101">
        <v>1.3532514727442415</v>
      </c>
      <c r="BB77" s="101">
        <v>1.9287998093070422</v>
      </c>
      <c r="BC77" s="93"/>
    </row>
    <row r="78" spans="1:63" x14ac:dyDescent="0.2">
      <c r="A78" s="99"/>
      <c r="B78" s="100" t="s">
        <v>123</v>
      </c>
      <c r="C78" s="101">
        <v>10.357746153846151</v>
      </c>
      <c r="D78" s="101">
        <v>0.89902815922051227</v>
      </c>
      <c r="E78" s="101">
        <v>8.5825839687953156</v>
      </c>
      <c r="F78" s="101">
        <v>12.132908338896986</v>
      </c>
      <c r="G78" s="93"/>
      <c r="Q78" s="73"/>
      <c r="R78" s="74" t="s">
        <v>123</v>
      </c>
      <c r="S78" s="75">
        <v>4.0085487179487211</v>
      </c>
      <c r="T78" s="75">
        <v>0.40075343950589881</v>
      </c>
      <c r="U78" s="75">
        <v>3.217247195250323</v>
      </c>
      <c r="V78" s="75">
        <v>4.7998502406471193</v>
      </c>
      <c r="W78" s="66"/>
      <c r="AG78" s="99"/>
      <c r="AH78" s="100" t="s">
        <v>123</v>
      </c>
      <c r="AI78" s="101">
        <v>22.721735897435959</v>
      </c>
      <c r="AJ78" s="101">
        <v>2.718893829628136</v>
      </c>
      <c r="AK78" s="101">
        <v>17.353186022748346</v>
      </c>
      <c r="AL78" s="101">
        <v>28.090285772123572</v>
      </c>
      <c r="AM78" s="93"/>
      <c r="AW78" s="99"/>
      <c r="AX78" s="100" t="s">
        <v>123</v>
      </c>
      <c r="AY78" s="101">
        <v>1.3974358974358976</v>
      </c>
      <c r="AZ78" s="101">
        <v>0.15491404338529899</v>
      </c>
      <c r="BA78" s="101">
        <v>1.0915388132339012</v>
      </c>
      <c r="BB78" s="101">
        <v>1.7033329816378939</v>
      </c>
      <c r="BC78" s="93"/>
    </row>
    <row r="79" spans="1:63" x14ac:dyDescent="0.2">
      <c r="A79" s="99"/>
      <c r="B79" s="100" t="s">
        <v>124</v>
      </c>
      <c r="C79" s="101">
        <v>8.359402564102556</v>
      </c>
      <c r="D79" s="101">
        <v>0.81328658771385953</v>
      </c>
      <c r="E79" s="101">
        <v>6.7535400765800038</v>
      </c>
      <c r="F79" s="101">
        <v>9.9652650516251082</v>
      </c>
      <c r="G79" s="93"/>
      <c r="Q79" s="73"/>
      <c r="R79" s="74" t="s">
        <v>124</v>
      </c>
      <c r="S79" s="75">
        <v>4.568751282051287</v>
      </c>
      <c r="T79" s="75">
        <v>0.44817576832550265</v>
      </c>
      <c r="U79" s="75">
        <v>3.6838127314308755</v>
      </c>
      <c r="V79" s="75">
        <v>5.4536898326716985</v>
      </c>
      <c r="W79" s="66"/>
      <c r="AG79" s="99"/>
      <c r="AH79" s="100" t="s">
        <v>124</v>
      </c>
      <c r="AI79" s="101">
        <v>17.92106153846154</v>
      </c>
      <c r="AJ79" s="101">
        <v>1.7597322477362396</v>
      </c>
      <c r="AK79" s="101">
        <v>14.446409371054092</v>
      </c>
      <c r="AL79" s="101">
        <v>21.395713705868989</v>
      </c>
      <c r="AM79" s="93"/>
      <c r="AW79" s="99"/>
      <c r="AX79" s="100" t="s">
        <v>124</v>
      </c>
      <c r="AY79" s="101">
        <v>1.9230769230769238</v>
      </c>
      <c r="AZ79" s="101">
        <v>0.1279286875554515</v>
      </c>
      <c r="BA79" s="101">
        <v>1.6704657869020709</v>
      </c>
      <c r="BB79" s="101">
        <v>2.1756880592517769</v>
      </c>
      <c r="BC79" s="93"/>
    </row>
    <row r="80" spans="1:63" x14ac:dyDescent="0.2">
      <c r="A80" s="99"/>
      <c r="B80" s="100" t="s">
        <v>125</v>
      </c>
      <c r="C80" s="101">
        <v>13.399948717948707</v>
      </c>
      <c r="D80" s="101">
        <v>0.96464292133769636</v>
      </c>
      <c r="E80" s="101">
        <v>11.495227916410796</v>
      </c>
      <c r="F80" s="101">
        <v>15.304669519486618</v>
      </c>
      <c r="G80" s="93"/>
      <c r="Q80" s="73"/>
      <c r="R80" s="74" t="s">
        <v>125</v>
      </c>
      <c r="S80" s="75">
        <v>5.1199948717948764</v>
      </c>
      <c r="T80" s="75">
        <v>0.58682979137718583</v>
      </c>
      <c r="U80" s="75">
        <v>3.9612791585771103</v>
      </c>
      <c r="V80" s="75">
        <v>6.278710585012643</v>
      </c>
      <c r="W80" s="66"/>
      <c r="AG80" s="99"/>
      <c r="AH80" s="100" t="s">
        <v>125</v>
      </c>
      <c r="AI80" s="101">
        <v>21.825743589743599</v>
      </c>
      <c r="AJ80" s="101">
        <v>2.0618566588377325</v>
      </c>
      <c r="AK80" s="101">
        <v>17.754536326405528</v>
      </c>
      <c r="AL80" s="101">
        <v>25.89695085308167</v>
      </c>
      <c r="AM80" s="93"/>
      <c r="AW80" s="99"/>
      <c r="AX80" s="100" t="s">
        <v>125</v>
      </c>
      <c r="AY80" s="101">
        <v>1.551282051282052</v>
      </c>
      <c r="AZ80" s="101">
        <v>0.15584191345819309</v>
      </c>
      <c r="BA80" s="101">
        <v>1.2435527719890616</v>
      </c>
      <c r="BB80" s="101">
        <v>1.8590113305750424</v>
      </c>
      <c r="BC80" s="93"/>
    </row>
    <row r="81" spans="1:55" x14ac:dyDescent="0.2">
      <c r="A81" s="99"/>
      <c r="B81" s="100" t="s">
        <v>126</v>
      </c>
      <c r="C81" s="101">
        <v>8.3743769230769125</v>
      </c>
      <c r="D81" s="101">
        <v>0.68751530997739019</v>
      </c>
      <c r="E81" s="101">
        <v>7.0168541720948534</v>
      </c>
      <c r="F81" s="101">
        <v>9.7318996740589725</v>
      </c>
      <c r="G81" s="93"/>
      <c r="Q81" s="73"/>
      <c r="R81" s="74" t="s">
        <v>126</v>
      </c>
      <c r="S81" s="75">
        <v>3.2699307692307609</v>
      </c>
      <c r="T81" s="75">
        <v>0.37629503123378433</v>
      </c>
      <c r="U81" s="75">
        <v>2.5269232193361031</v>
      </c>
      <c r="V81" s="75">
        <v>4.0129383191254187</v>
      </c>
      <c r="W81" s="66"/>
      <c r="AG81" s="99"/>
      <c r="AH81" s="100" t="s">
        <v>126</v>
      </c>
      <c r="AI81" s="101">
        <v>22.116194871794868</v>
      </c>
      <c r="AJ81" s="101">
        <v>1.8224539622595457</v>
      </c>
      <c r="AK81" s="101">
        <v>18.517696510404058</v>
      </c>
      <c r="AL81" s="101">
        <v>25.714693233185677</v>
      </c>
      <c r="AM81" s="93"/>
      <c r="AW81" s="99"/>
      <c r="AX81" s="100" t="s">
        <v>126</v>
      </c>
      <c r="AY81" s="101">
        <v>2.1410256410256414</v>
      </c>
      <c r="AZ81" s="101">
        <v>0.10694900208657329</v>
      </c>
      <c r="BA81" s="101">
        <v>1.9298415083177567</v>
      </c>
      <c r="BB81" s="101">
        <v>2.3522097737335264</v>
      </c>
      <c r="BC81" s="93"/>
    </row>
    <row r="82" spans="1:55" x14ac:dyDescent="0.2">
      <c r="A82" s="99"/>
      <c r="B82" s="100" t="s">
        <v>127</v>
      </c>
      <c r="C82" s="101">
        <v>11.187035897435909</v>
      </c>
      <c r="D82" s="101">
        <v>0.82532853040456755</v>
      </c>
      <c r="E82" s="101">
        <v>9.5573961777100536</v>
      </c>
      <c r="F82" s="101">
        <v>12.816675617161764</v>
      </c>
      <c r="G82" s="93"/>
      <c r="Q82" s="73"/>
      <c r="R82" s="74" t="s">
        <v>127</v>
      </c>
      <c r="S82" s="75">
        <v>4.9592820512820444</v>
      </c>
      <c r="T82" s="75">
        <v>0.43490473101882937</v>
      </c>
      <c r="U82" s="75">
        <v>4.1005476226811606</v>
      </c>
      <c r="V82" s="75">
        <v>5.8180164798829281</v>
      </c>
      <c r="W82" s="66"/>
      <c r="AG82" s="99"/>
      <c r="AH82" s="100" t="s">
        <v>127</v>
      </c>
      <c r="AI82" s="101">
        <v>23.005689743589695</v>
      </c>
      <c r="AJ82" s="101">
        <v>2.2523100493801449</v>
      </c>
      <c r="AK82" s="101">
        <v>18.558425675536252</v>
      </c>
      <c r="AL82" s="101">
        <v>27.452953811643138</v>
      </c>
      <c r="AM82" s="93"/>
      <c r="AW82" s="99"/>
      <c r="AX82" s="100" t="s">
        <v>127</v>
      </c>
      <c r="AY82" s="101">
        <v>1.8717948717948718</v>
      </c>
      <c r="AZ82" s="101">
        <v>0.15027863780839854</v>
      </c>
      <c r="BA82" s="101">
        <v>1.5750509735731859</v>
      </c>
      <c r="BB82" s="101">
        <v>2.1685387700165579</v>
      </c>
      <c r="BC82" s="93"/>
    </row>
    <row r="83" spans="1:55" x14ac:dyDescent="0.2">
      <c r="A83" s="99"/>
      <c r="B83" s="100" t="s">
        <v>128</v>
      </c>
      <c r="C83" s="101">
        <v>9.8190358974359171</v>
      </c>
      <c r="D83" s="101">
        <v>0.66212331118278844</v>
      </c>
      <c r="E83" s="101">
        <v>8.5116505260239421</v>
      </c>
      <c r="F83" s="101">
        <v>11.126421268847892</v>
      </c>
      <c r="G83" s="93"/>
      <c r="Q83" s="73"/>
      <c r="R83" s="74" t="s">
        <v>128</v>
      </c>
      <c r="S83" s="75">
        <v>3.5510948717948683</v>
      </c>
      <c r="T83" s="75">
        <v>0.41748046454935595</v>
      </c>
      <c r="U83" s="75">
        <v>2.7267652597969221</v>
      </c>
      <c r="V83" s="75">
        <v>4.3754244837928145</v>
      </c>
      <c r="W83" s="66"/>
      <c r="AG83" s="99"/>
      <c r="AH83" s="100" t="s">
        <v>128</v>
      </c>
      <c r="AI83" s="101">
        <v>20.918861538461488</v>
      </c>
      <c r="AJ83" s="101">
        <v>2.4672880895491582</v>
      </c>
      <c r="AK83" s="101">
        <v>16.047115897044147</v>
      </c>
      <c r="AL83" s="101">
        <v>25.79060717987883</v>
      </c>
      <c r="AM83" s="93"/>
      <c r="AW83" s="99"/>
      <c r="AX83" s="100" t="s">
        <v>128</v>
      </c>
      <c r="AY83" s="101">
        <v>2.051282051282052</v>
      </c>
      <c r="AZ83" s="101">
        <v>0.14230438489591529</v>
      </c>
      <c r="BA83" s="101">
        <v>1.7702843091951648</v>
      </c>
      <c r="BB83" s="101">
        <v>2.3322797933689392</v>
      </c>
      <c r="BC83" s="93"/>
    </row>
    <row r="84" spans="1:55" ht="15" thickBot="1" x14ac:dyDescent="0.25">
      <c r="A84" s="105"/>
      <c r="B84" s="106" t="s">
        <v>129</v>
      </c>
      <c r="C84" s="107">
        <v>9.3571999999999882</v>
      </c>
      <c r="D84" s="107">
        <v>0.89358458916221695</v>
      </c>
      <c r="E84" s="107">
        <v>7.5927863322453621</v>
      </c>
      <c r="F84" s="107">
        <v>11.121613667754614</v>
      </c>
      <c r="G84" s="93"/>
      <c r="Q84" s="79"/>
      <c r="R84" s="80" t="s">
        <v>129</v>
      </c>
      <c r="S84" s="81">
        <v>3.584728205128207</v>
      </c>
      <c r="T84" s="81">
        <v>0.42639563435271044</v>
      </c>
      <c r="U84" s="81">
        <v>2.7427952821038923</v>
      </c>
      <c r="V84" s="81">
        <v>4.4266611281525217</v>
      </c>
      <c r="W84" s="66"/>
      <c r="AG84" s="105"/>
      <c r="AH84" s="106" t="s">
        <v>129</v>
      </c>
      <c r="AI84" s="107">
        <v>19.484502564102538</v>
      </c>
      <c r="AJ84" s="107">
        <v>1.821216231641223</v>
      </c>
      <c r="AK84" s="107">
        <v>15.888448144613205</v>
      </c>
      <c r="AL84" s="107">
        <v>23.080556983591869</v>
      </c>
      <c r="AM84" s="93"/>
      <c r="AW84" s="105"/>
      <c r="AX84" s="106" t="s">
        <v>129</v>
      </c>
      <c r="AY84" s="107">
        <v>1.8974358974358982</v>
      </c>
      <c r="AZ84" s="107">
        <v>0.13055132227710256</v>
      </c>
      <c r="BA84" s="107">
        <v>1.6396460421678731</v>
      </c>
      <c r="BB84" s="107">
        <v>2.1552257527039234</v>
      </c>
      <c r="BC84" s="93"/>
    </row>
    <row r="85" spans="1:55" ht="15" thickTop="1" x14ac:dyDescent="0.2"/>
  </sheetData>
  <sortState xmlns:xlrd2="http://schemas.microsoft.com/office/spreadsheetml/2017/richdata2" ref="BN6:BT24">
    <sortCondition ref="BT4:BT24"/>
  </sortState>
  <mergeCells count="12">
    <mergeCell ref="A1:F1"/>
    <mergeCell ref="B2:G2"/>
    <mergeCell ref="D3:D4"/>
    <mergeCell ref="AW1:BB1"/>
    <mergeCell ref="AX2:BC2"/>
    <mergeCell ref="AZ3:AZ4"/>
    <mergeCell ref="Q1:V1"/>
    <mergeCell ref="R2:W2"/>
    <mergeCell ref="T3:T4"/>
    <mergeCell ref="AG1:AL1"/>
    <mergeCell ref="AH2:AM2"/>
    <mergeCell ref="AJ3:AJ4"/>
  </mergeCells>
  <phoneticPr fontId="1" type="noConversion"/>
  <conditionalFormatting sqref="M45:M64">
    <cfRule type="aboveAverage" dxfId="30" priority="12"/>
  </conditionalFormatting>
  <conditionalFormatting sqref="N45:N64">
    <cfRule type="aboveAverage" dxfId="29" priority="11"/>
  </conditionalFormatting>
  <conditionalFormatting sqref="O45:O64">
    <cfRule type="aboveAverage" dxfId="28" priority="10"/>
  </conditionalFormatting>
  <conditionalFormatting sqref="AC45:AC64">
    <cfRule type="aboveAverage" dxfId="27" priority="9"/>
  </conditionalFormatting>
  <conditionalFormatting sqref="AD45:AD64">
    <cfRule type="aboveAverage" dxfId="26" priority="8"/>
  </conditionalFormatting>
  <conditionalFormatting sqref="AE45:AE64">
    <cfRule type="aboveAverage" dxfId="25" priority="7"/>
  </conditionalFormatting>
  <conditionalFormatting sqref="AS45:AS64">
    <cfRule type="aboveAverage" dxfId="24" priority="6"/>
  </conditionalFormatting>
  <conditionalFormatting sqref="AT45:AT64">
    <cfRule type="aboveAverage" dxfId="23" priority="5"/>
  </conditionalFormatting>
  <conditionalFormatting sqref="AU45:AU64">
    <cfRule type="aboveAverage" dxfId="22" priority="4"/>
  </conditionalFormatting>
  <conditionalFormatting sqref="BI45:BI64">
    <cfRule type="aboveAverage" dxfId="21" priority="3"/>
  </conditionalFormatting>
  <conditionalFormatting sqref="BJ45:BJ64">
    <cfRule type="aboveAverage" dxfId="20" priority="2"/>
  </conditionalFormatting>
  <conditionalFormatting sqref="BK45:BK64">
    <cfRule type="aboveAverage" dxfId="19" priority="1"/>
  </conditionalFormatting>
  <conditionalFormatting sqref="BT5:BT24">
    <cfRule type="colorScale" priority="1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FA89-12FC-43C8-8493-553425AE0446}">
  <dimension ref="A1:AQ95"/>
  <sheetViews>
    <sheetView zoomScale="85" zoomScaleNormal="85" workbookViewId="0">
      <selection activeCell="C34" activeCellId="3" sqref="C9 C22 C27 C34"/>
    </sheetView>
  </sheetViews>
  <sheetFormatPr defaultColWidth="8.625" defaultRowHeight="11.25" x14ac:dyDescent="0.2"/>
  <cols>
    <col min="1" max="3" width="8.625" style="17"/>
    <col min="4" max="4" width="8.625" style="17" customWidth="1"/>
    <col min="5" max="23" width="8.625" style="17"/>
    <col min="24" max="24" width="8.625" style="34"/>
    <col min="25" max="16384" width="8.625" style="17"/>
  </cols>
  <sheetData>
    <row r="1" spans="1:43" ht="15.75" x14ac:dyDescent="0.2">
      <c r="A1" s="342" t="s">
        <v>134</v>
      </c>
      <c r="B1" s="343"/>
      <c r="C1" s="343"/>
      <c r="D1" s="344" t="s">
        <v>136</v>
      </c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5"/>
      <c r="X1" s="344" t="s">
        <v>139</v>
      </c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5"/>
    </row>
    <row r="2" spans="1:43" s="9" customFormat="1" x14ac:dyDescent="0.2">
      <c r="A2" s="89" t="s">
        <v>97</v>
      </c>
      <c r="C2" s="9" t="s">
        <v>46</v>
      </c>
      <c r="D2" s="10">
        <v>2</v>
      </c>
      <c r="E2" s="10">
        <v>11</v>
      </c>
      <c r="F2" s="10">
        <v>12</v>
      </c>
      <c r="G2" s="10">
        <v>18</v>
      </c>
      <c r="H2" s="10">
        <v>15</v>
      </c>
      <c r="I2" s="10">
        <v>3</v>
      </c>
      <c r="J2" s="10">
        <v>20</v>
      </c>
      <c r="K2" s="10">
        <v>19</v>
      </c>
      <c r="L2" s="10">
        <v>7</v>
      </c>
      <c r="M2" s="10">
        <v>8</v>
      </c>
      <c r="N2" s="10">
        <v>1</v>
      </c>
      <c r="O2" s="10">
        <v>16</v>
      </c>
      <c r="P2" s="10">
        <v>9</v>
      </c>
      <c r="Q2" s="10">
        <v>4</v>
      </c>
      <c r="R2" s="10">
        <v>5</v>
      </c>
      <c r="S2" s="10">
        <v>13</v>
      </c>
      <c r="T2" s="10">
        <v>17</v>
      </c>
      <c r="U2" s="10">
        <v>14</v>
      </c>
      <c r="V2" s="10">
        <v>10</v>
      </c>
      <c r="W2" s="90">
        <v>6</v>
      </c>
      <c r="X2" s="33">
        <v>2</v>
      </c>
      <c r="Y2" s="10">
        <v>11</v>
      </c>
      <c r="Z2" s="10">
        <v>12</v>
      </c>
      <c r="AA2" s="10">
        <v>18</v>
      </c>
      <c r="AB2" s="10">
        <v>15</v>
      </c>
      <c r="AC2" s="10">
        <v>3</v>
      </c>
      <c r="AD2" s="10">
        <v>20</v>
      </c>
      <c r="AE2" s="10">
        <v>19</v>
      </c>
      <c r="AF2" s="10">
        <v>7</v>
      </c>
      <c r="AG2" s="10">
        <v>8</v>
      </c>
      <c r="AH2" s="10">
        <v>1</v>
      </c>
      <c r="AI2" s="10">
        <v>16</v>
      </c>
      <c r="AJ2" s="10">
        <v>9</v>
      </c>
      <c r="AK2" s="10">
        <v>4</v>
      </c>
      <c r="AL2" s="10">
        <v>5</v>
      </c>
      <c r="AM2" s="10">
        <v>13</v>
      </c>
      <c r="AN2" s="10">
        <v>17</v>
      </c>
      <c r="AO2" s="10">
        <v>14</v>
      </c>
      <c r="AP2" s="10">
        <v>10</v>
      </c>
      <c r="AQ2" s="90">
        <v>6</v>
      </c>
    </row>
    <row r="3" spans="1:43" s="9" customFormat="1" x14ac:dyDescent="0.2">
      <c r="A3" s="89"/>
      <c r="C3" s="9" t="s">
        <v>47</v>
      </c>
      <c r="D3" s="10">
        <v>1</v>
      </c>
      <c r="E3" s="11">
        <v>2</v>
      </c>
      <c r="F3" s="11">
        <v>3</v>
      </c>
      <c r="G3" s="12">
        <v>4</v>
      </c>
      <c r="H3" s="13">
        <v>5</v>
      </c>
      <c r="I3" s="14">
        <v>6</v>
      </c>
      <c r="J3" s="10">
        <v>7</v>
      </c>
      <c r="K3" s="12">
        <v>8</v>
      </c>
      <c r="L3" s="15">
        <v>9</v>
      </c>
      <c r="M3" s="15">
        <v>10</v>
      </c>
      <c r="N3" s="16">
        <v>11</v>
      </c>
      <c r="O3" s="13">
        <v>12</v>
      </c>
      <c r="P3" s="15">
        <v>13</v>
      </c>
      <c r="Q3" s="14">
        <v>14</v>
      </c>
      <c r="R3" s="14">
        <v>15</v>
      </c>
      <c r="S3" s="11">
        <v>16</v>
      </c>
      <c r="T3" s="13">
        <v>17</v>
      </c>
      <c r="U3" s="11">
        <v>18</v>
      </c>
      <c r="V3" s="15">
        <v>19</v>
      </c>
      <c r="W3" s="91">
        <v>20</v>
      </c>
      <c r="X3" s="33">
        <v>1</v>
      </c>
      <c r="Y3" s="11">
        <v>2</v>
      </c>
      <c r="Z3" s="11">
        <v>3</v>
      </c>
      <c r="AA3" s="12">
        <v>4</v>
      </c>
      <c r="AB3" s="13">
        <v>5</v>
      </c>
      <c r="AC3" s="14">
        <v>6</v>
      </c>
      <c r="AD3" s="10">
        <v>7</v>
      </c>
      <c r="AE3" s="12">
        <v>8</v>
      </c>
      <c r="AF3" s="15">
        <v>9</v>
      </c>
      <c r="AG3" s="15">
        <v>10</v>
      </c>
      <c r="AH3" s="16">
        <v>11</v>
      </c>
      <c r="AI3" s="13">
        <v>12</v>
      </c>
      <c r="AJ3" s="15">
        <v>13</v>
      </c>
      <c r="AK3" s="14">
        <v>14</v>
      </c>
      <c r="AL3" s="14">
        <v>15</v>
      </c>
      <c r="AM3" s="11">
        <v>16</v>
      </c>
      <c r="AN3" s="13">
        <v>17</v>
      </c>
      <c r="AO3" s="11">
        <v>18</v>
      </c>
      <c r="AP3" s="15">
        <v>19</v>
      </c>
      <c r="AQ3" s="91">
        <v>20</v>
      </c>
    </row>
    <row r="4" spans="1:43" s="9" customFormat="1" x14ac:dyDescent="0.2">
      <c r="A4" s="89"/>
      <c r="D4" s="10" t="s">
        <v>0</v>
      </c>
      <c r="E4" s="11" t="s">
        <v>2</v>
      </c>
      <c r="F4" s="11" t="s">
        <v>4</v>
      </c>
      <c r="G4" s="12" t="s">
        <v>6</v>
      </c>
      <c r="H4" s="13" t="s">
        <v>8</v>
      </c>
      <c r="I4" s="14" t="s">
        <v>10</v>
      </c>
      <c r="J4" s="10" t="s">
        <v>12</v>
      </c>
      <c r="K4" s="12" t="s">
        <v>14</v>
      </c>
      <c r="L4" s="15" t="s">
        <v>16</v>
      </c>
      <c r="M4" s="15" t="s">
        <v>18</v>
      </c>
      <c r="N4" s="16" t="s">
        <v>20</v>
      </c>
      <c r="O4" s="13" t="s">
        <v>22</v>
      </c>
      <c r="P4" s="15" t="s">
        <v>24</v>
      </c>
      <c r="Q4" s="14" t="s">
        <v>26</v>
      </c>
      <c r="R4" s="14" t="s">
        <v>28</v>
      </c>
      <c r="S4" s="11" t="s">
        <v>30</v>
      </c>
      <c r="T4" s="13" t="s">
        <v>32</v>
      </c>
      <c r="U4" s="11" t="s">
        <v>34</v>
      </c>
      <c r="V4" s="15" t="s">
        <v>36</v>
      </c>
      <c r="W4" s="91" t="s">
        <v>38</v>
      </c>
      <c r="X4" s="33" t="s">
        <v>0</v>
      </c>
      <c r="Y4" s="11" t="s">
        <v>2</v>
      </c>
      <c r="Z4" s="11" t="s">
        <v>4</v>
      </c>
      <c r="AA4" s="12" t="s">
        <v>6</v>
      </c>
      <c r="AB4" s="13" t="s">
        <v>8</v>
      </c>
      <c r="AC4" s="14" t="s">
        <v>10</v>
      </c>
      <c r="AD4" s="10" t="s">
        <v>12</v>
      </c>
      <c r="AE4" s="12" t="s">
        <v>14</v>
      </c>
      <c r="AF4" s="15" t="s">
        <v>16</v>
      </c>
      <c r="AG4" s="15" t="s">
        <v>18</v>
      </c>
      <c r="AH4" s="16" t="s">
        <v>20</v>
      </c>
      <c r="AI4" s="13" t="s">
        <v>22</v>
      </c>
      <c r="AJ4" s="15" t="s">
        <v>24</v>
      </c>
      <c r="AK4" s="14" t="s">
        <v>26</v>
      </c>
      <c r="AL4" s="14" t="s">
        <v>28</v>
      </c>
      <c r="AM4" s="11" t="s">
        <v>30</v>
      </c>
      <c r="AN4" s="13" t="s">
        <v>32</v>
      </c>
      <c r="AO4" s="11" t="s">
        <v>34</v>
      </c>
      <c r="AP4" s="15" t="s">
        <v>36</v>
      </c>
      <c r="AQ4" s="91" t="s">
        <v>38</v>
      </c>
    </row>
    <row r="5" spans="1:43" s="9" customFormat="1" ht="22.5" x14ac:dyDescent="0.2">
      <c r="A5" s="89" t="s">
        <v>94</v>
      </c>
      <c r="B5" s="9" t="s">
        <v>57</v>
      </c>
      <c r="C5" s="17" t="s">
        <v>45</v>
      </c>
      <c r="D5" s="10" t="s">
        <v>1</v>
      </c>
      <c r="E5" s="11" t="s">
        <v>3</v>
      </c>
      <c r="F5" s="11" t="s">
        <v>5</v>
      </c>
      <c r="G5" s="12" t="s">
        <v>7</v>
      </c>
      <c r="H5" s="13" t="s">
        <v>9</v>
      </c>
      <c r="I5" s="14" t="s">
        <v>11</v>
      </c>
      <c r="J5" s="10" t="s">
        <v>13</v>
      </c>
      <c r="K5" s="12" t="s">
        <v>15</v>
      </c>
      <c r="L5" s="15" t="s">
        <v>17</v>
      </c>
      <c r="M5" s="15" t="s">
        <v>19</v>
      </c>
      <c r="N5" s="16" t="s">
        <v>21</v>
      </c>
      <c r="O5" s="13" t="s">
        <v>23</v>
      </c>
      <c r="P5" s="15" t="s">
        <v>25</v>
      </c>
      <c r="Q5" s="14" t="s">
        <v>27</v>
      </c>
      <c r="R5" s="14" t="s">
        <v>29</v>
      </c>
      <c r="S5" s="11" t="s">
        <v>31</v>
      </c>
      <c r="T5" s="13" t="s">
        <v>33</v>
      </c>
      <c r="U5" s="11" t="s">
        <v>35</v>
      </c>
      <c r="V5" s="15" t="s">
        <v>37</v>
      </c>
      <c r="W5" s="91" t="s">
        <v>39</v>
      </c>
      <c r="X5" s="33" t="s">
        <v>1</v>
      </c>
      <c r="Y5" s="11" t="s">
        <v>3</v>
      </c>
      <c r="Z5" s="11" t="s">
        <v>5</v>
      </c>
      <c r="AA5" s="12" t="s">
        <v>7</v>
      </c>
      <c r="AB5" s="13" t="s">
        <v>9</v>
      </c>
      <c r="AC5" s="14" t="s">
        <v>11</v>
      </c>
      <c r="AD5" s="10" t="s">
        <v>13</v>
      </c>
      <c r="AE5" s="12" t="s">
        <v>15</v>
      </c>
      <c r="AF5" s="15" t="s">
        <v>17</v>
      </c>
      <c r="AG5" s="15" t="s">
        <v>19</v>
      </c>
      <c r="AH5" s="16" t="s">
        <v>21</v>
      </c>
      <c r="AI5" s="13" t="s">
        <v>23</v>
      </c>
      <c r="AJ5" s="15" t="s">
        <v>25</v>
      </c>
      <c r="AK5" s="14" t="s">
        <v>27</v>
      </c>
      <c r="AL5" s="14" t="s">
        <v>29</v>
      </c>
      <c r="AM5" s="11" t="s">
        <v>31</v>
      </c>
      <c r="AN5" s="13" t="s">
        <v>33</v>
      </c>
      <c r="AO5" s="11" t="s">
        <v>35</v>
      </c>
      <c r="AP5" s="15" t="s">
        <v>37</v>
      </c>
      <c r="AQ5" s="91" t="s">
        <v>39</v>
      </c>
    </row>
    <row r="6" spans="1:43" x14ac:dyDescent="0.2">
      <c r="A6" s="34">
        <f t="shared" ref="A6:A50" si="0">AVERAGE(E6:AD6)</f>
        <v>8.0695807692307699</v>
      </c>
      <c r="B6" s="17">
        <v>101</v>
      </c>
      <c r="C6" s="17">
        <v>1</v>
      </c>
      <c r="D6" s="82">
        <v>16.3325</v>
      </c>
      <c r="E6" s="83">
        <v>6.3506</v>
      </c>
      <c r="F6" s="83">
        <v>9.7750000000000004</v>
      </c>
      <c r="G6" s="83">
        <v>1.7702</v>
      </c>
      <c r="H6" s="83">
        <v>5.8305999999999996</v>
      </c>
      <c r="I6" s="83">
        <v>23.346499999999999</v>
      </c>
      <c r="J6" s="83">
        <v>7.0518999999999998</v>
      </c>
      <c r="K6" s="83">
        <v>5.3635999999999999</v>
      </c>
      <c r="L6" s="83">
        <v>6.0499000000000001</v>
      </c>
      <c r="M6" s="83">
        <v>11.352</v>
      </c>
      <c r="N6" s="83">
        <v>6.65</v>
      </c>
      <c r="O6" s="83">
        <v>4.2465000000000002</v>
      </c>
      <c r="P6" s="83">
        <v>4.5345000000000004</v>
      </c>
      <c r="Q6" s="83">
        <v>10.3314</v>
      </c>
      <c r="R6" s="83">
        <v>9.3309999999999995</v>
      </c>
      <c r="S6" s="83">
        <v>21.671500000000002</v>
      </c>
      <c r="T6" s="83">
        <v>2.4533</v>
      </c>
      <c r="U6" s="83">
        <v>2.9714</v>
      </c>
      <c r="V6" s="83">
        <v>4.569</v>
      </c>
      <c r="W6" s="84">
        <v>5.1009000000000002</v>
      </c>
      <c r="X6" s="82">
        <v>10.24</v>
      </c>
      <c r="Y6" s="83">
        <v>6.7065000000000001</v>
      </c>
      <c r="Z6" s="83">
        <v>5.5726000000000004</v>
      </c>
      <c r="AA6" s="83">
        <v>2.5748000000000002</v>
      </c>
      <c r="AB6" s="83">
        <v>7.0044000000000004</v>
      </c>
      <c r="AC6" s="83">
        <v>16.7943</v>
      </c>
      <c r="AD6" s="83">
        <v>12.166700000000001</v>
      </c>
      <c r="AE6" s="83">
        <v>4.4622000000000002</v>
      </c>
      <c r="AF6" s="83">
        <v>18.7468</v>
      </c>
      <c r="AG6" s="83">
        <v>8.9230999999999998</v>
      </c>
      <c r="AH6" s="83">
        <v>1.7157</v>
      </c>
      <c r="AI6" s="83">
        <v>8.8056999999999999</v>
      </c>
      <c r="AJ6" s="83">
        <v>4.3646000000000003</v>
      </c>
      <c r="AK6" s="83">
        <v>7.6235999999999997</v>
      </c>
      <c r="AL6" s="83">
        <v>10.250500000000001</v>
      </c>
      <c r="AM6" s="83">
        <v>23.473700000000001</v>
      </c>
      <c r="AN6" s="83">
        <v>2.1259000000000001</v>
      </c>
      <c r="AO6" s="83">
        <v>2.0234999999999999</v>
      </c>
      <c r="AP6" s="83">
        <v>8.4746000000000006</v>
      </c>
      <c r="AQ6" s="84">
        <v>5.6115000000000004</v>
      </c>
    </row>
    <row r="7" spans="1:43" x14ac:dyDescent="0.2">
      <c r="A7" s="34">
        <f t="shared" si="0"/>
        <v>9.8240576923076919</v>
      </c>
      <c r="B7" s="17">
        <v>102</v>
      </c>
      <c r="C7" s="17">
        <v>2</v>
      </c>
      <c r="D7" s="34">
        <v>16.274699999999999</v>
      </c>
      <c r="E7" s="17">
        <v>9.8941999999999997</v>
      </c>
      <c r="F7" s="17">
        <v>18.425699999999999</v>
      </c>
      <c r="G7" s="17">
        <v>7.3940000000000001</v>
      </c>
      <c r="H7" s="17">
        <v>8.2363</v>
      </c>
      <c r="I7" s="17">
        <v>13.2928</v>
      </c>
      <c r="J7" s="17">
        <v>3.4043000000000001</v>
      </c>
      <c r="K7" s="17">
        <v>11.2476</v>
      </c>
      <c r="L7" s="17">
        <v>4.6851000000000003</v>
      </c>
      <c r="M7" s="17">
        <v>10.164199999999999</v>
      </c>
      <c r="N7" s="17">
        <v>8.4990000000000006</v>
      </c>
      <c r="O7" s="17">
        <v>5.5534999999999997</v>
      </c>
      <c r="P7" s="17">
        <v>9.5253999999999994</v>
      </c>
      <c r="Q7" s="17">
        <v>3.694</v>
      </c>
      <c r="R7" s="17">
        <v>20.930599999999998</v>
      </c>
      <c r="S7" s="17">
        <v>16.2852</v>
      </c>
      <c r="T7" s="17">
        <v>13.2189</v>
      </c>
      <c r="U7" s="17">
        <v>6.6946000000000003</v>
      </c>
      <c r="V7" s="17">
        <v>1.915</v>
      </c>
      <c r="W7" s="85">
        <v>3.6793999999999998</v>
      </c>
      <c r="X7" s="34">
        <v>12.069599999999999</v>
      </c>
      <c r="Y7" s="17">
        <v>11.0367</v>
      </c>
      <c r="Z7" s="17">
        <v>9.0934000000000008</v>
      </c>
      <c r="AA7" s="17">
        <v>1.635</v>
      </c>
      <c r="AB7" s="17">
        <v>15.3887</v>
      </c>
      <c r="AC7" s="17">
        <v>24.474799999999998</v>
      </c>
      <c r="AD7" s="17">
        <v>4.9874999999999998</v>
      </c>
      <c r="AE7" s="17">
        <v>17.4086</v>
      </c>
      <c r="AF7" s="17">
        <v>19.225100000000001</v>
      </c>
      <c r="AG7" s="17">
        <v>9.2270000000000003</v>
      </c>
      <c r="AH7" s="17">
        <v>19.784700000000001</v>
      </c>
      <c r="AI7" s="17">
        <v>12.167400000000001</v>
      </c>
      <c r="AJ7" s="17">
        <v>11.0114</v>
      </c>
      <c r="AK7" s="17">
        <v>5.0579000000000001</v>
      </c>
      <c r="AL7" s="17">
        <v>21.014299999999999</v>
      </c>
      <c r="AM7" s="17">
        <v>14.6778</v>
      </c>
      <c r="AN7" s="17">
        <v>14.4885</v>
      </c>
      <c r="AO7" s="17">
        <v>4.4589999999999996</v>
      </c>
      <c r="AP7" s="17">
        <v>3.2290000000000001</v>
      </c>
      <c r="AQ7" s="85">
        <v>5.1132</v>
      </c>
    </row>
    <row r="8" spans="1:43" x14ac:dyDescent="0.2">
      <c r="A8" s="34">
        <f t="shared" si="0"/>
        <v>9.5854076923076921</v>
      </c>
      <c r="B8" s="17">
        <v>104</v>
      </c>
      <c r="C8" s="17">
        <v>3</v>
      </c>
      <c r="D8" s="34">
        <v>7.0214999999999996</v>
      </c>
      <c r="E8" s="17">
        <v>8.0732999999999997</v>
      </c>
      <c r="F8" s="17">
        <v>9.4549000000000003</v>
      </c>
      <c r="G8" s="17">
        <v>2.3201000000000001</v>
      </c>
      <c r="H8" s="17">
        <v>12.2971</v>
      </c>
      <c r="I8" s="17">
        <v>18.875599999999999</v>
      </c>
      <c r="J8" s="17">
        <v>13.3802</v>
      </c>
      <c r="K8" s="17">
        <v>5.6973000000000003</v>
      </c>
      <c r="L8" s="17">
        <v>4.0629999999999997</v>
      </c>
      <c r="M8" s="17">
        <v>4.9349999999999996</v>
      </c>
      <c r="N8" s="17">
        <v>9.84</v>
      </c>
      <c r="O8" s="17">
        <v>18.227499999999999</v>
      </c>
      <c r="P8" s="17">
        <v>13.2111</v>
      </c>
      <c r="Q8" s="17">
        <v>1.5911999999999999</v>
      </c>
      <c r="R8" s="17">
        <v>1.9131</v>
      </c>
      <c r="S8" s="17">
        <v>12.914999999999999</v>
      </c>
      <c r="T8" s="17">
        <v>3.3974000000000002</v>
      </c>
      <c r="U8" s="17">
        <v>8.4138000000000002</v>
      </c>
      <c r="V8" s="17">
        <v>11.220700000000001</v>
      </c>
      <c r="W8" s="85">
        <v>10.258699999999999</v>
      </c>
      <c r="X8" s="34">
        <v>11.4338</v>
      </c>
      <c r="Y8" s="17">
        <v>10.028499999999999</v>
      </c>
      <c r="Z8" s="17">
        <v>7.0117000000000003</v>
      </c>
      <c r="AA8" s="17">
        <v>4.3372000000000002</v>
      </c>
      <c r="AB8" s="17">
        <v>13.4762</v>
      </c>
      <c r="AC8" s="17">
        <v>23.353400000000001</v>
      </c>
      <c r="AD8" s="17">
        <v>9.4947999999999997</v>
      </c>
      <c r="AE8" s="17">
        <v>5.4164000000000003</v>
      </c>
      <c r="AF8" s="17">
        <v>6.6569000000000003</v>
      </c>
      <c r="AG8" s="17">
        <v>10.957700000000001</v>
      </c>
      <c r="AH8" s="17">
        <v>6.5441000000000003</v>
      </c>
      <c r="AI8" s="17">
        <v>10.554</v>
      </c>
      <c r="AJ8" s="17">
        <v>5.5041000000000002</v>
      </c>
      <c r="AK8" s="17">
        <v>1.3515999999999999</v>
      </c>
      <c r="AL8" s="17">
        <v>2.4060999999999999</v>
      </c>
      <c r="AM8" s="17">
        <v>7.5038</v>
      </c>
      <c r="AN8" s="17">
        <v>7.5949</v>
      </c>
      <c r="AO8" s="17">
        <v>8.7398000000000007</v>
      </c>
      <c r="AP8" s="17">
        <v>12.3773</v>
      </c>
      <c r="AQ8" s="85">
        <v>11.2692</v>
      </c>
    </row>
    <row r="9" spans="1:43" x14ac:dyDescent="0.2">
      <c r="A9" s="34">
        <f t="shared" si="0"/>
        <v>10.859876923076923</v>
      </c>
      <c r="B9" s="17">
        <v>106</v>
      </c>
      <c r="C9" s="17">
        <v>4</v>
      </c>
      <c r="D9" s="34">
        <v>34.171100000000003</v>
      </c>
      <c r="E9" s="17">
        <v>16.498200000000001</v>
      </c>
      <c r="F9" s="17">
        <v>18.823399999999999</v>
      </c>
      <c r="G9" s="17">
        <v>7.3417000000000003</v>
      </c>
      <c r="H9" s="17">
        <v>6.5618999999999996</v>
      </c>
      <c r="I9" s="17">
        <v>32.953899999999997</v>
      </c>
      <c r="J9" s="17">
        <v>17.5215</v>
      </c>
      <c r="K9" s="17">
        <v>10.816599999999999</v>
      </c>
      <c r="L9" s="17">
        <v>14.3162</v>
      </c>
      <c r="M9" s="17">
        <v>4.9123999999999999</v>
      </c>
      <c r="N9" s="17">
        <v>10.452199999999999</v>
      </c>
      <c r="O9" s="17">
        <v>5.6494</v>
      </c>
      <c r="P9" s="17">
        <v>3.7498999999999998</v>
      </c>
      <c r="Q9" s="17">
        <v>10.0215</v>
      </c>
      <c r="R9" s="17">
        <v>9.9420000000000002</v>
      </c>
      <c r="S9" s="17">
        <v>14.2209</v>
      </c>
      <c r="T9" s="17">
        <v>3.6871999999999998</v>
      </c>
      <c r="U9" s="17">
        <v>9.2263999999999999</v>
      </c>
      <c r="V9" s="17">
        <v>4.5403000000000002</v>
      </c>
      <c r="W9" s="85">
        <v>3.4687000000000001</v>
      </c>
      <c r="X9" s="34">
        <v>12.1823</v>
      </c>
      <c r="Y9" s="17">
        <v>30.772500000000001</v>
      </c>
      <c r="Z9" s="17">
        <v>2.9657</v>
      </c>
      <c r="AA9" s="17">
        <v>8.3386999999999993</v>
      </c>
      <c r="AB9" s="17">
        <v>8.5757999999999992</v>
      </c>
      <c r="AC9" s="17">
        <v>4.2092999999999998</v>
      </c>
      <c r="AD9" s="17">
        <v>10.6082</v>
      </c>
      <c r="AE9" s="17">
        <v>17.317299999999999</v>
      </c>
      <c r="AF9" s="17">
        <v>9.7451000000000008</v>
      </c>
      <c r="AG9" s="17">
        <v>3.8571</v>
      </c>
      <c r="AH9" s="17">
        <v>13.1409</v>
      </c>
      <c r="AI9" s="17">
        <v>20.6708</v>
      </c>
      <c r="AJ9" s="17">
        <v>2.2541000000000002</v>
      </c>
      <c r="AK9" s="17">
        <v>10.8444</v>
      </c>
      <c r="AL9" s="17">
        <v>18.908999999999999</v>
      </c>
      <c r="AM9" s="17">
        <v>9.9551999999999996</v>
      </c>
      <c r="AN9" s="17">
        <v>22.1325</v>
      </c>
      <c r="AO9" s="17">
        <v>7.7435999999999998</v>
      </c>
      <c r="AP9" s="17">
        <v>7.4245000000000001</v>
      </c>
      <c r="AQ9" s="85">
        <v>4.3261000000000003</v>
      </c>
    </row>
    <row r="10" spans="1:43" x14ac:dyDescent="0.2">
      <c r="A10" s="34">
        <f t="shared" si="0"/>
        <v>7.7531384615384606</v>
      </c>
      <c r="B10" s="17">
        <v>108</v>
      </c>
      <c r="C10" s="17">
        <v>5</v>
      </c>
      <c r="D10" s="34">
        <v>23.617000000000001</v>
      </c>
      <c r="E10" s="17">
        <v>8.6742000000000008</v>
      </c>
      <c r="F10" s="17">
        <v>5.2953000000000001</v>
      </c>
      <c r="G10" s="17">
        <v>1.5851</v>
      </c>
      <c r="H10" s="17">
        <v>4.0899000000000001</v>
      </c>
      <c r="I10" s="17">
        <v>5.6052</v>
      </c>
      <c r="J10" s="17">
        <v>6.3540000000000001</v>
      </c>
      <c r="K10" s="17">
        <v>2.3571</v>
      </c>
      <c r="L10" s="17">
        <v>3.94</v>
      </c>
      <c r="M10" s="17">
        <v>8.4793000000000003</v>
      </c>
      <c r="N10" s="17">
        <v>8.6286000000000005</v>
      </c>
      <c r="O10" s="17">
        <v>6.1185</v>
      </c>
      <c r="P10" s="17">
        <v>6.7393999999999998</v>
      </c>
      <c r="Q10" s="17">
        <v>6.0175000000000001</v>
      </c>
      <c r="R10" s="17">
        <v>11.991</v>
      </c>
      <c r="S10" s="17">
        <v>7.3746</v>
      </c>
      <c r="T10" s="17">
        <v>6.1542000000000003</v>
      </c>
      <c r="U10" s="17">
        <v>8.9362999999999992</v>
      </c>
      <c r="V10" s="17">
        <v>6.5542999999999996</v>
      </c>
      <c r="W10" s="85">
        <v>2.5777000000000001</v>
      </c>
      <c r="X10" s="34">
        <v>19.016200000000001</v>
      </c>
      <c r="Y10" s="17">
        <v>11.476699999999999</v>
      </c>
      <c r="Z10" s="17">
        <v>9.1134000000000004</v>
      </c>
      <c r="AA10" s="17">
        <v>8.8439999999999994</v>
      </c>
      <c r="AB10" s="17">
        <v>10.875999999999999</v>
      </c>
      <c r="AC10" s="17">
        <v>12.454700000000001</v>
      </c>
      <c r="AD10" s="17">
        <v>12.3284</v>
      </c>
      <c r="AE10" s="17">
        <v>4.3014000000000001</v>
      </c>
      <c r="AF10" s="17">
        <v>16.348800000000001</v>
      </c>
      <c r="AG10" s="17">
        <v>8.8302999999999994</v>
      </c>
      <c r="AH10" s="17">
        <v>10.044</v>
      </c>
      <c r="AI10" s="17">
        <v>3.0613999999999999</v>
      </c>
      <c r="AJ10" s="17">
        <v>1.7612000000000001</v>
      </c>
      <c r="AK10" s="17">
        <v>5.3219000000000003</v>
      </c>
      <c r="AL10" s="17">
        <v>25.008500000000002</v>
      </c>
      <c r="AM10" s="17">
        <v>6.3890000000000002</v>
      </c>
      <c r="AN10" s="17">
        <v>5.5824999999999996</v>
      </c>
      <c r="AO10" s="17">
        <v>7.718</v>
      </c>
      <c r="AP10" s="17">
        <v>3.7014</v>
      </c>
      <c r="AQ10" s="85">
        <v>11.3253</v>
      </c>
    </row>
    <row r="11" spans="1:43" x14ac:dyDescent="0.2">
      <c r="A11" s="34">
        <f t="shared" si="0"/>
        <v>11.914465384615387</v>
      </c>
      <c r="B11" s="17">
        <v>109</v>
      </c>
      <c r="C11" s="17">
        <v>6</v>
      </c>
      <c r="D11" s="34">
        <v>21.279399999999999</v>
      </c>
      <c r="E11" s="17">
        <v>6.8282999999999996</v>
      </c>
      <c r="F11" s="17">
        <v>5.9931000000000001</v>
      </c>
      <c r="G11" s="17">
        <v>12.1454</v>
      </c>
      <c r="H11" s="17">
        <v>13.603999999999999</v>
      </c>
      <c r="I11" s="17">
        <v>36.369</v>
      </c>
      <c r="J11" s="17">
        <v>4.4848999999999997</v>
      </c>
      <c r="K11" s="17">
        <v>7.7060000000000004</v>
      </c>
      <c r="L11" s="17">
        <v>5.6048</v>
      </c>
      <c r="M11" s="17">
        <v>4.4745999999999997</v>
      </c>
      <c r="N11" s="17">
        <v>9.0521999999999991</v>
      </c>
      <c r="O11" s="17">
        <v>13.795</v>
      </c>
      <c r="P11" s="17">
        <v>7.0138999999999996</v>
      </c>
      <c r="Q11" s="17">
        <v>7.1851000000000003</v>
      </c>
      <c r="R11" s="17">
        <v>1.7793000000000001</v>
      </c>
      <c r="S11" s="17">
        <v>15.254899999999999</v>
      </c>
      <c r="T11" s="17">
        <v>15.1793</v>
      </c>
      <c r="U11" s="17">
        <v>11.6289</v>
      </c>
      <c r="V11" s="17">
        <v>11.491400000000001</v>
      </c>
      <c r="W11" s="85">
        <v>16.368300000000001</v>
      </c>
      <c r="X11" s="34">
        <v>14.396800000000001</v>
      </c>
      <c r="Y11" s="17">
        <v>7.2576000000000001</v>
      </c>
      <c r="Z11" s="17">
        <v>12.6365</v>
      </c>
      <c r="AA11" s="17">
        <v>7.5133000000000001</v>
      </c>
      <c r="AB11" s="17">
        <v>14.4611</v>
      </c>
      <c r="AC11" s="17">
        <v>36.946300000000001</v>
      </c>
      <c r="AD11" s="17">
        <v>10.6061</v>
      </c>
      <c r="AE11" s="17">
        <v>3.6091000000000002</v>
      </c>
      <c r="AF11" s="17">
        <v>20.1265</v>
      </c>
      <c r="AG11" s="17">
        <v>1.8318000000000001</v>
      </c>
      <c r="AH11" s="17">
        <v>10.0252</v>
      </c>
      <c r="AI11" s="17">
        <v>10.697800000000001</v>
      </c>
      <c r="AJ11" s="17">
        <v>8.5381</v>
      </c>
      <c r="AK11" s="17">
        <v>6.1318000000000001</v>
      </c>
      <c r="AL11" s="17">
        <v>3.5169999999999999</v>
      </c>
      <c r="AM11" s="17">
        <v>19.539200000000001</v>
      </c>
      <c r="AN11" s="17">
        <v>2.4415</v>
      </c>
      <c r="AO11" s="17">
        <v>14.709899999999999</v>
      </c>
      <c r="AP11" s="17">
        <v>0.8105</v>
      </c>
      <c r="AQ11" s="85">
        <v>4.6402000000000001</v>
      </c>
    </row>
    <row r="12" spans="1:43" x14ac:dyDescent="0.2">
      <c r="A12" s="34">
        <f t="shared" si="0"/>
        <v>8.8393192307692292</v>
      </c>
      <c r="B12" s="17">
        <v>32</v>
      </c>
      <c r="C12" s="17">
        <v>7</v>
      </c>
      <c r="D12" s="34">
        <v>8.8332999999999995</v>
      </c>
      <c r="E12" s="17">
        <v>12.395200000000001</v>
      </c>
      <c r="F12" s="17">
        <v>15.7186</v>
      </c>
      <c r="G12" s="17">
        <v>7.2346000000000004</v>
      </c>
      <c r="H12" s="17">
        <v>6.8098000000000001</v>
      </c>
      <c r="I12" s="17">
        <v>21.459</v>
      </c>
      <c r="J12" s="17">
        <v>7.9215</v>
      </c>
      <c r="K12" s="17">
        <v>5.7831000000000001</v>
      </c>
      <c r="L12" s="17">
        <v>2.2839999999999998</v>
      </c>
      <c r="M12" s="17">
        <v>3.6374</v>
      </c>
      <c r="N12" s="17">
        <v>15.0848</v>
      </c>
      <c r="O12" s="17">
        <v>6.07</v>
      </c>
      <c r="P12" s="17">
        <v>4.4401999999999999</v>
      </c>
      <c r="Q12" s="17">
        <v>15.632</v>
      </c>
      <c r="R12" s="17">
        <v>5.1647999999999996</v>
      </c>
      <c r="S12" s="17">
        <v>4.9095000000000004</v>
      </c>
      <c r="T12" s="17">
        <v>1.3875</v>
      </c>
      <c r="U12" s="17">
        <v>3.5764</v>
      </c>
      <c r="V12" s="17">
        <v>8.5968</v>
      </c>
      <c r="W12" s="85">
        <v>9.2193000000000005</v>
      </c>
      <c r="X12" s="34">
        <v>11.9003</v>
      </c>
      <c r="Y12" s="17">
        <v>9.0433000000000003</v>
      </c>
      <c r="Z12" s="17">
        <v>12.679600000000001</v>
      </c>
      <c r="AA12" s="17">
        <v>4.1257000000000001</v>
      </c>
      <c r="AB12" s="17">
        <v>5.8971</v>
      </c>
      <c r="AC12" s="17">
        <v>22.503</v>
      </c>
      <c r="AD12" s="17">
        <v>6.3487999999999998</v>
      </c>
      <c r="AE12" s="17">
        <v>6.7596999999999996</v>
      </c>
      <c r="AF12" s="17">
        <v>20.885200000000001</v>
      </c>
      <c r="AG12" s="17">
        <v>5.6852999999999998</v>
      </c>
      <c r="AH12" s="17">
        <v>13.164899999999999</v>
      </c>
      <c r="AI12" s="17">
        <v>9.4809000000000001</v>
      </c>
      <c r="AJ12" s="17">
        <v>2.1048</v>
      </c>
      <c r="AK12" s="17">
        <v>8.3094000000000001</v>
      </c>
      <c r="AL12" s="17">
        <v>2.7572999999999999</v>
      </c>
      <c r="AM12" s="17">
        <v>10.879</v>
      </c>
      <c r="AN12" s="17">
        <v>3.4697</v>
      </c>
      <c r="AO12" s="17">
        <v>2.5998000000000001</v>
      </c>
      <c r="AP12" s="17">
        <v>7.3940000000000001</v>
      </c>
      <c r="AQ12" s="85">
        <v>4.3425000000000002</v>
      </c>
    </row>
    <row r="13" spans="1:43" x14ac:dyDescent="0.2">
      <c r="A13" s="34">
        <f t="shared" si="0"/>
        <v>10.985753846153848</v>
      </c>
      <c r="B13" s="17">
        <v>36</v>
      </c>
      <c r="C13" s="17">
        <v>8</v>
      </c>
      <c r="D13" s="34">
        <v>8.6568000000000005</v>
      </c>
      <c r="E13" s="17">
        <v>17.5778</v>
      </c>
      <c r="F13" s="17">
        <v>17.410399999999999</v>
      </c>
      <c r="G13" s="17">
        <v>0.433</v>
      </c>
      <c r="H13" s="17">
        <v>3.536</v>
      </c>
      <c r="I13" s="17">
        <v>21.533000000000001</v>
      </c>
      <c r="J13" s="17">
        <v>3.9192</v>
      </c>
      <c r="K13" s="17">
        <v>3.0969000000000002</v>
      </c>
      <c r="L13" s="17">
        <v>3.9744999999999999</v>
      </c>
      <c r="M13" s="17">
        <v>11.4724</v>
      </c>
      <c r="N13" s="17">
        <v>6.7925000000000004</v>
      </c>
      <c r="O13" s="17">
        <v>8.5283999999999995</v>
      </c>
      <c r="P13" s="17">
        <v>13.5723</v>
      </c>
      <c r="Q13" s="17">
        <v>17.6877</v>
      </c>
      <c r="R13" s="17">
        <v>13.079000000000001</v>
      </c>
      <c r="S13" s="17">
        <v>20.789300000000001</v>
      </c>
      <c r="T13" s="17">
        <v>12.7485</v>
      </c>
      <c r="U13" s="17">
        <v>12.795500000000001</v>
      </c>
      <c r="V13" s="17">
        <v>8.3019999999999996</v>
      </c>
      <c r="W13" s="85">
        <v>14.838900000000001</v>
      </c>
      <c r="X13" s="34">
        <v>14.192299999999999</v>
      </c>
      <c r="Y13" s="17">
        <v>8.0371000000000006</v>
      </c>
      <c r="Z13" s="17">
        <v>17.013500000000001</v>
      </c>
      <c r="AA13" s="17">
        <v>5.0909000000000004</v>
      </c>
      <c r="AB13" s="17">
        <v>4.3489000000000004</v>
      </c>
      <c r="AC13" s="17">
        <v>19.840699999999998</v>
      </c>
      <c r="AD13" s="17">
        <v>5.0189000000000004</v>
      </c>
      <c r="AE13" s="17">
        <v>7.2674000000000003</v>
      </c>
      <c r="AF13" s="17">
        <v>4.0152999999999999</v>
      </c>
      <c r="AG13" s="17">
        <v>10.200200000000001</v>
      </c>
      <c r="AH13" s="17">
        <v>11.877800000000001</v>
      </c>
      <c r="AI13" s="17">
        <v>7.4173</v>
      </c>
      <c r="AJ13" s="17">
        <v>7.2609000000000004</v>
      </c>
      <c r="AK13" s="17">
        <v>5.8391999999999999</v>
      </c>
      <c r="AL13" s="17">
        <v>9.9160000000000004</v>
      </c>
      <c r="AM13" s="17">
        <v>13.322699999999999</v>
      </c>
      <c r="AN13" s="17">
        <v>8.9773999999999994</v>
      </c>
      <c r="AO13" s="17">
        <v>9.0010999999999992</v>
      </c>
      <c r="AP13" s="17">
        <v>7.1798000000000002</v>
      </c>
      <c r="AQ13" s="85">
        <v>13.6363</v>
      </c>
    </row>
    <row r="14" spans="1:43" x14ac:dyDescent="0.2">
      <c r="A14" s="34">
        <f t="shared" si="0"/>
        <v>9.5690653846153815</v>
      </c>
      <c r="B14" s="17">
        <v>37</v>
      </c>
      <c r="C14" s="17">
        <v>9</v>
      </c>
      <c r="D14" s="34">
        <v>15.8704</v>
      </c>
      <c r="E14" s="17">
        <v>8.5930999999999997</v>
      </c>
      <c r="F14" s="17">
        <v>10.969099999999999</v>
      </c>
      <c r="G14" s="17">
        <v>10.8904</v>
      </c>
      <c r="H14" s="17">
        <v>7.8387000000000002</v>
      </c>
      <c r="I14" s="17">
        <v>19.141999999999999</v>
      </c>
      <c r="J14" s="17">
        <v>6.1988000000000003</v>
      </c>
      <c r="K14" s="17">
        <v>12.4337</v>
      </c>
      <c r="L14" s="17">
        <v>1.2478</v>
      </c>
      <c r="M14" s="17">
        <v>8.6409000000000002</v>
      </c>
      <c r="N14" s="17">
        <v>8.8013999999999992</v>
      </c>
      <c r="O14" s="17">
        <v>5.2885999999999997</v>
      </c>
      <c r="P14" s="17">
        <v>8.4603999999999999</v>
      </c>
      <c r="Q14" s="17">
        <v>10.643800000000001</v>
      </c>
      <c r="R14" s="17">
        <v>2.2267999999999999</v>
      </c>
      <c r="S14" s="17">
        <v>13.319900000000001</v>
      </c>
      <c r="T14" s="17">
        <v>5.3757000000000001</v>
      </c>
      <c r="U14" s="17">
        <v>9.5663999999999998</v>
      </c>
      <c r="V14" s="17">
        <v>7.5038999999999998</v>
      </c>
      <c r="W14" s="85">
        <v>8.8893000000000004</v>
      </c>
      <c r="X14" s="34">
        <v>18.2423</v>
      </c>
      <c r="Y14" s="17">
        <v>12.762600000000001</v>
      </c>
      <c r="Z14" s="17">
        <v>9.1401000000000003</v>
      </c>
      <c r="AA14" s="17">
        <v>10.548299999999999</v>
      </c>
      <c r="AB14" s="17">
        <v>15.601599999999999</v>
      </c>
      <c r="AC14" s="17">
        <v>10.242100000000001</v>
      </c>
      <c r="AD14" s="17">
        <v>6.2279999999999998</v>
      </c>
      <c r="AE14" s="17">
        <v>6.3598999999999997</v>
      </c>
      <c r="AF14" s="17">
        <v>31.418800000000001</v>
      </c>
      <c r="AG14" s="17">
        <v>11.083399999999999</v>
      </c>
      <c r="AH14" s="17">
        <v>9.9687000000000001</v>
      </c>
      <c r="AI14" s="17">
        <v>3.0874000000000001</v>
      </c>
      <c r="AJ14" s="17">
        <v>3.2042000000000002</v>
      </c>
      <c r="AK14" s="17">
        <v>2.4477000000000002</v>
      </c>
      <c r="AL14" s="17">
        <v>10.8865</v>
      </c>
      <c r="AM14" s="17">
        <v>19.1296</v>
      </c>
      <c r="AN14" s="17">
        <v>9.7947000000000006</v>
      </c>
      <c r="AO14" s="17">
        <v>13.4047</v>
      </c>
      <c r="AP14" s="17">
        <v>10.4579</v>
      </c>
      <c r="AQ14" s="85">
        <v>24.483000000000001</v>
      </c>
    </row>
    <row r="15" spans="1:43" x14ac:dyDescent="0.2">
      <c r="A15" s="34">
        <f t="shared" si="0"/>
        <v>8.8137346153846163</v>
      </c>
      <c r="B15" s="17">
        <v>99</v>
      </c>
      <c r="C15" s="17">
        <v>10</v>
      </c>
      <c r="D15" s="34">
        <v>15.8127</v>
      </c>
      <c r="E15" s="17">
        <v>6.5377000000000001</v>
      </c>
      <c r="F15" s="17">
        <v>7.8182</v>
      </c>
      <c r="G15" s="17">
        <v>4.7300000000000004</v>
      </c>
      <c r="H15" s="17">
        <v>4.2447999999999997</v>
      </c>
      <c r="I15" s="17">
        <v>24.310300000000002</v>
      </c>
      <c r="J15" s="17">
        <v>15.4262</v>
      </c>
      <c r="K15" s="17">
        <v>6.2843</v>
      </c>
      <c r="L15" s="17">
        <v>1.8772</v>
      </c>
      <c r="M15" s="17">
        <v>10.0975</v>
      </c>
      <c r="N15" s="17">
        <v>8.4772999999999996</v>
      </c>
      <c r="O15" s="17">
        <v>2.8298000000000001</v>
      </c>
      <c r="P15" s="17">
        <v>8.0904000000000007</v>
      </c>
      <c r="Q15" s="17">
        <v>10.5776</v>
      </c>
      <c r="R15" s="17">
        <v>10.9725</v>
      </c>
      <c r="S15" s="17">
        <v>11.901999999999999</v>
      </c>
      <c r="T15" s="17">
        <v>1.5602</v>
      </c>
      <c r="U15" s="17">
        <v>12.0806</v>
      </c>
      <c r="V15" s="17">
        <v>9.5640000000000001</v>
      </c>
      <c r="W15" s="85">
        <v>1.3552</v>
      </c>
      <c r="X15" s="34">
        <v>6.7708000000000004</v>
      </c>
      <c r="Y15" s="17">
        <v>7.2226999999999997</v>
      </c>
      <c r="Z15" s="17">
        <v>9.0283999999999995</v>
      </c>
      <c r="AA15" s="17">
        <v>7.7991000000000001</v>
      </c>
      <c r="AB15" s="17">
        <v>9.3445999999999998</v>
      </c>
      <c r="AC15" s="17">
        <v>10.0076</v>
      </c>
      <c r="AD15" s="17">
        <v>20.248100000000001</v>
      </c>
      <c r="AE15" s="17">
        <v>4.5930999999999997</v>
      </c>
      <c r="AF15" s="17">
        <v>23.601400000000002</v>
      </c>
      <c r="AG15" s="17">
        <v>5.2817999999999996</v>
      </c>
      <c r="AH15" s="17">
        <v>12.883800000000001</v>
      </c>
      <c r="AI15" s="17">
        <v>11.096500000000001</v>
      </c>
      <c r="AJ15" s="17">
        <v>8.3239000000000001</v>
      </c>
      <c r="AK15" s="17">
        <v>10.003399999999999</v>
      </c>
      <c r="AL15" s="17">
        <v>12.246600000000001</v>
      </c>
      <c r="AM15" s="17">
        <v>18.074000000000002</v>
      </c>
      <c r="AN15" s="17">
        <v>6.4206000000000003</v>
      </c>
      <c r="AO15" s="17">
        <v>5.0686999999999998</v>
      </c>
      <c r="AP15" s="17">
        <v>3.2982999999999998</v>
      </c>
      <c r="AQ15" s="85">
        <v>8.9886999999999997</v>
      </c>
    </row>
    <row r="16" spans="1:43" x14ac:dyDescent="0.2">
      <c r="A16" s="34">
        <f t="shared" si="0"/>
        <v>10.357826923076923</v>
      </c>
      <c r="B16" s="17">
        <v>42</v>
      </c>
      <c r="C16" s="17">
        <v>11</v>
      </c>
      <c r="D16" s="34">
        <v>17.165099999999999</v>
      </c>
      <c r="E16" s="17">
        <v>13.5511</v>
      </c>
      <c r="F16" s="17">
        <v>16.430199999999999</v>
      </c>
      <c r="G16" s="17">
        <v>8.1873000000000005</v>
      </c>
      <c r="H16" s="17">
        <v>11.1168</v>
      </c>
      <c r="I16" s="17">
        <v>24.252400000000002</v>
      </c>
      <c r="J16" s="17">
        <v>10.5716</v>
      </c>
      <c r="K16" s="17">
        <v>5.1169000000000002</v>
      </c>
      <c r="L16" s="17">
        <v>9.0791000000000004</v>
      </c>
      <c r="M16" s="17">
        <v>6.0682</v>
      </c>
      <c r="N16" s="17">
        <v>5.8841000000000001</v>
      </c>
      <c r="O16" s="17">
        <v>18.095600000000001</v>
      </c>
      <c r="P16" s="17">
        <v>2.1486000000000001</v>
      </c>
      <c r="Q16" s="17">
        <v>8.2011000000000003</v>
      </c>
      <c r="R16" s="17">
        <v>9.2370999999999999</v>
      </c>
      <c r="S16" s="17">
        <v>5.2378</v>
      </c>
      <c r="T16" s="17">
        <v>13.0334</v>
      </c>
      <c r="U16" s="17">
        <v>7.6186999999999996</v>
      </c>
      <c r="V16" s="17">
        <v>2.7452000000000001</v>
      </c>
      <c r="W16" s="85">
        <v>6.5247999999999999</v>
      </c>
      <c r="X16" s="34">
        <v>20.727399999999999</v>
      </c>
      <c r="Y16" s="17">
        <v>14.855499999999999</v>
      </c>
      <c r="Z16" s="17">
        <v>9.2270000000000003</v>
      </c>
      <c r="AA16" s="17">
        <v>6.0848000000000004</v>
      </c>
      <c r="AB16" s="17">
        <v>12.789899999999999</v>
      </c>
      <c r="AC16" s="17">
        <v>7.9077999999999999</v>
      </c>
      <c r="AD16" s="17">
        <v>14.6111</v>
      </c>
      <c r="AE16" s="17">
        <v>5.2309999999999999</v>
      </c>
      <c r="AF16" s="17">
        <v>20.459599999999998</v>
      </c>
      <c r="AG16" s="17">
        <v>10.37</v>
      </c>
      <c r="AH16" s="17">
        <v>9.9191000000000003</v>
      </c>
      <c r="AI16" s="17">
        <v>14.488300000000001</v>
      </c>
      <c r="AJ16" s="17">
        <v>6.3574999999999999</v>
      </c>
      <c r="AK16" s="17">
        <v>9.4283000000000001</v>
      </c>
      <c r="AL16" s="17">
        <v>9.1868999999999996</v>
      </c>
      <c r="AM16" s="17">
        <v>3.3652000000000002</v>
      </c>
      <c r="AN16" s="17">
        <v>11.078200000000001</v>
      </c>
      <c r="AO16" s="17">
        <v>5.3385999999999996</v>
      </c>
      <c r="AP16" s="17">
        <v>1.7045999999999999</v>
      </c>
      <c r="AQ16" s="85">
        <v>11.781499999999999</v>
      </c>
    </row>
    <row r="17" spans="1:43" x14ac:dyDescent="0.2">
      <c r="A17" s="34">
        <f t="shared" si="0"/>
        <v>10.604796153846156</v>
      </c>
      <c r="B17" s="17">
        <v>46</v>
      </c>
      <c r="C17" s="17">
        <v>12</v>
      </c>
      <c r="D17" s="34">
        <v>15.6972</v>
      </c>
      <c r="E17" s="17">
        <v>4.5296000000000003</v>
      </c>
      <c r="F17" s="17">
        <v>10.605499999999999</v>
      </c>
      <c r="G17" s="17">
        <v>23.973800000000001</v>
      </c>
      <c r="H17" s="17">
        <v>11.9703</v>
      </c>
      <c r="I17" s="17">
        <v>13.505100000000001</v>
      </c>
      <c r="J17" s="17">
        <v>6.3510999999999997</v>
      </c>
      <c r="K17" s="17">
        <v>6.742</v>
      </c>
      <c r="L17" s="17">
        <v>10.6485</v>
      </c>
      <c r="M17" s="17">
        <v>12.5307</v>
      </c>
      <c r="N17" s="17">
        <v>18.0334</v>
      </c>
      <c r="O17" s="17">
        <v>4.3261000000000003</v>
      </c>
      <c r="P17" s="17">
        <v>11.231299999999999</v>
      </c>
      <c r="Q17" s="17">
        <v>10.3108</v>
      </c>
      <c r="R17" s="17">
        <v>3.2553999999999998</v>
      </c>
      <c r="S17" s="17">
        <v>17.975899999999999</v>
      </c>
      <c r="T17" s="17">
        <v>5.2793000000000001</v>
      </c>
      <c r="U17" s="17">
        <v>12.0344</v>
      </c>
      <c r="V17" s="17">
        <v>6.2443</v>
      </c>
      <c r="W17" s="85">
        <v>9.1685999999999996</v>
      </c>
      <c r="X17" s="34">
        <v>14.152200000000001</v>
      </c>
      <c r="Y17" s="17">
        <v>6.8619000000000003</v>
      </c>
      <c r="Z17" s="17">
        <v>11.3377</v>
      </c>
      <c r="AA17" s="17">
        <v>10.6533</v>
      </c>
      <c r="AB17" s="17">
        <v>11.3644</v>
      </c>
      <c r="AC17" s="17">
        <v>18.135999999999999</v>
      </c>
      <c r="AD17" s="17">
        <v>4.5030999999999999</v>
      </c>
      <c r="AE17" s="17">
        <v>3.8487</v>
      </c>
      <c r="AF17" s="17">
        <v>12.824</v>
      </c>
      <c r="AG17" s="17">
        <v>3.9224999999999999</v>
      </c>
      <c r="AH17" s="17">
        <v>12.7193</v>
      </c>
      <c r="AI17" s="17">
        <v>1.33</v>
      </c>
      <c r="AJ17" s="17">
        <v>6.2697000000000003</v>
      </c>
      <c r="AK17" s="17">
        <v>7.8723999999999998</v>
      </c>
      <c r="AL17" s="17">
        <v>8.5228999999999999</v>
      </c>
      <c r="AM17" s="17">
        <v>13.1281</v>
      </c>
      <c r="AN17" s="17">
        <v>5.9127000000000001</v>
      </c>
      <c r="AO17" s="17">
        <v>13.3977</v>
      </c>
      <c r="AP17" s="17">
        <v>10.4831</v>
      </c>
      <c r="AQ17" s="85">
        <v>15.2258</v>
      </c>
    </row>
    <row r="18" spans="1:43" x14ac:dyDescent="0.2">
      <c r="A18" s="34">
        <f t="shared" si="0"/>
        <v>10.539107692307692</v>
      </c>
      <c r="B18" s="17">
        <v>47</v>
      </c>
      <c r="C18" s="17">
        <v>13</v>
      </c>
      <c r="D18" s="34">
        <v>12.2273</v>
      </c>
      <c r="E18" s="17">
        <v>22.743200000000002</v>
      </c>
      <c r="F18" s="17">
        <v>2.0318999999999998</v>
      </c>
      <c r="G18" s="17">
        <v>6.0480999999999998</v>
      </c>
      <c r="H18" s="17">
        <v>5.7923</v>
      </c>
      <c r="I18" s="17">
        <v>14.4169</v>
      </c>
      <c r="J18" s="17">
        <v>8.1105</v>
      </c>
      <c r="K18" s="17">
        <v>6.8845000000000001</v>
      </c>
      <c r="L18" s="17">
        <v>7.0247000000000002</v>
      </c>
      <c r="M18" s="17">
        <v>12.3315</v>
      </c>
      <c r="N18" s="17">
        <v>2.9213</v>
      </c>
      <c r="O18" s="17">
        <v>11.113200000000001</v>
      </c>
      <c r="P18" s="17">
        <v>5.3808999999999996</v>
      </c>
      <c r="Q18" s="17">
        <v>9.0617000000000001</v>
      </c>
      <c r="R18" s="17">
        <v>10.8302</v>
      </c>
      <c r="S18" s="17">
        <v>23.511399999999998</v>
      </c>
      <c r="T18" s="17">
        <v>8.3414999999999999</v>
      </c>
      <c r="U18" s="17">
        <v>9.9962999999999997</v>
      </c>
      <c r="V18" s="17">
        <v>11.1271</v>
      </c>
      <c r="W18" s="85">
        <v>8.2463999999999995</v>
      </c>
      <c r="X18" s="34">
        <v>22.910799999999998</v>
      </c>
      <c r="Y18" s="17">
        <v>7.7667999999999999</v>
      </c>
      <c r="Z18" s="17">
        <v>5.0071000000000003</v>
      </c>
      <c r="AA18" s="17">
        <v>6.1707999999999998</v>
      </c>
      <c r="AB18" s="17">
        <v>8.1184999999999992</v>
      </c>
      <c r="AC18" s="17">
        <v>17.825199999999999</v>
      </c>
      <c r="AD18" s="17">
        <v>20.303999999999998</v>
      </c>
      <c r="AE18" s="17">
        <v>6.3830999999999998</v>
      </c>
      <c r="AF18" s="17">
        <v>17.285799999999998</v>
      </c>
      <c r="AG18" s="17">
        <v>6.9614000000000003</v>
      </c>
      <c r="AH18" s="17">
        <v>8.9677000000000007</v>
      </c>
      <c r="AI18" s="17">
        <v>8.7334999999999994</v>
      </c>
      <c r="AJ18" s="17">
        <v>9.2668999999999997</v>
      </c>
      <c r="AK18" s="17">
        <v>5.1310000000000002</v>
      </c>
      <c r="AL18" s="17">
        <v>10.6305</v>
      </c>
      <c r="AM18" s="17">
        <v>11.3331</v>
      </c>
      <c r="AN18" s="17">
        <v>15.3947</v>
      </c>
      <c r="AO18" s="17">
        <v>16.344999999999999</v>
      </c>
      <c r="AP18" s="17">
        <v>7.0894000000000004</v>
      </c>
      <c r="AQ18" s="85">
        <v>9.1005000000000003</v>
      </c>
    </row>
    <row r="19" spans="1:43" x14ac:dyDescent="0.2">
      <c r="A19" s="34">
        <f t="shared" si="0"/>
        <v>8.4842961538461523</v>
      </c>
      <c r="B19" s="17">
        <v>50</v>
      </c>
      <c r="C19" s="17">
        <v>14</v>
      </c>
      <c r="D19" s="34">
        <v>9.3065999999999995</v>
      </c>
      <c r="E19" s="17">
        <v>5.2263999999999999</v>
      </c>
      <c r="F19" s="17">
        <v>14.6812</v>
      </c>
      <c r="G19" s="17">
        <v>5.2674000000000003</v>
      </c>
      <c r="H19" s="17">
        <v>11.7445</v>
      </c>
      <c r="I19" s="17">
        <v>13.7102</v>
      </c>
      <c r="J19" s="17">
        <v>2.2262</v>
      </c>
      <c r="K19" s="17">
        <v>7.2020999999999997</v>
      </c>
      <c r="L19" s="17">
        <v>8.1133000000000006</v>
      </c>
      <c r="M19" s="17">
        <v>8.2731999999999992</v>
      </c>
      <c r="N19" s="17">
        <v>8.5030999999999999</v>
      </c>
      <c r="O19" s="17">
        <v>5.5621999999999998</v>
      </c>
      <c r="P19" s="17">
        <v>10.4693</v>
      </c>
      <c r="Q19" s="17">
        <v>9.2446000000000002</v>
      </c>
      <c r="R19" s="17">
        <v>7.4249000000000001</v>
      </c>
      <c r="S19" s="17">
        <v>5.9984000000000002</v>
      </c>
      <c r="T19" s="17">
        <v>7.0442</v>
      </c>
      <c r="U19" s="17">
        <v>12.8079</v>
      </c>
      <c r="V19" s="17">
        <v>12.4923</v>
      </c>
      <c r="W19" s="85">
        <v>6.6186999999999996</v>
      </c>
      <c r="X19" s="34">
        <v>10.8062</v>
      </c>
      <c r="Y19" s="17">
        <v>14.077999999999999</v>
      </c>
      <c r="Z19" s="17">
        <v>7.3391999999999999</v>
      </c>
      <c r="AA19" s="17">
        <v>2.7829999999999999</v>
      </c>
      <c r="AB19" s="17">
        <v>8.4116999999999997</v>
      </c>
      <c r="AC19" s="17">
        <v>7.9086999999999996</v>
      </c>
      <c r="AD19" s="17">
        <v>6.6547999999999998</v>
      </c>
      <c r="AE19" s="17">
        <v>4.0160999999999998</v>
      </c>
      <c r="AF19" s="17">
        <v>5.5784000000000002</v>
      </c>
      <c r="AG19" s="17">
        <v>12.640599999999999</v>
      </c>
      <c r="AH19" s="17">
        <v>3.7877000000000001</v>
      </c>
      <c r="AI19" s="17">
        <v>7.4470000000000001</v>
      </c>
      <c r="AJ19" s="17">
        <v>5.9634</v>
      </c>
      <c r="AK19" s="17">
        <v>7.4946000000000002</v>
      </c>
      <c r="AL19" s="17">
        <v>9.4228000000000005</v>
      </c>
      <c r="AM19" s="17">
        <v>9.5638000000000005</v>
      </c>
      <c r="AN19" s="17">
        <v>11.9611</v>
      </c>
      <c r="AO19" s="17">
        <v>8.1827000000000005</v>
      </c>
      <c r="AP19" s="17">
        <v>3.6305000000000001</v>
      </c>
      <c r="AQ19" s="85">
        <v>4.5606999999999998</v>
      </c>
    </row>
    <row r="20" spans="1:43" x14ac:dyDescent="0.2">
      <c r="A20" s="34">
        <f t="shared" si="0"/>
        <v>12.926361538461542</v>
      </c>
      <c r="B20" s="17">
        <v>52</v>
      </c>
      <c r="C20" s="17">
        <v>15</v>
      </c>
      <c r="D20" s="34">
        <v>6.2957000000000001</v>
      </c>
      <c r="E20" s="17">
        <v>14.7409</v>
      </c>
      <c r="F20" s="17">
        <v>7.3249000000000004</v>
      </c>
      <c r="G20" s="17">
        <v>15.0916</v>
      </c>
      <c r="H20" s="17">
        <v>7.4980000000000002</v>
      </c>
      <c r="I20" s="17">
        <v>51.401299999999999</v>
      </c>
      <c r="J20" s="17">
        <v>19.164899999999999</v>
      </c>
      <c r="K20" s="17">
        <v>11.091799999999999</v>
      </c>
      <c r="L20" s="17">
        <v>2.2547000000000001</v>
      </c>
      <c r="M20" s="17">
        <v>4.9298000000000002</v>
      </c>
      <c r="N20" s="17">
        <v>2.6692999999999998</v>
      </c>
      <c r="O20" s="17">
        <v>9.0307999999999993</v>
      </c>
      <c r="P20" s="17">
        <v>6.3864999999999998</v>
      </c>
      <c r="Q20" s="17">
        <v>10.196300000000001</v>
      </c>
      <c r="R20" s="17">
        <v>16.3338</v>
      </c>
      <c r="S20" s="17">
        <v>9.6479999999999997</v>
      </c>
      <c r="T20" s="17">
        <v>7.3479000000000001</v>
      </c>
      <c r="U20" s="17">
        <v>12.6431</v>
      </c>
      <c r="V20" s="17">
        <v>8.1502999999999997</v>
      </c>
      <c r="W20" s="85">
        <v>3.7936000000000001</v>
      </c>
      <c r="X20" s="34">
        <v>6.5213000000000001</v>
      </c>
      <c r="Y20" s="17">
        <v>12.8035</v>
      </c>
      <c r="Z20" s="17">
        <v>5.4907000000000004</v>
      </c>
      <c r="AA20" s="17">
        <v>13.6381</v>
      </c>
      <c r="AB20" s="17">
        <v>14.3672</v>
      </c>
      <c r="AC20" s="17">
        <v>38.774799999999999</v>
      </c>
      <c r="AD20" s="17">
        <v>24.792300000000001</v>
      </c>
      <c r="AE20" s="17">
        <v>15.189299999999999</v>
      </c>
      <c r="AF20" s="17">
        <v>7.3417000000000003</v>
      </c>
      <c r="AG20" s="17">
        <v>10.6866</v>
      </c>
      <c r="AH20" s="17">
        <v>4.7797999999999998</v>
      </c>
      <c r="AI20" s="17">
        <v>22.6982</v>
      </c>
      <c r="AJ20" s="17">
        <v>1.9657</v>
      </c>
      <c r="AK20" s="17">
        <v>10.0832</v>
      </c>
      <c r="AL20" s="17">
        <v>16.098500000000001</v>
      </c>
      <c r="AM20" s="17">
        <v>11.304</v>
      </c>
      <c r="AN20" s="17">
        <v>18.9422</v>
      </c>
      <c r="AO20" s="17">
        <v>8.7553999999999998</v>
      </c>
      <c r="AP20" s="17">
        <v>13.6464</v>
      </c>
      <c r="AQ20" s="85">
        <v>5.7930000000000001</v>
      </c>
    </row>
    <row r="21" spans="1:43" x14ac:dyDescent="0.2">
      <c r="A21" s="34">
        <f t="shared" si="0"/>
        <v>12.918896153846154</v>
      </c>
      <c r="B21" s="17">
        <v>54</v>
      </c>
      <c r="C21" s="17">
        <v>16</v>
      </c>
      <c r="D21" s="34">
        <v>9.7162000000000006</v>
      </c>
      <c r="E21" s="17">
        <v>7.9409999999999998</v>
      </c>
      <c r="F21" s="17">
        <v>3.0204</v>
      </c>
      <c r="G21" s="17">
        <v>14.1952</v>
      </c>
      <c r="H21" s="17">
        <v>16.649899999999999</v>
      </c>
      <c r="I21" s="17">
        <v>40.122799999999998</v>
      </c>
      <c r="J21" s="17">
        <v>3.5897999999999999</v>
      </c>
      <c r="K21" s="17">
        <v>4.9157000000000002</v>
      </c>
      <c r="L21" s="17">
        <v>11.947800000000001</v>
      </c>
      <c r="M21" s="17">
        <v>14.3285</v>
      </c>
      <c r="N21" s="17">
        <v>10.173</v>
      </c>
      <c r="O21" s="17">
        <v>17.176200000000001</v>
      </c>
      <c r="P21" s="17">
        <v>12.175800000000001</v>
      </c>
      <c r="Q21" s="17">
        <v>8.1275999999999993</v>
      </c>
      <c r="R21" s="17">
        <v>9.7339000000000002</v>
      </c>
      <c r="S21" s="17">
        <v>8.4269999999999996</v>
      </c>
      <c r="T21" s="17">
        <v>11.6823</v>
      </c>
      <c r="U21" s="17">
        <v>17.3155</v>
      </c>
      <c r="V21" s="17">
        <v>6.9489000000000001</v>
      </c>
      <c r="W21" s="85">
        <v>13.7033</v>
      </c>
      <c r="X21" s="34">
        <v>6.9931999999999999</v>
      </c>
      <c r="Y21" s="17">
        <v>17.210999999999999</v>
      </c>
      <c r="Z21" s="17">
        <v>3.6640000000000001</v>
      </c>
      <c r="AA21" s="17">
        <v>11.6883</v>
      </c>
      <c r="AB21" s="17">
        <v>10.523300000000001</v>
      </c>
      <c r="AC21" s="17">
        <v>51.981299999999997</v>
      </c>
      <c r="AD21" s="17">
        <v>1.6556</v>
      </c>
      <c r="AE21" s="17">
        <v>5.7995000000000001</v>
      </c>
      <c r="AF21" s="17">
        <v>16.8993</v>
      </c>
      <c r="AG21" s="17">
        <v>15.3058</v>
      </c>
      <c r="AH21" s="17">
        <v>13.2409</v>
      </c>
      <c r="AI21" s="17">
        <v>18.468599999999999</v>
      </c>
      <c r="AJ21" s="17">
        <v>17.1629</v>
      </c>
      <c r="AK21" s="17">
        <v>7.3133999999999997</v>
      </c>
      <c r="AL21" s="17">
        <v>5.1764000000000001</v>
      </c>
      <c r="AM21" s="17">
        <v>13.9879</v>
      </c>
      <c r="AN21" s="17">
        <v>8.1186000000000007</v>
      </c>
      <c r="AO21" s="17">
        <v>12.7158</v>
      </c>
      <c r="AP21" s="17">
        <v>3.9068999999999998</v>
      </c>
      <c r="AQ21" s="85">
        <v>16.464400000000001</v>
      </c>
    </row>
    <row r="22" spans="1:43" x14ac:dyDescent="0.2">
      <c r="A22" s="34">
        <f t="shared" si="0"/>
        <v>10.208857692307692</v>
      </c>
      <c r="B22" s="17">
        <v>56</v>
      </c>
      <c r="C22" s="17">
        <v>17</v>
      </c>
      <c r="D22" s="34">
        <v>12.718400000000001</v>
      </c>
      <c r="E22" s="17">
        <v>7.1825999999999999</v>
      </c>
      <c r="F22" s="17">
        <v>2.141</v>
      </c>
      <c r="G22" s="17">
        <v>7.3230000000000004</v>
      </c>
      <c r="H22" s="17">
        <v>2.1739000000000002</v>
      </c>
      <c r="I22" s="17">
        <v>23.904699999999998</v>
      </c>
      <c r="J22" s="17">
        <v>5.2618999999999998</v>
      </c>
      <c r="K22" s="17">
        <v>4.6882000000000001</v>
      </c>
      <c r="L22" s="17">
        <v>4.8720999999999997</v>
      </c>
      <c r="M22" s="17">
        <v>12.618499999999999</v>
      </c>
      <c r="N22" s="17">
        <v>9.1471</v>
      </c>
      <c r="O22" s="17">
        <v>4.7161</v>
      </c>
      <c r="P22" s="17">
        <v>2.2486999999999999</v>
      </c>
      <c r="Q22" s="17">
        <v>26.886800000000001</v>
      </c>
      <c r="R22" s="17">
        <v>6.8666999999999998</v>
      </c>
      <c r="S22" s="17">
        <v>13.4953</v>
      </c>
      <c r="T22" s="17">
        <v>4.6699000000000002</v>
      </c>
      <c r="U22" s="17">
        <v>13.849600000000001</v>
      </c>
      <c r="V22" s="17">
        <v>7.0694999999999997</v>
      </c>
      <c r="W22" s="85">
        <v>16.1768</v>
      </c>
      <c r="X22" s="34">
        <v>12.647500000000001</v>
      </c>
      <c r="Y22" s="17">
        <v>17.550599999999999</v>
      </c>
      <c r="Z22" s="17">
        <v>15.0342</v>
      </c>
      <c r="AA22" s="17">
        <v>12.276300000000001</v>
      </c>
      <c r="AB22" s="17">
        <v>8.3310999999999993</v>
      </c>
      <c r="AC22" s="17">
        <v>21.0914</v>
      </c>
      <c r="AD22" s="17">
        <v>3.2067999999999999</v>
      </c>
      <c r="AE22" s="17">
        <v>3.9784999999999999</v>
      </c>
      <c r="AF22" s="17">
        <v>21.8842</v>
      </c>
      <c r="AG22" s="17">
        <v>4.1866000000000003</v>
      </c>
      <c r="AH22" s="17">
        <v>9.8183000000000007</v>
      </c>
      <c r="AI22" s="17">
        <v>2.5329000000000002</v>
      </c>
      <c r="AJ22" s="17">
        <v>16.6067</v>
      </c>
      <c r="AK22" s="17">
        <v>8.5947999999999993</v>
      </c>
      <c r="AL22" s="17">
        <v>4.2975000000000003</v>
      </c>
      <c r="AM22" s="17">
        <v>4.4480000000000004</v>
      </c>
      <c r="AN22" s="17">
        <v>12.928900000000001</v>
      </c>
      <c r="AO22" s="17">
        <v>2.4359000000000002</v>
      </c>
      <c r="AP22" s="17">
        <v>7.3720999999999997</v>
      </c>
      <c r="AQ22" s="85">
        <v>25.8461</v>
      </c>
    </row>
    <row r="23" spans="1:43" x14ac:dyDescent="0.2">
      <c r="A23" s="34">
        <f t="shared" si="0"/>
        <v>8.6106576923076936</v>
      </c>
      <c r="B23" s="17">
        <v>58</v>
      </c>
      <c r="C23" s="17">
        <v>18</v>
      </c>
      <c r="D23" s="34">
        <v>9.1463000000000001</v>
      </c>
      <c r="E23" s="17">
        <v>16.254899999999999</v>
      </c>
      <c r="F23" s="17">
        <v>3.9005999999999998</v>
      </c>
      <c r="G23" s="17">
        <v>1.4317</v>
      </c>
      <c r="H23" s="17">
        <v>3.2473000000000001</v>
      </c>
      <c r="I23" s="17">
        <v>15.856999999999999</v>
      </c>
      <c r="J23" s="17">
        <v>8.3402999999999992</v>
      </c>
      <c r="K23" s="17">
        <v>10.215400000000001</v>
      </c>
      <c r="L23" s="17">
        <v>10.638999999999999</v>
      </c>
      <c r="M23" s="17">
        <v>0.48670000000000002</v>
      </c>
      <c r="N23" s="17">
        <v>6.0114999999999998</v>
      </c>
      <c r="O23" s="17">
        <v>6.0937999999999999</v>
      </c>
      <c r="P23" s="17">
        <v>8.1186000000000007</v>
      </c>
      <c r="Q23" s="17">
        <v>13.7134</v>
      </c>
      <c r="R23" s="17">
        <v>1.9124000000000001</v>
      </c>
      <c r="S23" s="17">
        <v>13.678699999999999</v>
      </c>
      <c r="T23" s="17">
        <v>6.3903999999999996</v>
      </c>
      <c r="U23" s="17">
        <v>3.2549000000000001</v>
      </c>
      <c r="V23" s="17">
        <v>6.9861000000000004</v>
      </c>
      <c r="W23" s="85">
        <v>10.3688</v>
      </c>
      <c r="X23" s="34">
        <v>8.1396999999999995</v>
      </c>
      <c r="Y23" s="17">
        <v>16.561499999999999</v>
      </c>
      <c r="Z23" s="17">
        <v>3.4119999999999999</v>
      </c>
      <c r="AA23" s="17">
        <v>13.7349</v>
      </c>
      <c r="AB23" s="17">
        <v>9.0863999999999994</v>
      </c>
      <c r="AC23" s="17">
        <v>12.370100000000001</v>
      </c>
      <c r="AD23" s="17">
        <v>13.670999999999999</v>
      </c>
      <c r="AE23" s="17">
        <v>9.2556999999999992</v>
      </c>
      <c r="AF23" s="17">
        <v>16.197600000000001</v>
      </c>
      <c r="AG23" s="17">
        <v>20.193000000000001</v>
      </c>
      <c r="AH23" s="17">
        <v>8.4957999999999991</v>
      </c>
      <c r="AI23" s="17">
        <v>7.9474999999999998</v>
      </c>
      <c r="AJ23" s="17">
        <v>14.2783</v>
      </c>
      <c r="AK23" s="17">
        <v>9.5702999999999996</v>
      </c>
      <c r="AL23" s="17">
        <v>4.0419999999999998</v>
      </c>
      <c r="AM23" s="17">
        <v>12.6897</v>
      </c>
      <c r="AN23" s="17">
        <v>16.267299999999999</v>
      </c>
      <c r="AO23" s="17">
        <v>1.9751000000000001</v>
      </c>
      <c r="AP23" s="17">
        <v>13.847099999999999</v>
      </c>
      <c r="AQ23" s="85">
        <v>6.4549000000000003</v>
      </c>
    </row>
    <row r="24" spans="1:43" x14ac:dyDescent="0.2">
      <c r="A24" s="34">
        <f t="shared" si="0"/>
        <v>9.8625269230769241</v>
      </c>
      <c r="B24" s="17">
        <v>59</v>
      </c>
      <c r="C24" s="17">
        <v>19</v>
      </c>
      <c r="D24" s="34">
        <v>15.292899999999999</v>
      </c>
      <c r="E24" s="17">
        <v>7.3682999999999996</v>
      </c>
      <c r="F24" s="17">
        <v>5.7930999999999999</v>
      </c>
      <c r="G24" s="17">
        <v>8.875</v>
      </c>
      <c r="H24" s="17">
        <v>4.5347999999999997</v>
      </c>
      <c r="I24" s="17">
        <v>24.345600000000001</v>
      </c>
      <c r="J24" s="17">
        <v>8.7815999999999992</v>
      </c>
      <c r="K24" s="17">
        <v>10.052300000000001</v>
      </c>
      <c r="L24" s="17">
        <v>15.9794</v>
      </c>
      <c r="M24" s="17">
        <v>11.561999999999999</v>
      </c>
      <c r="N24" s="17">
        <v>3.3433999999999999</v>
      </c>
      <c r="O24" s="17">
        <v>16.5717</v>
      </c>
      <c r="P24" s="17">
        <v>6.5899000000000001</v>
      </c>
      <c r="Q24" s="17">
        <v>15.016500000000001</v>
      </c>
      <c r="R24" s="17">
        <v>8.1242000000000001</v>
      </c>
      <c r="S24" s="17">
        <v>17.206399999999999</v>
      </c>
      <c r="T24" s="17">
        <v>11.3545</v>
      </c>
      <c r="U24" s="17">
        <v>3.6972999999999998</v>
      </c>
      <c r="V24" s="17">
        <v>0.81789999999999996</v>
      </c>
      <c r="W24" s="85">
        <v>10.6769</v>
      </c>
      <c r="X24" s="34">
        <v>14.1364</v>
      </c>
      <c r="Y24" s="17">
        <v>7.1307999999999998</v>
      </c>
      <c r="Z24" s="17">
        <v>4.4386000000000001</v>
      </c>
      <c r="AA24" s="17">
        <v>4.04</v>
      </c>
      <c r="AB24" s="17">
        <v>3.5468999999999999</v>
      </c>
      <c r="AC24" s="17">
        <v>21.588699999999999</v>
      </c>
      <c r="AD24" s="17">
        <v>10.8535</v>
      </c>
      <c r="AE24" s="17">
        <v>5.2023000000000001</v>
      </c>
      <c r="AF24" s="17">
        <v>12.6488</v>
      </c>
      <c r="AG24" s="17">
        <v>8.9391999999999996</v>
      </c>
      <c r="AH24" s="17">
        <v>3.6038000000000001</v>
      </c>
      <c r="AI24" s="17">
        <v>8.9039000000000001</v>
      </c>
      <c r="AJ24" s="17">
        <v>5.9394</v>
      </c>
      <c r="AK24" s="17">
        <v>16.6526</v>
      </c>
      <c r="AL24" s="17">
        <v>9.359</v>
      </c>
      <c r="AM24" s="17">
        <v>22.9618</v>
      </c>
      <c r="AN24" s="17">
        <v>11.7621</v>
      </c>
      <c r="AO24" s="17">
        <v>2.3304</v>
      </c>
      <c r="AP24" s="17">
        <v>2.7685</v>
      </c>
      <c r="AQ24" s="85">
        <v>12.0136</v>
      </c>
    </row>
    <row r="25" spans="1:43" x14ac:dyDescent="0.2">
      <c r="A25" s="34">
        <f t="shared" si="0"/>
        <v>11.358057692307693</v>
      </c>
      <c r="B25" s="17">
        <v>61</v>
      </c>
      <c r="C25" s="17">
        <v>20</v>
      </c>
      <c r="D25" s="34">
        <v>22.101199999999999</v>
      </c>
      <c r="E25" s="17">
        <v>16.595400000000001</v>
      </c>
      <c r="F25" s="17">
        <v>12.3216</v>
      </c>
      <c r="G25" s="17">
        <v>8.2978000000000005</v>
      </c>
      <c r="H25" s="17">
        <v>14.0219</v>
      </c>
      <c r="I25" s="17">
        <v>18.087199999999999</v>
      </c>
      <c r="J25" s="17">
        <v>2.6032000000000002</v>
      </c>
      <c r="K25" s="17">
        <v>4.1374000000000004</v>
      </c>
      <c r="L25" s="17">
        <v>3.5724999999999998</v>
      </c>
      <c r="M25" s="17">
        <v>15.994899999999999</v>
      </c>
      <c r="N25" s="17">
        <v>13.8881</v>
      </c>
      <c r="O25" s="17">
        <v>13.940300000000001</v>
      </c>
      <c r="P25" s="17">
        <v>1.7588999999999999</v>
      </c>
      <c r="Q25" s="17">
        <v>8.2652000000000001</v>
      </c>
      <c r="R25" s="17">
        <v>7.6581000000000001</v>
      </c>
      <c r="S25" s="17">
        <v>16.41</v>
      </c>
      <c r="T25" s="17">
        <v>3.0417999999999998</v>
      </c>
      <c r="U25" s="17">
        <v>16.410900000000002</v>
      </c>
      <c r="V25" s="17">
        <v>12.0144</v>
      </c>
      <c r="W25" s="85">
        <v>4.1473000000000004</v>
      </c>
      <c r="X25" s="34">
        <v>23.348500000000001</v>
      </c>
      <c r="Y25" s="17">
        <v>18.261299999999999</v>
      </c>
      <c r="Z25" s="17">
        <v>2.2303000000000002</v>
      </c>
      <c r="AA25" s="17">
        <v>12.9558</v>
      </c>
      <c r="AB25" s="17">
        <v>19.3582</v>
      </c>
      <c r="AC25" s="17">
        <v>21.423100000000002</v>
      </c>
      <c r="AD25" s="17">
        <v>4.5654000000000003</v>
      </c>
      <c r="AE25" s="17">
        <v>6.7801999999999998</v>
      </c>
      <c r="AF25" s="17">
        <v>23.107299999999999</v>
      </c>
      <c r="AG25" s="17">
        <v>10.1332</v>
      </c>
      <c r="AH25" s="17">
        <v>14.500999999999999</v>
      </c>
      <c r="AI25" s="17">
        <v>16.390899999999998</v>
      </c>
      <c r="AJ25" s="17">
        <v>8.8630999999999993</v>
      </c>
      <c r="AK25" s="17">
        <v>3.7837999999999998</v>
      </c>
      <c r="AL25" s="17">
        <v>3.8172999999999999</v>
      </c>
      <c r="AM25" s="17">
        <v>9.7158999999999995</v>
      </c>
      <c r="AN25" s="17">
        <v>7.0673000000000004</v>
      </c>
      <c r="AO25" s="17">
        <v>17.776700000000002</v>
      </c>
      <c r="AP25" s="17">
        <v>3.6368999999999998</v>
      </c>
      <c r="AQ25" s="85">
        <v>3.9287999999999998</v>
      </c>
    </row>
    <row r="26" spans="1:43" x14ac:dyDescent="0.2">
      <c r="A26" s="34">
        <f t="shared" si="0"/>
        <v>11.152942307692312</v>
      </c>
      <c r="B26" s="17">
        <v>63</v>
      </c>
      <c r="C26" s="17">
        <v>21</v>
      </c>
      <c r="D26" s="34">
        <v>15.177300000000001</v>
      </c>
      <c r="E26" s="17">
        <v>5.2821999999999996</v>
      </c>
      <c r="F26" s="17">
        <v>3.2248999999999999</v>
      </c>
      <c r="G26" s="17">
        <v>8.8081999999999994</v>
      </c>
      <c r="H26" s="17">
        <v>8.0158000000000005</v>
      </c>
      <c r="I26" s="17">
        <v>30.7545</v>
      </c>
      <c r="J26" s="17">
        <v>11.5982</v>
      </c>
      <c r="K26" s="17">
        <v>8.1361000000000008</v>
      </c>
      <c r="L26" s="17">
        <v>1.9755</v>
      </c>
      <c r="M26" s="17">
        <v>16.959399999999999</v>
      </c>
      <c r="N26" s="17">
        <v>1.4821</v>
      </c>
      <c r="O26" s="17">
        <v>7.3974000000000002</v>
      </c>
      <c r="P26" s="17">
        <v>3.4308000000000001</v>
      </c>
      <c r="Q26" s="17">
        <v>33.6614</v>
      </c>
      <c r="R26" s="17">
        <v>7.4763999999999999</v>
      </c>
      <c r="S26" s="17">
        <v>4.665</v>
      </c>
      <c r="T26" s="17">
        <v>3.8734000000000002</v>
      </c>
      <c r="U26" s="17">
        <v>8.9797999999999991</v>
      </c>
      <c r="V26" s="17">
        <v>11.9001</v>
      </c>
      <c r="W26" s="85">
        <v>10.3811</v>
      </c>
      <c r="X26" s="34">
        <v>21.358699999999999</v>
      </c>
      <c r="Y26" s="17">
        <v>5.9226999999999999</v>
      </c>
      <c r="Z26" s="17">
        <v>14.036099999999999</v>
      </c>
      <c r="AA26" s="17">
        <v>12.0047</v>
      </c>
      <c r="AB26" s="17">
        <v>8.3880999999999997</v>
      </c>
      <c r="AC26" s="17">
        <v>33.225900000000003</v>
      </c>
      <c r="AD26" s="17">
        <v>7.0380000000000003</v>
      </c>
      <c r="AE26" s="17">
        <v>8.7922999999999991</v>
      </c>
      <c r="AF26" s="17">
        <v>23.986000000000001</v>
      </c>
      <c r="AG26" s="17">
        <v>16.490400000000001</v>
      </c>
      <c r="AH26" s="17">
        <v>9.6476000000000006</v>
      </c>
      <c r="AI26" s="17">
        <v>6.2728999999999999</v>
      </c>
      <c r="AJ26" s="17">
        <v>13.186999999999999</v>
      </c>
      <c r="AK26" s="17">
        <v>10.845000000000001</v>
      </c>
      <c r="AL26" s="17">
        <v>9.2022999999999993</v>
      </c>
      <c r="AM26" s="17">
        <v>9.6118000000000006</v>
      </c>
      <c r="AN26" s="17">
        <v>11.5519</v>
      </c>
      <c r="AO26" s="17">
        <v>2.1316000000000002</v>
      </c>
      <c r="AP26" s="17">
        <v>4.2039999999999997</v>
      </c>
      <c r="AQ26" s="85">
        <v>21.3706</v>
      </c>
    </row>
    <row r="27" spans="1:43" x14ac:dyDescent="0.2">
      <c r="A27" s="34">
        <f t="shared" si="0"/>
        <v>13.987134615384614</v>
      </c>
      <c r="B27" s="17">
        <v>65</v>
      </c>
      <c r="C27" s="17">
        <v>22</v>
      </c>
      <c r="D27" s="34">
        <v>19.671500000000002</v>
      </c>
      <c r="E27" s="17">
        <v>11.0341</v>
      </c>
      <c r="F27" s="17">
        <v>21.529900000000001</v>
      </c>
      <c r="G27" s="17">
        <v>7.2877999999999998</v>
      </c>
      <c r="H27" s="17">
        <v>4.7678000000000003</v>
      </c>
      <c r="I27" s="17">
        <v>47.9833</v>
      </c>
      <c r="J27" s="17">
        <v>2.4085000000000001</v>
      </c>
      <c r="K27" s="17">
        <v>7.3033000000000001</v>
      </c>
      <c r="L27" s="17">
        <v>17.053899999999999</v>
      </c>
      <c r="M27" s="17">
        <v>5.0689000000000002</v>
      </c>
      <c r="N27" s="17">
        <v>3.7665999999999999</v>
      </c>
      <c r="O27" s="17">
        <v>11.1495</v>
      </c>
      <c r="P27" s="17">
        <v>7.1041999999999996</v>
      </c>
      <c r="Q27" s="17">
        <v>12.7538</v>
      </c>
      <c r="R27" s="17">
        <v>2.4274</v>
      </c>
      <c r="S27" s="17">
        <v>25.895</v>
      </c>
      <c r="T27" s="17">
        <v>3.0335000000000001</v>
      </c>
      <c r="U27" s="17">
        <v>11.4658</v>
      </c>
      <c r="V27" s="17">
        <v>10.104200000000001</v>
      </c>
      <c r="W27" s="85">
        <v>17.4297</v>
      </c>
      <c r="X27" s="34">
        <v>20.745899999999999</v>
      </c>
      <c r="Y27" s="17">
        <v>18.9344</v>
      </c>
      <c r="Z27" s="17">
        <v>24.789899999999999</v>
      </c>
      <c r="AA27" s="17">
        <v>12.8506</v>
      </c>
      <c r="AB27" s="17">
        <v>6.3651999999999997</v>
      </c>
      <c r="AC27" s="17">
        <v>45.4589</v>
      </c>
      <c r="AD27" s="17">
        <v>4.9534000000000002</v>
      </c>
      <c r="AE27" s="17">
        <v>6.9340999999999999</v>
      </c>
      <c r="AF27" s="17">
        <v>22.745200000000001</v>
      </c>
      <c r="AG27" s="17">
        <v>16.277000000000001</v>
      </c>
      <c r="AH27" s="17">
        <v>12.8605</v>
      </c>
      <c r="AI27" s="17">
        <v>6.9089999999999998</v>
      </c>
      <c r="AJ27" s="17">
        <v>22.153400000000001</v>
      </c>
      <c r="AK27" s="17">
        <v>16.675899999999999</v>
      </c>
      <c r="AL27" s="17">
        <v>16.116700000000002</v>
      </c>
      <c r="AM27" s="17">
        <v>26.0457</v>
      </c>
      <c r="AN27" s="17">
        <v>6.7439</v>
      </c>
      <c r="AO27" s="17">
        <v>6.1711999999999998</v>
      </c>
      <c r="AP27" s="17">
        <v>11.462899999999999</v>
      </c>
      <c r="AQ27" s="85">
        <v>28.534700000000001</v>
      </c>
    </row>
    <row r="28" spans="1:43" x14ac:dyDescent="0.2">
      <c r="A28" s="34">
        <f t="shared" si="0"/>
        <v>10.870046153846154</v>
      </c>
      <c r="B28" s="17">
        <v>67</v>
      </c>
      <c r="C28" s="17">
        <v>23</v>
      </c>
      <c r="D28" s="34">
        <v>21.638300000000001</v>
      </c>
      <c r="E28" s="17">
        <v>9.4208999999999996</v>
      </c>
      <c r="F28" s="17">
        <v>7.5896999999999997</v>
      </c>
      <c r="G28" s="17">
        <v>9.4438999999999993</v>
      </c>
      <c r="H28" s="17">
        <v>5.5250000000000004</v>
      </c>
      <c r="I28" s="17">
        <v>23.556899999999999</v>
      </c>
      <c r="J28" s="17">
        <v>17.130700000000001</v>
      </c>
      <c r="K28" s="17">
        <v>2.7477</v>
      </c>
      <c r="L28" s="17">
        <v>15.873799999999999</v>
      </c>
      <c r="M28" s="17">
        <v>15.478199999999999</v>
      </c>
      <c r="N28" s="17">
        <v>6.1901999999999999</v>
      </c>
      <c r="O28" s="17">
        <v>14.666499999999999</v>
      </c>
      <c r="P28" s="17">
        <v>7.5819000000000001</v>
      </c>
      <c r="Q28" s="17">
        <v>5.8315000000000001</v>
      </c>
      <c r="R28" s="17">
        <v>13.696899999999999</v>
      </c>
      <c r="S28" s="17">
        <v>28.063800000000001</v>
      </c>
      <c r="T28" s="17">
        <v>5.1959999999999997</v>
      </c>
      <c r="U28" s="17">
        <v>13.822800000000001</v>
      </c>
      <c r="V28" s="17">
        <v>6.9198000000000004</v>
      </c>
      <c r="W28" s="85">
        <v>3.7303999999999999</v>
      </c>
      <c r="X28" s="34">
        <v>13.703900000000001</v>
      </c>
      <c r="Y28" s="17">
        <v>11.462899999999999</v>
      </c>
      <c r="Z28" s="17">
        <v>3.7008999999999999</v>
      </c>
      <c r="AA28" s="17">
        <v>7.1867999999999999</v>
      </c>
      <c r="AB28" s="17">
        <v>5.3651999999999997</v>
      </c>
      <c r="AC28" s="17">
        <v>21.090699999999998</v>
      </c>
      <c r="AD28" s="17">
        <v>7.6441999999999997</v>
      </c>
      <c r="AE28" s="17">
        <v>8.1760999999999999</v>
      </c>
      <c r="AF28" s="17">
        <v>18.201799999999999</v>
      </c>
      <c r="AG28" s="17">
        <v>8.8102</v>
      </c>
      <c r="AH28" s="17">
        <v>2.2625999999999999</v>
      </c>
      <c r="AI28" s="17">
        <v>8.6806000000000001</v>
      </c>
      <c r="AJ28" s="17">
        <v>6.7549999999999999</v>
      </c>
      <c r="AK28" s="17">
        <v>12.686400000000001</v>
      </c>
      <c r="AL28" s="17">
        <v>22.460999999999999</v>
      </c>
      <c r="AM28" s="17">
        <v>13.474500000000001</v>
      </c>
      <c r="AN28" s="17">
        <v>2.4609999999999999</v>
      </c>
      <c r="AO28" s="17">
        <v>18.468900000000001</v>
      </c>
      <c r="AP28" s="17">
        <v>5.1250999999999998</v>
      </c>
      <c r="AQ28" s="85">
        <v>5.2946999999999997</v>
      </c>
    </row>
    <row r="29" spans="1:43" x14ac:dyDescent="0.2">
      <c r="A29" s="34">
        <f t="shared" si="0"/>
        <v>13.046488461538461</v>
      </c>
      <c r="B29" s="17">
        <v>69</v>
      </c>
      <c r="C29" s="17">
        <v>24</v>
      </c>
      <c r="D29" s="34">
        <v>25.0398</v>
      </c>
      <c r="E29" s="17">
        <v>18.136500000000002</v>
      </c>
      <c r="F29" s="17">
        <v>17.8062</v>
      </c>
      <c r="G29" s="17">
        <v>5.3510999999999997</v>
      </c>
      <c r="H29" s="17">
        <v>6.1346999999999996</v>
      </c>
      <c r="I29" s="17">
        <v>30.352699999999999</v>
      </c>
      <c r="J29" s="17">
        <v>3.3386</v>
      </c>
      <c r="K29" s="17">
        <v>2.9339</v>
      </c>
      <c r="L29" s="17">
        <v>14.811</v>
      </c>
      <c r="M29" s="17">
        <v>6.0618999999999996</v>
      </c>
      <c r="N29" s="17">
        <v>24.0746</v>
      </c>
      <c r="O29" s="17">
        <v>9.5982000000000003</v>
      </c>
      <c r="P29" s="17">
        <v>12.4017</v>
      </c>
      <c r="Q29" s="17">
        <v>17.537600000000001</v>
      </c>
      <c r="R29" s="17">
        <v>16.534099999999999</v>
      </c>
      <c r="S29" s="17">
        <v>8.5889000000000006</v>
      </c>
      <c r="T29" s="17">
        <v>14.2471</v>
      </c>
      <c r="U29" s="17">
        <v>5.6353999999999997</v>
      </c>
      <c r="V29" s="17">
        <v>6.5248999999999997</v>
      </c>
      <c r="W29" s="85">
        <v>12.544499999999999</v>
      </c>
      <c r="X29" s="34">
        <v>25.902200000000001</v>
      </c>
      <c r="Y29" s="17">
        <v>16.2499</v>
      </c>
      <c r="Z29" s="17">
        <v>20.090900000000001</v>
      </c>
      <c r="AA29" s="17">
        <v>3.8803000000000001</v>
      </c>
      <c r="AB29" s="17">
        <v>12.4015</v>
      </c>
      <c r="AC29" s="17">
        <v>22.860399999999998</v>
      </c>
      <c r="AD29" s="17">
        <v>5.2099000000000002</v>
      </c>
      <c r="AE29" s="17">
        <v>12.6386</v>
      </c>
      <c r="AF29" s="17">
        <v>31.963799999999999</v>
      </c>
      <c r="AG29" s="17">
        <v>10.493499999999999</v>
      </c>
      <c r="AH29" s="17">
        <v>24.374500000000001</v>
      </c>
      <c r="AI29" s="17">
        <v>20.796700000000001</v>
      </c>
      <c r="AJ29" s="17">
        <v>15.4338</v>
      </c>
      <c r="AK29" s="17">
        <v>14.654999999999999</v>
      </c>
      <c r="AL29" s="17">
        <v>19.425000000000001</v>
      </c>
      <c r="AM29" s="17">
        <v>3.3433000000000002</v>
      </c>
      <c r="AN29" s="17">
        <v>12.439500000000001</v>
      </c>
      <c r="AO29" s="17">
        <v>4.9164000000000003</v>
      </c>
      <c r="AP29" s="17">
        <v>10.959899999999999</v>
      </c>
      <c r="AQ29" s="85">
        <v>13.377599999999999</v>
      </c>
    </row>
    <row r="30" spans="1:43" x14ac:dyDescent="0.2">
      <c r="A30" s="34">
        <f t="shared" si="0"/>
        <v>8.7794423076923085</v>
      </c>
      <c r="B30" s="17">
        <v>6</v>
      </c>
      <c r="C30" s="17">
        <v>25</v>
      </c>
      <c r="D30" s="34">
        <v>14.946300000000001</v>
      </c>
      <c r="E30" s="17">
        <v>7.3719999999999999</v>
      </c>
      <c r="F30" s="17">
        <v>15.6334</v>
      </c>
      <c r="G30" s="17">
        <v>4.4535999999999998</v>
      </c>
      <c r="H30" s="17">
        <v>3.2605</v>
      </c>
      <c r="I30" s="17">
        <v>16.092500000000001</v>
      </c>
      <c r="J30" s="17">
        <v>5.2672999999999996</v>
      </c>
      <c r="K30" s="17">
        <v>3.2648000000000001</v>
      </c>
      <c r="L30" s="17">
        <v>6.2461000000000002</v>
      </c>
      <c r="M30" s="17">
        <v>8.2995999999999999</v>
      </c>
      <c r="N30" s="17">
        <v>4.1525999999999996</v>
      </c>
      <c r="O30" s="17">
        <v>9.0757999999999992</v>
      </c>
      <c r="P30" s="17">
        <v>7.1542000000000003</v>
      </c>
      <c r="Q30" s="17">
        <v>5.1365999999999996</v>
      </c>
      <c r="R30" s="17">
        <v>12.073</v>
      </c>
      <c r="S30" s="17">
        <v>12.9908</v>
      </c>
      <c r="T30" s="17">
        <v>9.4094999999999995</v>
      </c>
      <c r="U30" s="17">
        <v>5.4031000000000002</v>
      </c>
      <c r="V30" s="17">
        <v>12.1617</v>
      </c>
      <c r="W30" s="85">
        <v>8.2978000000000005</v>
      </c>
      <c r="X30" s="34">
        <v>13.622400000000001</v>
      </c>
      <c r="Y30" s="17">
        <v>6.0401999999999996</v>
      </c>
      <c r="Z30" s="17">
        <v>9.2466000000000008</v>
      </c>
      <c r="AA30" s="17">
        <v>7.8395000000000001</v>
      </c>
      <c r="AB30" s="17">
        <v>6.5694999999999997</v>
      </c>
      <c r="AC30" s="17">
        <v>22.634599999999999</v>
      </c>
      <c r="AD30" s="17">
        <v>6.5678000000000001</v>
      </c>
      <c r="AE30" s="17">
        <v>5.2836999999999996</v>
      </c>
      <c r="AF30" s="17">
        <v>17.349799999999998</v>
      </c>
      <c r="AG30" s="17">
        <v>2.1488999999999998</v>
      </c>
      <c r="AH30" s="17">
        <v>5.6776999999999997</v>
      </c>
      <c r="AI30" s="17">
        <v>12.847899999999999</v>
      </c>
      <c r="AJ30" s="17">
        <v>2.2886000000000002</v>
      </c>
      <c r="AK30" s="17">
        <v>9.7507000000000001</v>
      </c>
      <c r="AL30" s="17">
        <v>3.4973999999999998</v>
      </c>
      <c r="AM30" s="17">
        <v>13.496600000000001</v>
      </c>
      <c r="AN30" s="17">
        <v>9.2849000000000004</v>
      </c>
      <c r="AO30" s="17">
        <v>8.7174999999999994</v>
      </c>
      <c r="AP30" s="17">
        <v>4.5315000000000003</v>
      </c>
      <c r="AQ30" s="85">
        <v>4.0982000000000003</v>
      </c>
    </row>
    <row r="31" spans="1:43" x14ac:dyDescent="0.2">
      <c r="A31" s="34">
        <f t="shared" si="0"/>
        <v>13.518676923076924</v>
      </c>
      <c r="B31" s="17">
        <v>70</v>
      </c>
      <c r="C31" s="17">
        <v>26</v>
      </c>
      <c r="D31" s="34">
        <v>15.019500000000001</v>
      </c>
      <c r="E31" s="17">
        <v>6.8632</v>
      </c>
      <c r="F31" s="17">
        <v>14.087300000000001</v>
      </c>
      <c r="G31" s="17">
        <v>25.918600000000001</v>
      </c>
      <c r="H31" s="17">
        <v>3.9346000000000001</v>
      </c>
      <c r="I31" s="17">
        <v>50.614600000000003</v>
      </c>
      <c r="J31" s="17">
        <v>9.4995999999999992</v>
      </c>
      <c r="K31" s="17">
        <v>7.3712</v>
      </c>
      <c r="L31" s="17">
        <v>8.0808</v>
      </c>
      <c r="M31" s="17">
        <v>8.2985000000000007</v>
      </c>
      <c r="N31" s="17">
        <v>8.2215000000000007</v>
      </c>
      <c r="O31" s="17">
        <v>17.259799999999998</v>
      </c>
      <c r="P31" s="17">
        <v>9.8206000000000007</v>
      </c>
      <c r="Q31" s="17">
        <v>13.7525</v>
      </c>
      <c r="R31" s="17">
        <v>11.016400000000001</v>
      </c>
      <c r="S31" s="17">
        <v>11.1187</v>
      </c>
      <c r="T31" s="17">
        <v>2.7258</v>
      </c>
      <c r="U31" s="17">
        <v>9.9093</v>
      </c>
      <c r="V31" s="17">
        <v>6.7209000000000003</v>
      </c>
      <c r="W31" s="85">
        <v>8.7319999999999993</v>
      </c>
      <c r="X31" s="34">
        <v>16.240200000000002</v>
      </c>
      <c r="Y31" s="17">
        <v>11.520899999999999</v>
      </c>
      <c r="Z31" s="17">
        <v>10.5953</v>
      </c>
      <c r="AA31" s="17">
        <v>15.822699999999999</v>
      </c>
      <c r="AB31" s="17">
        <v>14.517099999999999</v>
      </c>
      <c r="AC31" s="17">
        <v>38.577300000000001</v>
      </c>
      <c r="AD31" s="17">
        <v>10.2662</v>
      </c>
      <c r="AE31" s="17">
        <v>13.056100000000001</v>
      </c>
      <c r="AF31" s="17">
        <v>1.7468999999999999</v>
      </c>
      <c r="AG31" s="17">
        <v>10.2797</v>
      </c>
      <c r="AH31" s="17">
        <v>4.7831999999999999</v>
      </c>
      <c r="AI31" s="17">
        <v>7.9635999999999996</v>
      </c>
      <c r="AJ31" s="17">
        <v>12.6349</v>
      </c>
      <c r="AK31" s="17">
        <v>6.0986000000000002</v>
      </c>
      <c r="AL31" s="17">
        <v>5.7134</v>
      </c>
      <c r="AM31" s="17">
        <v>12.5345</v>
      </c>
      <c r="AN31" s="17">
        <v>11.316599999999999</v>
      </c>
      <c r="AO31" s="17">
        <v>7.7721999999999998</v>
      </c>
      <c r="AP31" s="17">
        <v>14.979799999999999</v>
      </c>
      <c r="AQ31" s="85">
        <v>3.8380000000000001</v>
      </c>
    </row>
    <row r="32" spans="1:43" x14ac:dyDescent="0.2">
      <c r="A32" s="34">
        <f t="shared" si="0"/>
        <v>7.2233961538461537</v>
      </c>
      <c r="B32" s="17">
        <v>72</v>
      </c>
      <c r="C32" s="17">
        <v>27</v>
      </c>
      <c r="D32" s="34">
        <v>24.477599999999999</v>
      </c>
      <c r="E32" s="17">
        <v>4.5800999999999998</v>
      </c>
      <c r="F32" s="17">
        <v>1.7764</v>
      </c>
      <c r="G32" s="17">
        <v>5.2211999999999996</v>
      </c>
      <c r="H32" s="17">
        <v>7.5231000000000003</v>
      </c>
      <c r="I32" s="17">
        <v>19.9895</v>
      </c>
      <c r="J32" s="17">
        <v>5.1105999999999998</v>
      </c>
      <c r="K32" s="17">
        <v>8.9741999999999997</v>
      </c>
      <c r="L32" s="17">
        <v>4.1486999999999998</v>
      </c>
      <c r="M32" s="17">
        <v>14.7746</v>
      </c>
      <c r="N32" s="17">
        <v>5.5004</v>
      </c>
      <c r="O32" s="17">
        <v>4.2964000000000002</v>
      </c>
      <c r="P32" s="17">
        <v>2.5024000000000002</v>
      </c>
      <c r="Q32" s="17">
        <v>1.6034999999999999</v>
      </c>
      <c r="R32" s="17">
        <v>4.9086999999999996</v>
      </c>
      <c r="S32" s="17">
        <v>1.9214</v>
      </c>
      <c r="T32" s="17">
        <v>8.4357000000000006</v>
      </c>
      <c r="U32" s="17">
        <v>9.6572999999999993</v>
      </c>
      <c r="V32" s="17">
        <v>2.5438000000000001</v>
      </c>
      <c r="W32" s="85">
        <v>21.6449</v>
      </c>
      <c r="X32" s="34">
        <v>23.732099999999999</v>
      </c>
      <c r="Y32" s="17">
        <v>3.0985999999999998</v>
      </c>
      <c r="Z32" s="17">
        <v>4.5682999999999998</v>
      </c>
      <c r="AA32" s="17">
        <v>2.0188999999999999</v>
      </c>
      <c r="AB32" s="17">
        <v>7.1447000000000003</v>
      </c>
      <c r="AC32" s="17">
        <v>7.2374999999999998</v>
      </c>
      <c r="AD32" s="17">
        <v>4.8952999999999998</v>
      </c>
      <c r="AE32" s="17">
        <v>8.4566999999999997</v>
      </c>
      <c r="AF32" s="17">
        <v>22.646899999999999</v>
      </c>
      <c r="AG32" s="17">
        <v>3.9157000000000002</v>
      </c>
      <c r="AH32" s="17">
        <v>2.3367</v>
      </c>
      <c r="AI32" s="17">
        <v>3.4041999999999999</v>
      </c>
      <c r="AJ32" s="17">
        <v>1.7439</v>
      </c>
      <c r="AK32" s="17">
        <v>4.3880999999999997</v>
      </c>
      <c r="AL32" s="17">
        <v>6.0518999999999998</v>
      </c>
      <c r="AM32" s="17">
        <v>4.9348000000000001</v>
      </c>
      <c r="AN32" s="17">
        <v>2.3220000000000001</v>
      </c>
      <c r="AO32" s="17">
        <v>10.1997</v>
      </c>
      <c r="AP32" s="17">
        <v>2.0560999999999998</v>
      </c>
      <c r="AQ32" s="85">
        <v>21.778300000000002</v>
      </c>
    </row>
    <row r="33" spans="1:43" x14ac:dyDescent="0.2">
      <c r="A33" s="34">
        <f t="shared" si="0"/>
        <v>9.7984115384615382</v>
      </c>
      <c r="B33" s="17">
        <v>74</v>
      </c>
      <c r="C33" s="17">
        <v>28</v>
      </c>
      <c r="D33" s="34">
        <v>22.197900000000001</v>
      </c>
      <c r="E33" s="17">
        <v>6.5640000000000001</v>
      </c>
      <c r="F33" s="17">
        <v>9.6256000000000004</v>
      </c>
      <c r="G33" s="17">
        <v>11.8529</v>
      </c>
      <c r="H33" s="17">
        <v>5.3174999999999999</v>
      </c>
      <c r="I33" s="17">
        <v>23.267199999999999</v>
      </c>
      <c r="J33" s="17">
        <v>4.6252000000000004</v>
      </c>
      <c r="K33" s="17">
        <v>6.8917000000000002</v>
      </c>
      <c r="L33" s="17">
        <v>5.1116999999999999</v>
      </c>
      <c r="M33" s="17">
        <v>4.1313000000000004</v>
      </c>
      <c r="N33" s="17">
        <v>16.867699999999999</v>
      </c>
      <c r="O33" s="17">
        <v>6.1714000000000002</v>
      </c>
      <c r="P33" s="17">
        <v>7.0185000000000004</v>
      </c>
      <c r="Q33" s="17">
        <v>4.5167999999999999</v>
      </c>
      <c r="R33" s="17">
        <v>2.1358999999999999</v>
      </c>
      <c r="S33" s="17">
        <v>10.031499999999999</v>
      </c>
      <c r="T33" s="17">
        <v>3.9914999999999998</v>
      </c>
      <c r="U33" s="17">
        <v>12.9198</v>
      </c>
      <c r="V33" s="17">
        <v>7.2362000000000002</v>
      </c>
      <c r="W33" s="85">
        <v>11.484400000000001</v>
      </c>
      <c r="X33" s="34">
        <v>20.4132</v>
      </c>
      <c r="Y33" s="17">
        <v>7.0530999999999997</v>
      </c>
      <c r="Z33" s="17">
        <v>16.123100000000001</v>
      </c>
      <c r="AA33" s="17">
        <v>6.7817999999999996</v>
      </c>
      <c r="AB33" s="17">
        <v>18.3035</v>
      </c>
      <c r="AC33" s="17">
        <v>15.7477</v>
      </c>
      <c r="AD33" s="17">
        <v>10.5755</v>
      </c>
      <c r="AE33" s="17">
        <v>2.8433999999999999</v>
      </c>
      <c r="AF33" s="17">
        <v>22.6769</v>
      </c>
      <c r="AG33" s="17">
        <v>8.3126999999999995</v>
      </c>
      <c r="AH33" s="17">
        <v>8.4137000000000004</v>
      </c>
      <c r="AI33" s="17">
        <v>7.4907000000000004</v>
      </c>
      <c r="AJ33" s="17">
        <v>5.2888000000000002</v>
      </c>
      <c r="AK33" s="17">
        <v>11.4422</v>
      </c>
      <c r="AL33" s="17">
        <v>11.827</v>
      </c>
      <c r="AM33" s="17">
        <v>10.0137</v>
      </c>
      <c r="AN33" s="17">
        <v>6.3578999999999999</v>
      </c>
      <c r="AO33" s="17">
        <v>11.5601</v>
      </c>
      <c r="AP33" s="17">
        <v>8.7051999999999996</v>
      </c>
      <c r="AQ33" s="85">
        <v>10.411899999999999</v>
      </c>
    </row>
    <row r="34" spans="1:43" x14ac:dyDescent="0.2">
      <c r="A34" s="34">
        <f t="shared" si="0"/>
        <v>8.0901884615384621</v>
      </c>
      <c r="B34" s="17">
        <v>75</v>
      </c>
      <c r="C34" s="17">
        <v>29</v>
      </c>
      <c r="D34" s="34">
        <v>6.1035000000000004</v>
      </c>
      <c r="E34" s="17">
        <v>9.6251999999999995</v>
      </c>
      <c r="F34" s="17">
        <v>19.306799999999999</v>
      </c>
      <c r="G34" s="17">
        <v>4.7361000000000004</v>
      </c>
      <c r="H34" s="17">
        <v>12.4833</v>
      </c>
      <c r="I34" s="17">
        <v>1.6616</v>
      </c>
      <c r="J34" s="17">
        <v>4.7786</v>
      </c>
      <c r="K34" s="17">
        <v>3.9443000000000001</v>
      </c>
      <c r="L34" s="17">
        <v>1.4373</v>
      </c>
      <c r="M34" s="17">
        <v>3.9142999999999999</v>
      </c>
      <c r="N34" s="17">
        <v>15.479100000000001</v>
      </c>
      <c r="O34" s="17">
        <v>11.214499999999999</v>
      </c>
      <c r="P34" s="17">
        <v>4.3693</v>
      </c>
      <c r="Q34" s="17">
        <v>3.9277000000000002</v>
      </c>
      <c r="R34" s="17">
        <v>3.2054999999999998</v>
      </c>
      <c r="S34" s="17">
        <v>3.5697000000000001</v>
      </c>
      <c r="T34" s="17">
        <v>16.0853</v>
      </c>
      <c r="U34" s="17">
        <v>1.6125</v>
      </c>
      <c r="V34" s="17">
        <v>10.738099999999999</v>
      </c>
      <c r="W34" s="85">
        <v>13.3339</v>
      </c>
      <c r="X34" s="34">
        <v>10.4368</v>
      </c>
      <c r="Y34" s="17">
        <v>4.1890999999999998</v>
      </c>
      <c r="Z34" s="17">
        <v>7.4932999999999996</v>
      </c>
      <c r="AA34" s="17">
        <v>3.2879999999999998</v>
      </c>
      <c r="AB34" s="17">
        <v>12.0731</v>
      </c>
      <c r="AC34" s="17">
        <v>20.3977</v>
      </c>
      <c r="AD34" s="17">
        <v>7.0438000000000001</v>
      </c>
      <c r="AE34" s="17">
        <v>5.5138999999999996</v>
      </c>
      <c r="AF34" s="17">
        <v>13.601599999999999</v>
      </c>
      <c r="AG34" s="17">
        <v>8.1819000000000006</v>
      </c>
      <c r="AH34" s="17">
        <v>14.4068</v>
      </c>
      <c r="AI34" s="17">
        <v>13.576000000000001</v>
      </c>
      <c r="AJ34" s="17">
        <v>4.0582000000000003</v>
      </c>
      <c r="AK34" s="17">
        <v>2.7565</v>
      </c>
      <c r="AL34" s="17">
        <v>16.474599999999999</v>
      </c>
      <c r="AM34" s="17">
        <v>14.0945</v>
      </c>
      <c r="AN34" s="17">
        <v>3.4773000000000001</v>
      </c>
      <c r="AO34" s="17">
        <v>6.9062999999999999</v>
      </c>
      <c r="AP34" s="17">
        <v>12.181100000000001</v>
      </c>
      <c r="AQ34" s="85">
        <v>11.117900000000001</v>
      </c>
    </row>
    <row r="35" spans="1:43" x14ac:dyDescent="0.2">
      <c r="A35" s="34">
        <f t="shared" si="0"/>
        <v>10.274699999999998</v>
      </c>
      <c r="B35" s="17">
        <v>78</v>
      </c>
      <c r="C35" s="17">
        <v>30</v>
      </c>
      <c r="D35" s="34">
        <v>14.5595</v>
      </c>
      <c r="E35" s="17">
        <v>7.3653000000000004</v>
      </c>
      <c r="F35" s="17">
        <v>18.342099999999999</v>
      </c>
      <c r="G35" s="17">
        <v>6.6676000000000002</v>
      </c>
      <c r="H35" s="17">
        <v>2.4075000000000002</v>
      </c>
      <c r="I35" s="17">
        <v>41.746499999999997</v>
      </c>
      <c r="J35" s="17">
        <v>11.3088</v>
      </c>
      <c r="K35" s="17">
        <v>7.4040999999999997</v>
      </c>
      <c r="L35" s="17">
        <v>11.511699999999999</v>
      </c>
      <c r="M35" s="17">
        <v>10.7768</v>
      </c>
      <c r="N35" s="17">
        <v>24.192799999999998</v>
      </c>
      <c r="O35" s="17">
        <v>10.3226</v>
      </c>
      <c r="P35" s="17">
        <v>5.8943000000000003</v>
      </c>
      <c r="Q35" s="17">
        <v>3.9731999999999998</v>
      </c>
      <c r="R35" s="17">
        <v>3.6863999999999999</v>
      </c>
      <c r="S35" s="17">
        <v>6.4930000000000003</v>
      </c>
      <c r="T35" s="17">
        <v>5.3498000000000001</v>
      </c>
      <c r="U35" s="17">
        <v>6.65</v>
      </c>
      <c r="V35" s="17">
        <v>6.7236000000000002</v>
      </c>
      <c r="W35" s="85">
        <v>10.778</v>
      </c>
      <c r="X35" s="34">
        <v>10.9556</v>
      </c>
      <c r="Y35" s="17">
        <v>9.3635000000000002</v>
      </c>
      <c r="Z35" s="17">
        <v>17.334599999999998</v>
      </c>
      <c r="AA35" s="17">
        <v>5.3788</v>
      </c>
      <c r="AB35" s="17">
        <v>3.0672999999999999</v>
      </c>
      <c r="AC35" s="17">
        <v>6.4825999999999997</v>
      </c>
      <c r="AD35" s="17">
        <v>12.9657</v>
      </c>
      <c r="AE35" s="17">
        <v>4.4349999999999996</v>
      </c>
      <c r="AF35" s="17">
        <v>3.8965999999999998</v>
      </c>
      <c r="AG35" s="17">
        <v>12.1104</v>
      </c>
      <c r="AH35" s="17">
        <v>13.7431</v>
      </c>
      <c r="AI35" s="17">
        <v>6.3151999999999999</v>
      </c>
      <c r="AJ35" s="17">
        <v>13.5982</v>
      </c>
      <c r="AK35" s="17">
        <v>3.0691999999999999</v>
      </c>
      <c r="AL35" s="17">
        <v>3.0289999999999999</v>
      </c>
      <c r="AM35" s="17">
        <v>22.156500000000001</v>
      </c>
      <c r="AN35" s="17">
        <v>8.7157999999999998</v>
      </c>
      <c r="AO35" s="17">
        <v>6.0594999999999999</v>
      </c>
      <c r="AP35" s="17">
        <v>6.7176999999999998</v>
      </c>
      <c r="AQ35" s="85">
        <v>7.2343999999999999</v>
      </c>
    </row>
    <row r="36" spans="1:43" x14ac:dyDescent="0.2">
      <c r="A36" s="34">
        <f t="shared" si="0"/>
        <v>11.016876923076923</v>
      </c>
      <c r="B36" s="17">
        <v>80</v>
      </c>
      <c r="C36" s="17">
        <v>31</v>
      </c>
      <c r="D36" s="34">
        <v>7.7842000000000002</v>
      </c>
      <c r="E36" s="17">
        <v>7.7077</v>
      </c>
      <c r="F36" s="17">
        <v>14.7308</v>
      </c>
      <c r="G36" s="17">
        <v>6.8106</v>
      </c>
      <c r="H36" s="17">
        <v>10.724</v>
      </c>
      <c r="I36" s="17">
        <v>23.832000000000001</v>
      </c>
      <c r="J36" s="17">
        <v>11.8756</v>
      </c>
      <c r="K36" s="17">
        <v>7.7012999999999998</v>
      </c>
      <c r="L36" s="17">
        <v>7.0316000000000001</v>
      </c>
      <c r="M36" s="17">
        <v>8.3653999999999993</v>
      </c>
      <c r="N36" s="17">
        <v>9.7518999999999991</v>
      </c>
      <c r="O36" s="17">
        <v>9.2646999999999995</v>
      </c>
      <c r="P36" s="17">
        <v>5.1106999999999996</v>
      </c>
      <c r="Q36" s="17">
        <v>13.0825</v>
      </c>
      <c r="R36" s="17">
        <v>3.9927000000000001</v>
      </c>
      <c r="S36" s="17">
        <v>6.0393999999999997</v>
      </c>
      <c r="T36" s="17">
        <v>17.858599999999999</v>
      </c>
      <c r="U36" s="17">
        <v>21.479900000000001</v>
      </c>
      <c r="V36" s="17">
        <v>11.7645</v>
      </c>
      <c r="W36" s="85">
        <v>19.052199999999999</v>
      </c>
      <c r="X36" s="34">
        <v>6.6151999999999997</v>
      </c>
      <c r="Y36" s="17">
        <v>7.2186000000000003</v>
      </c>
      <c r="Z36" s="17">
        <v>15.9634</v>
      </c>
      <c r="AA36" s="17">
        <v>12.2012</v>
      </c>
      <c r="AB36" s="17">
        <v>4.1947000000000001</v>
      </c>
      <c r="AC36" s="17">
        <v>21.831</v>
      </c>
      <c r="AD36" s="17">
        <v>2.2385999999999999</v>
      </c>
      <c r="AE36" s="17">
        <v>14.383800000000001</v>
      </c>
      <c r="AF36" s="17">
        <v>13.2364</v>
      </c>
      <c r="AG36" s="17">
        <v>11.406000000000001</v>
      </c>
      <c r="AH36" s="17">
        <v>7.4619999999999997</v>
      </c>
      <c r="AI36" s="17">
        <v>4.6162999999999998</v>
      </c>
      <c r="AJ36" s="17">
        <v>8.5831999999999997</v>
      </c>
      <c r="AK36" s="17">
        <v>34.703099999999999</v>
      </c>
      <c r="AL36" s="17">
        <v>4.3169000000000004</v>
      </c>
      <c r="AM36" s="17">
        <v>10.4345</v>
      </c>
      <c r="AN36" s="17">
        <v>7.7580999999999998</v>
      </c>
      <c r="AO36" s="17">
        <v>9.0174000000000003</v>
      </c>
      <c r="AP36" s="17">
        <v>13.155200000000001</v>
      </c>
      <c r="AQ36" s="85">
        <v>19.6982</v>
      </c>
    </row>
    <row r="37" spans="1:43" x14ac:dyDescent="0.2">
      <c r="A37" s="34">
        <f t="shared" si="0"/>
        <v>9.1368999999999989</v>
      </c>
      <c r="B37" s="17">
        <v>82</v>
      </c>
      <c r="C37" s="17">
        <v>32</v>
      </c>
      <c r="D37" s="34">
        <v>7.4322999999999997</v>
      </c>
      <c r="E37" s="17">
        <v>7.2268999999999997</v>
      </c>
      <c r="F37" s="17">
        <v>4.9865000000000004</v>
      </c>
      <c r="G37" s="17">
        <v>4.2464000000000004</v>
      </c>
      <c r="H37" s="17">
        <v>3.3715000000000002</v>
      </c>
      <c r="I37" s="17">
        <v>12.9618</v>
      </c>
      <c r="J37" s="17">
        <v>5.3524000000000003</v>
      </c>
      <c r="K37" s="17">
        <v>7.6425999999999998</v>
      </c>
      <c r="L37" s="17">
        <v>8.5681999999999992</v>
      </c>
      <c r="M37" s="17">
        <v>3.5190999999999999</v>
      </c>
      <c r="N37" s="17">
        <v>11.4129</v>
      </c>
      <c r="O37" s="17">
        <v>5.4947999999999997</v>
      </c>
      <c r="P37" s="17">
        <v>10.1302</v>
      </c>
      <c r="Q37" s="17">
        <v>4.8295000000000003</v>
      </c>
      <c r="R37" s="17">
        <v>2.4731000000000001</v>
      </c>
      <c r="S37" s="17">
        <v>9.5845000000000002</v>
      </c>
      <c r="T37" s="17">
        <v>4.202</v>
      </c>
      <c r="U37" s="17">
        <v>6.5575999999999999</v>
      </c>
      <c r="V37" s="17">
        <v>17.316400000000002</v>
      </c>
      <c r="W37" s="85">
        <v>11.398199999999999</v>
      </c>
      <c r="X37" s="34">
        <v>10.970700000000001</v>
      </c>
      <c r="Y37" s="17">
        <v>8.0797000000000008</v>
      </c>
      <c r="Z37" s="17">
        <v>5.0087000000000002</v>
      </c>
      <c r="AA37" s="17">
        <v>8.0649999999999995</v>
      </c>
      <c r="AB37" s="17">
        <v>7.3007999999999997</v>
      </c>
      <c r="AC37" s="17">
        <v>49.707900000000002</v>
      </c>
      <c r="AD37" s="17">
        <v>7.1520000000000001</v>
      </c>
      <c r="AE37" s="17">
        <v>5.3887</v>
      </c>
      <c r="AF37" s="17">
        <v>17.700099999999999</v>
      </c>
      <c r="AG37" s="17">
        <v>12.5778</v>
      </c>
      <c r="AH37" s="17">
        <v>3.2698</v>
      </c>
      <c r="AI37" s="17">
        <v>4.0888</v>
      </c>
      <c r="AJ37" s="17">
        <v>11.7202</v>
      </c>
      <c r="AK37" s="17">
        <v>9.4862000000000002</v>
      </c>
      <c r="AL37" s="17">
        <v>9.5655000000000001</v>
      </c>
      <c r="AM37" s="17">
        <v>16.662199999999999</v>
      </c>
      <c r="AN37" s="17">
        <v>9.3607999999999993</v>
      </c>
      <c r="AO37" s="17">
        <v>14.2455</v>
      </c>
      <c r="AP37" s="17">
        <v>16.230799999999999</v>
      </c>
      <c r="AQ37" s="85">
        <v>19.733000000000001</v>
      </c>
    </row>
    <row r="38" spans="1:43" x14ac:dyDescent="0.2">
      <c r="A38" s="34">
        <f t="shared" si="0"/>
        <v>9.0613692307692286</v>
      </c>
      <c r="B38" s="17">
        <v>84</v>
      </c>
      <c r="C38" s="17">
        <v>33</v>
      </c>
      <c r="D38" s="34">
        <v>11.549099999999999</v>
      </c>
      <c r="E38" s="17">
        <v>10.1311</v>
      </c>
      <c r="F38" s="17">
        <v>2.4803999999999999</v>
      </c>
      <c r="G38" s="17">
        <v>11.4682</v>
      </c>
      <c r="H38" s="17">
        <v>6.7229000000000001</v>
      </c>
      <c r="I38" s="17">
        <v>21.171900000000001</v>
      </c>
      <c r="J38" s="17">
        <v>4.2008000000000001</v>
      </c>
      <c r="K38" s="17">
        <v>5.0900999999999996</v>
      </c>
      <c r="L38" s="17">
        <v>25.418500000000002</v>
      </c>
      <c r="M38" s="17">
        <v>5.9695</v>
      </c>
      <c r="N38" s="17">
        <v>7.0113000000000003</v>
      </c>
      <c r="O38" s="17">
        <v>4.4691999999999998</v>
      </c>
      <c r="P38" s="17">
        <v>2.7115</v>
      </c>
      <c r="Q38" s="17">
        <v>3.9773999999999998</v>
      </c>
      <c r="R38" s="17">
        <v>5.1231999999999998</v>
      </c>
      <c r="S38" s="17">
        <v>21.4237</v>
      </c>
      <c r="T38" s="17">
        <v>3.9247999999999998</v>
      </c>
      <c r="U38" s="17">
        <v>16.1066</v>
      </c>
      <c r="V38" s="17">
        <v>8.0488</v>
      </c>
      <c r="W38" s="85">
        <v>9.6059000000000001</v>
      </c>
      <c r="X38" s="34">
        <v>10.0168</v>
      </c>
      <c r="Y38" s="17">
        <v>10.977499999999999</v>
      </c>
      <c r="Z38" s="17">
        <v>2.2503000000000002</v>
      </c>
      <c r="AA38" s="17">
        <v>4.8217999999999996</v>
      </c>
      <c r="AB38" s="17">
        <v>11.9787</v>
      </c>
      <c r="AC38" s="17">
        <v>14.9467</v>
      </c>
      <c r="AD38" s="17">
        <v>5.548</v>
      </c>
      <c r="AE38" s="17">
        <v>7.7866999999999997</v>
      </c>
      <c r="AF38" s="17">
        <v>15.799200000000001</v>
      </c>
      <c r="AG38" s="17">
        <v>3.0360999999999998</v>
      </c>
      <c r="AH38" s="17">
        <v>6.5327000000000002</v>
      </c>
      <c r="AI38" s="17">
        <v>11.317600000000001</v>
      </c>
      <c r="AJ38" s="17">
        <v>1.921</v>
      </c>
      <c r="AK38" s="17">
        <v>4.2363</v>
      </c>
      <c r="AL38" s="17">
        <v>4.1380999999999997</v>
      </c>
      <c r="AM38" s="17">
        <v>16.356999999999999</v>
      </c>
      <c r="AN38" s="17">
        <v>6.4661999999999997</v>
      </c>
      <c r="AO38" s="17">
        <v>8.0190999999999999</v>
      </c>
      <c r="AP38" s="17">
        <v>13.6465</v>
      </c>
      <c r="AQ38" s="85">
        <v>5.4466000000000001</v>
      </c>
    </row>
    <row r="39" spans="1:43" x14ac:dyDescent="0.2">
      <c r="A39" s="34">
        <f t="shared" si="0"/>
        <v>12.810969230769228</v>
      </c>
      <c r="B39" s="17">
        <v>85</v>
      </c>
      <c r="C39" s="17">
        <v>34</v>
      </c>
      <c r="D39" s="34">
        <v>15.074999999999999</v>
      </c>
      <c r="E39" s="17">
        <v>10.830299999999999</v>
      </c>
      <c r="F39" s="17">
        <v>11.126200000000001</v>
      </c>
      <c r="G39" s="17">
        <v>12.4518</v>
      </c>
      <c r="H39" s="17">
        <v>3.0209999999999999</v>
      </c>
      <c r="I39" s="17">
        <v>46.898000000000003</v>
      </c>
      <c r="J39" s="17">
        <v>3.8794</v>
      </c>
      <c r="K39" s="17">
        <v>10.4894</v>
      </c>
      <c r="L39" s="17">
        <v>8.7307000000000006</v>
      </c>
      <c r="M39" s="17">
        <v>13.816700000000001</v>
      </c>
      <c r="N39" s="17">
        <v>7.4497</v>
      </c>
      <c r="O39" s="17">
        <v>5.9804000000000004</v>
      </c>
      <c r="P39" s="17">
        <v>6.3659999999999997</v>
      </c>
      <c r="Q39" s="17">
        <v>5.5326000000000004</v>
      </c>
      <c r="R39" s="17">
        <v>13.6792</v>
      </c>
      <c r="S39" s="17">
        <v>19.1067</v>
      </c>
      <c r="T39" s="17">
        <v>8.7660999999999998</v>
      </c>
      <c r="U39" s="17">
        <v>5.7976999999999999</v>
      </c>
      <c r="V39" s="17">
        <v>3.1118000000000001</v>
      </c>
      <c r="W39" s="85">
        <v>21.1677</v>
      </c>
      <c r="X39" s="34">
        <v>6.64</v>
      </c>
      <c r="Y39" s="17">
        <v>15.6111</v>
      </c>
      <c r="Z39" s="17">
        <v>16.042300000000001</v>
      </c>
      <c r="AA39" s="17">
        <v>12.503299999999999</v>
      </c>
      <c r="AB39" s="17">
        <v>10.182499999999999</v>
      </c>
      <c r="AC39" s="17">
        <v>49.026600000000002</v>
      </c>
      <c r="AD39" s="17">
        <v>4.8780000000000001</v>
      </c>
      <c r="AE39" s="17">
        <v>14.270899999999999</v>
      </c>
      <c r="AF39" s="17">
        <v>25.394100000000002</v>
      </c>
      <c r="AG39" s="17">
        <v>4.5781999999999998</v>
      </c>
      <c r="AH39" s="17">
        <v>6.8544</v>
      </c>
      <c r="AI39" s="17">
        <v>3.8128000000000002</v>
      </c>
      <c r="AJ39" s="17">
        <v>5.8259999999999996</v>
      </c>
      <c r="AK39" s="17">
        <v>10.648400000000001</v>
      </c>
      <c r="AL39" s="17">
        <v>15.0768</v>
      </c>
      <c r="AM39" s="17">
        <v>27.1144</v>
      </c>
      <c r="AN39" s="17">
        <v>10.0725</v>
      </c>
      <c r="AO39" s="17">
        <v>3.6537000000000002</v>
      </c>
      <c r="AP39" s="17">
        <v>5.5002000000000004</v>
      </c>
      <c r="AQ39" s="85">
        <v>25.219799999999999</v>
      </c>
    </row>
    <row r="40" spans="1:43" x14ac:dyDescent="0.2">
      <c r="A40" s="34">
        <f t="shared" si="0"/>
        <v>12.5128</v>
      </c>
      <c r="B40" s="17">
        <v>86</v>
      </c>
      <c r="C40" s="17">
        <v>35</v>
      </c>
      <c r="D40" s="34">
        <v>19.741900000000001</v>
      </c>
      <c r="E40" s="17">
        <v>8.6785999999999994</v>
      </c>
      <c r="F40" s="17">
        <v>19.384599999999999</v>
      </c>
      <c r="G40" s="17">
        <v>14.2683</v>
      </c>
      <c r="H40" s="17">
        <v>8.4772999999999996</v>
      </c>
      <c r="I40" s="17">
        <v>48.597799999999999</v>
      </c>
      <c r="J40" s="17">
        <v>2.7728000000000002</v>
      </c>
      <c r="K40" s="17">
        <v>8.0236999999999998</v>
      </c>
      <c r="L40" s="17">
        <v>8.8556000000000008</v>
      </c>
      <c r="M40" s="17">
        <v>13.9102</v>
      </c>
      <c r="N40" s="17">
        <v>9.7101000000000006</v>
      </c>
      <c r="O40" s="17">
        <v>8.4238</v>
      </c>
      <c r="P40" s="17">
        <v>12.4697</v>
      </c>
      <c r="Q40" s="17">
        <v>8.9208999999999996</v>
      </c>
      <c r="R40" s="17">
        <v>13.129</v>
      </c>
      <c r="S40" s="17">
        <v>1.7070000000000001</v>
      </c>
      <c r="T40" s="17">
        <v>10.622</v>
      </c>
      <c r="U40" s="17">
        <v>15.9472</v>
      </c>
      <c r="V40" s="17">
        <v>11.3057</v>
      </c>
      <c r="W40" s="85">
        <v>1.6847000000000001</v>
      </c>
      <c r="X40" s="34">
        <v>12.055999999999999</v>
      </c>
      <c r="Y40" s="17">
        <v>14.5884</v>
      </c>
      <c r="Z40" s="17">
        <v>9.3132000000000001</v>
      </c>
      <c r="AA40" s="17">
        <v>22.232700000000001</v>
      </c>
      <c r="AB40" s="17">
        <v>10.414999999999999</v>
      </c>
      <c r="AC40" s="17">
        <v>21.089099999999998</v>
      </c>
      <c r="AD40" s="17">
        <v>8.7493999999999996</v>
      </c>
      <c r="AE40" s="17">
        <v>16.784400000000002</v>
      </c>
      <c r="AF40" s="17">
        <v>26.097100000000001</v>
      </c>
      <c r="AG40" s="17">
        <v>7.3052000000000001</v>
      </c>
      <c r="AH40" s="17">
        <v>13.643700000000001</v>
      </c>
      <c r="AI40" s="17">
        <v>12.9345</v>
      </c>
      <c r="AJ40" s="17">
        <v>9.9260000000000002</v>
      </c>
      <c r="AK40" s="17">
        <v>11.365500000000001</v>
      </c>
      <c r="AL40" s="17">
        <v>14.1579</v>
      </c>
      <c r="AM40" s="17">
        <v>19.344999999999999</v>
      </c>
      <c r="AN40" s="17">
        <v>13.4419</v>
      </c>
      <c r="AO40" s="17">
        <v>5.5351999999999997</v>
      </c>
      <c r="AP40" s="17">
        <v>2.9895999999999998</v>
      </c>
      <c r="AQ40" s="85">
        <v>1.5561</v>
      </c>
    </row>
    <row r="41" spans="1:43" x14ac:dyDescent="0.2">
      <c r="A41" s="34">
        <f t="shared" si="0"/>
        <v>7.883650000000002</v>
      </c>
      <c r="B41" s="17">
        <v>87</v>
      </c>
      <c r="C41" s="17">
        <v>36</v>
      </c>
      <c r="D41" s="34">
        <v>19.254899999999999</v>
      </c>
      <c r="E41" s="17">
        <v>10.862399999999999</v>
      </c>
      <c r="F41" s="17">
        <v>2.9009999999999998</v>
      </c>
      <c r="G41" s="17">
        <v>6.1467999999999998</v>
      </c>
      <c r="H41" s="17">
        <v>2.3405</v>
      </c>
      <c r="I41" s="17">
        <v>20.472300000000001</v>
      </c>
      <c r="J41" s="17">
        <v>10.0365</v>
      </c>
      <c r="K41" s="17">
        <v>10.3635</v>
      </c>
      <c r="L41" s="17">
        <v>7.0852000000000004</v>
      </c>
      <c r="M41" s="17">
        <v>6.4273999999999996</v>
      </c>
      <c r="N41" s="17">
        <v>2.5706000000000002</v>
      </c>
      <c r="O41" s="17">
        <v>9.1214999999999993</v>
      </c>
      <c r="P41" s="17">
        <v>4.9401999999999999</v>
      </c>
      <c r="Q41" s="17">
        <v>10.2234</v>
      </c>
      <c r="R41" s="17">
        <v>4.4089999999999998</v>
      </c>
      <c r="S41" s="17">
        <v>5.0311000000000003</v>
      </c>
      <c r="T41" s="17">
        <v>10.037100000000001</v>
      </c>
      <c r="U41" s="17">
        <v>8.2477999999999998</v>
      </c>
      <c r="V41" s="17">
        <v>5.8916000000000004</v>
      </c>
      <c r="W41" s="85">
        <v>4.3349000000000002</v>
      </c>
      <c r="X41" s="34">
        <v>9.2515000000000001</v>
      </c>
      <c r="Y41" s="17">
        <v>14.7134</v>
      </c>
      <c r="Z41" s="17">
        <v>2.8469000000000002</v>
      </c>
      <c r="AA41" s="17">
        <v>4.8654999999999999</v>
      </c>
      <c r="AB41" s="17">
        <v>8.2487999999999992</v>
      </c>
      <c r="AC41" s="17">
        <v>15.8667</v>
      </c>
      <c r="AD41" s="17">
        <v>7.7393000000000001</v>
      </c>
      <c r="AE41" s="17">
        <v>5.4009</v>
      </c>
      <c r="AF41" s="17">
        <v>18.465599999999998</v>
      </c>
      <c r="AG41" s="17">
        <v>4.0145</v>
      </c>
      <c r="AH41" s="17">
        <v>9.9914000000000005</v>
      </c>
      <c r="AI41" s="17">
        <v>10.7613</v>
      </c>
      <c r="AJ41" s="17">
        <v>1.9711000000000001</v>
      </c>
      <c r="AK41" s="17">
        <v>14.418200000000001</v>
      </c>
      <c r="AL41" s="17">
        <v>17.887499999999999</v>
      </c>
      <c r="AM41" s="17">
        <v>15.777699999999999</v>
      </c>
      <c r="AN41" s="17">
        <v>13.7293</v>
      </c>
      <c r="AO41" s="17">
        <v>14.592499999999999</v>
      </c>
      <c r="AP41" s="17">
        <v>3.4062000000000001</v>
      </c>
      <c r="AQ41" s="85">
        <v>3.6253000000000002</v>
      </c>
    </row>
    <row r="42" spans="1:43" x14ac:dyDescent="0.2">
      <c r="A42" s="34">
        <f t="shared" si="0"/>
        <v>9.5588346153846153</v>
      </c>
      <c r="B42" s="17">
        <v>88</v>
      </c>
      <c r="C42" s="17">
        <v>37</v>
      </c>
      <c r="D42" s="34">
        <v>15.7582</v>
      </c>
      <c r="E42" s="17">
        <v>11.991099999999999</v>
      </c>
      <c r="F42" s="17">
        <v>5.5007000000000001</v>
      </c>
      <c r="G42" s="17">
        <v>13.6195</v>
      </c>
      <c r="H42" s="17">
        <v>15.069900000000001</v>
      </c>
      <c r="I42" s="17">
        <v>10.723100000000001</v>
      </c>
      <c r="J42" s="17">
        <v>6.9789000000000003</v>
      </c>
      <c r="K42" s="17">
        <v>6.0057999999999998</v>
      </c>
      <c r="L42" s="17">
        <v>3.9037000000000002</v>
      </c>
      <c r="M42" s="17">
        <v>6.3765999999999998</v>
      </c>
      <c r="N42" s="17">
        <v>6.7179000000000002</v>
      </c>
      <c r="O42" s="17">
        <v>7.7035999999999998</v>
      </c>
      <c r="P42" s="17">
        <v>10.8627</v>
      </c>
      <c r="Q42" s="17">
        <v>15.9041</v>
      </c>
      <c r="R42" s="17">
        <v>1.7453000000000001</v>
      </c>
      <c r="S42" s="17">
        <v>16.587399999999999</v>
      </c>
      <c r="T42" s="17">
        <v>12.162100000000001</v>
      </c>
      <c r="U42" s="17">
        <v>3.4893999999999998</v>
      </c>
      <c r="V42" s="17">
        <v>5.6685999999999996</v>
      </c>
      <c r="W42" s="85">
        <v>9.5398999999999994</v>
      </c>
      <c r="X42" s="34">
        <v>12.216200000000001</v>
      </c>
      <c r="Y42" s="17">
        <v>13.9526</v>
      </c>
      <c r="Z42" s="17">
        <v>6.1040000000000001</v>
      </c>
      <c r="AA42" s="17">
        <v>9.1783999999999999</v>
      </c>
      <c r="AB42" s="17">
        <v>7.1675000000000004</v>
      </c>
      <c r="AC42" s="17">
        <v>10.9396</v>
      </c>
      <c r="AD42" s="17">
        <v>18.421099999999999</v>
      </c>
      <c r="AE42" s="17">
        <v>1.5470999999999999</v>
      </c>
      <c r="AF42" s="17">
        <v>22.921900000000001</v>
      </c>
      <c r="AG42" s="17">
        <v>5.1207000000000003</v>
      </c>
      <c r="AH42" s="17">
        <v>6.6829000000000001</v>
      </c>
      <c r="AI42" s="17">
        <v>5.7206000000000001</v>
      </c>
      <c r="AJ42" s="17">
        <v>2.8824999999999998</v>
      </c>
      <c r="AK42" s="17">
        <v>8.7728999999999999</v>
      </c>
      <c r="AL42" s="17">
        <v>4.7309000000000001</v>
      </c>
      <c r="AM42" s="17">
        <v>6.0922999999999998</v>
      </c>
      <c r="AN42" s="17">
        <v>6.1783999999999999</v>
      </c>
      <c r="AO42" s="17">
        <v>6.2680999999999996</v>
      </c>
      <c r="AP42" s="17">
        <v>12.406000000000001</v>
      </c>
      <c r="AQ42" s="85">
        <v>14.1511</v>
      </c>
    </row>
    <row r="43" spans="1:43" x14ac:dyDescent="0.2">
      <c r="A43" s="34">
        <f t="shared" si="0"/>
        <v>11.420053846153847</v>
      </c>
      <c r="B43" s="17">
        <v>89</v>
      </c>
      <c r="C43" s="17">
        <v>38</v>
      </c>
      <c r="D43" s="34">
        <v>16.052199999999999</v>
      </c>
      <c r="E43" s="17">
        <v>9.4608000000000008</v>
      </c>
      <c r="F43" s="17">
        <v>20.407399999999999</v>
      </c>
      <c r="G43" s="17">
        <v>4.5054999999999996</v>
      </c>
      <c r="H43" s="17">
        <v>10.198399999999999</v>
      </c>
      <c r="I43" s="17">
        <v>25.493099999999998</v>
      </c>
      <c r="J43" s="17">
        <v>6.6589</v>
      </c>
      <c r="K43" s="17">
        <v>13.2807</v>
      </c>
      <c r="L43" s="17">
        <v>6.6784999999999997</v>
      </c>
      <c r="M43" s="17">
        <v>18.425799999999999</v>
      </c>
      <c r="N43" s="17">
        <v>20.1388</v>
      </c>
      <c r="O43" s="17">
        <v>8.1073000000000004</v>
      </c>
      <c r="P43" s="17">
        <v>8.5704999999999991</v>
      </c>
      <c r="Q43" s="17">
        <v>7.7870999999999997</v>
      </c>
      <c r="R43" s="17">
        <v>4.4897</v>
      </c>
      <c r="S43" s="17">
        <v>20.1828</v>
      </c>
      <c r="T43" s="17">
        <v>11.226800000000001</v>
      </c>
      <c r="U43" s="17">
        <v>9.1245999999999992</v>
      </c>
      <c r="V43" s="17">
        <v>15.991400000000001</v>
      </c>
      <c r="W43" s="85">
        <v>5.6959999999999997</v>
      </c>
      <c r="X43" s="34">
        <v>13.9785</v>
      </c>
      <c r="Y43" s="17">
        <v>3.1086999999999998</v>
      </c>
      <c r="Z43" s="17">
        <v>9.3331999999999997</v>
      </c>
      <c r="AA43" s="17">
        <v>5.7972999999999999</v>
      </c>
      <c r="AB43" s="17">
        <v>7.9397000000000002</v>
      </c>
      <c r="AC43" s="17">
        <v>21.728200000000001</v>
      </c>
      <c r="AD43" s="17">
        <v>8.6117000000000008</v>
      </c>
      <c r="AE43" s="17">
        <v>14.809799999999999</v>
      </c>
      <c r="AF43" s="17">
        <v>12.6874</v>
      </c>
      <c r="AG43" s="17">
        <v>17.748200000000001</v>
      </c>
      <c r="AH43" s="17">
        <v>16.342300000000002</v>
      </c>
      <c r="AI43" s="17">
        <v>12.7514</v>
      </c>
      <c r="AJ43" s="17">
        <v>9.2110000000000003</v>
      </c>
      <c r="AK43" s="17">
        <v>10.163</v>
      </c>
      <c r="AL43" s="17">
        <v>5.4428999999999998</v>
      </c>
      <c r="AM43" s="17">
        <v>27.287500000000001</v>
      </c>
      <c r="AN43" s="17">
        <v>14.9413</v>
      </c>
      <c r="AO43" s="17">
        <v>4.8711000000000002</v>
      </c>
      <c r="AP43" s="17">
        <v>13.5779</v>
      </c>
      <c r="AQ43" s="85">
        <v>9.3779000000000003</v>
      </c>
    </row>
    <row r="44" spans="1:43" x14ac:dyDescent="0.2">
      <c r="A44" s="34">
        <f t="shared" si="0"/>
        <v>9.3615269230769211</v>
      </c>
      <c r="B44" s="17">
        <v>8</v>
      </c>
      <c r="C44" s="17">
        <v>39</v>
      </c>
      <c r="D44" s="34">
        <v>6.7335000000000003</v>
      </c>
      <c r="E44" s="17">
        <v>18.451899999999998</v>
      </c>
      <c r="F44" s="17">
        <v>3.3883999999999999</v>
      </c>
      <c r="G44" s="17">
        <v>19.948899999999998</v>
      </c>
      <c r="H44" s="17">
        <v>1.3871</v>
      </c>
      <c r="I44" s="17">
        <v>6.9537000000000004</v>
      </c>
      <c r="J44" s="17">
        <v>6.8944000000000001</v>
      </c>
      <c r="K44" s="17">
        <v>5.4314999999999998</v>
      </c>
      <c r="L44" s="17">
        <v>12.6952</v>
      </c>
      <c r="M44" s="17">
        <v>11.7277</v>
      </c>
      <c r="N44" s="17">
        <v>8.2582000000000004</v>
      </c>
      <c r="O44" s="17">
        <v>6.8060999999999998</v>
      </c>
      <c r="P44" s="17">
        <v>9.0961999999999996</v>
      </c>
      <c r="Q44" s="17">
        <v>6.0616000000000003</v>
      </c>
      <c r="R44" s="17">
        <v>0.95799999999999996</v>
      </c>
      <c r="S44" s="17">
        <v>18.792000000000002</v>
      </c>
      <c r="T44" s="17">
        <v>5.6688999999999998</v>
      </c>
      <c r="U44" s="17">
        <v>8.4032</v>
      </c>
      <c r="V44" s="17">
        <v>15.808299999999999</v>
      </c>
      <c r="W44" s="85">
        <v>5.8635000000000002</v>
      </c>
      <c r="X44" s="34">
        <v>9.9700000000000006</v>
      </c>
      <c r="Y44" s="17">
        <v>15.9001</v>
      </c>
      <c r="Z44" s="17">
        <v>8.1287000000000003</v>
      </c>
      <c r="AA44" s="17">
        <v>17.471299999999999</v>
      </c>
      <c r="AB44" s="17">
        <v>4.0731000000000002</v>
      </c>
      <c r="AC44" s="17">
        <v>7.7054</v>
      </c>
      <c r="AD44" s="17">
        <v>7.5563000000000002</v>
      </c>
      <c r="AE44" s="17">
        <v>4.4420000000000002</v>
      </c>
      <c r="AF44" s="17">
        <v>11.361000000000001</v>
      </c>
      <c r="AG44" s="17">
        <v>11.256500000000001</v>
      </c>
      <c r="AH44" s="17">
        <v>11.756500000000001</v>
      </c>
      <c r="AI44" s="17">
        <v>3.3071000000000002</v>
      </c>
      <c r="AJ44" s="17">
        <v>6.1616</v>
      </c>
      <c r="AK44" s="17">
        <v>9.4758999999999993</v>
      </c>
      <c r="AL44" s="17">
        <v>8.2233999999999998</v>
      </c>
      <c r="AM44" s="17">
        <v>9.2721999999999998</v>
      </c>
      <c r="AN44" s="17">
        <v>11.414400000000001</v>
      </c>
      <c r="AO44" s="17">
        <v>8.3262</v>
      </c>
      <c r="AP44" s="17">
        <v>13.602</v>
      </c>
      <c r="AQ44" s="85">
        <v>8.2528000000000006</v>
      </c>
    </row>
    <row r="45" spans="1:43" x14ac:dyDescent="0.2">
      <c r="A45" s="34">
        <f t="shared" si="0"/>
        <v>8.1106153846153823</v>
      </c>
      <c r="B45" s="17">
        <v>91</v>
      </c>
      <c r="C45" s="17">
        <v>40</v>
      </c>
      <c r="D45" s="34">
        <v>6.5170000000000003</v>
      </c>
      <c r="E45" s="17">
        <v>6.1600999999999999</v>
      </c>
      <c r="F45" s="17">
        <v>2.3822999999999999</v>
      </c>
      <c r="G45" s="17">
        <v>12.068099999999999</v>
      </c>
      <c r="H45" s="17">
        <v>3.0108999999999999</v>
      </c>
      <c r="I45" s="17">
        <v>22.5718</v>
      </c>
      <c r="J45" s="17">
        <v>10.9217</v>
      </c>
      <c r="K45" s="17">
        <v>4.7122999999999999</v>
      </c>
      <c r="L45" s="17">
        <v>2.4115000000000002</v>
      </c>
      <c r="M45" s="17">
        <v>6.9280999999999997</v>
      </c>
      <c r="N45" s="17">
        <v>13.5085</v>
      </c>
      <c r="O45" s="17">
        <v>5.4572000000000003</v>
      </c>
      <c r="P45" s="17">
        <v>10.5082</v>
      </c>
      <c r="Q45" s="17">
        <v>5.9024999999999999</v>
      </c>
      <c r="R45" s="17">
        <v>2.1303999999999998</v>
      </c>
      <c r="S45" s="17">
        <v>12.6822</v>
      </c>
      <c r="T45" s="17">
        <v>8.9139999999999997</v>
      </c>
      <c r="U45" s="17">
        <v>10.191700000000001</v>
      </c>
      <c r="V45" s="17">
        <v>7.1425000000000001</v>
      </c>
      <c r="W45" s="85">
        <v>6.5202999999999998</v>
      </c>
      <c r="X45" s="34">
        <v>9.2766000000000002</v>
      </c>
      <c r="Y45" s="17">
        <v>5.9115000000000002</v>
      </c>
      <c r="Z45" s="17">
        <v>6.9108000000000001</v>
      </c>
      <c r="AA45" s="17">
        <v>6.7694000000000001</v>
      </c>
      <c r="AB45" s="17">
        <v>10.825100000000001</v>
      </c>
      <c r="AC45" s="17">
        <v>9.6074999999999999</v>
      </c>
      <c r="AD45" s="17">
        <v>7.4508000000000001</v>
      </c>
      <c r="AE45" s="17">
        <v>10.9907</v>
      </c>
      <c r="AF45" s="17">
        <v>23.644200000000001</v>
      </c>
      <c r="AG45" s="17">
        <v>9.9663000000000004</v>
      </c>
      <c r="AH45" s="17">
        <v>10.2156</v>
      </c>
      <c r="AI45" s="17">
        <v>7.9642999999999997</v>
      </c>
      <c r="AJ45" s="17">
        <v>15.454000000000001</v>
      </c>
      <c r="AK45" s="17">
        <v>4.7973999999999997</v>
      </c>
      <c r="AL45" s="17">
        <v>3.5167999999999999</v>
      </c>
      <c r="AM45" s="17">
        <v>22.291599999999999</v>
      </c>
      <c r="AN45" s="17">
        <v>11.2201</v>
      </c>
      <c r="AO45" s="17">
        <v>9.0160999999999998</v>
      </c>
      <c r="AP45" s="17">
        <v>0.92889999999999995</v>
      </c>
      <c r="AQ45" s="85">
        <v>8.1937999999999995</v>
      </c>
    </row>
    <row r="46" spans="1:43" x14ac:dyDescent="0.2">
      <c r="A46" s="34">
        <f t="shared" si="0"/>
        <v>7.7177307692307702</v>
      </c>
      <c r="B46" s="17">
        <v>93</v>
      </c>
      <c r="C46" s="17">
        <v>41</v>
      </c>
      <c r="D46" s="34">
        <v>14.0222</v>
      </c>
      <c r="E46" s="17">
        <v>13.6023</v>
      </c>
      <c r="F46" s="17">
        <v>1.8664000000000001</v>
      </c>
      <c r="G46" s="17">
        <v>1.907</v>
      </c>
      <c r="H46" s="17">
        <v>3.8795999999999999</v>
      </c>
      <c r="I46" s="17">
        <v>5.0664999999999996</v>
      </c>
      <c r="J46" s="17">
        <v>4.9383999999999997</v>
      </c>
      <c r="K46" s="17">
        <v>8.782</v>
      </c>
      <c r="L46" s="17">
        <v>3.0554000000000001</v>
      </c>
      <c r="M46" s="17">
        <v>5.7423999999999999</v>
      </c>
      <c r="N46" s="17">
        <v>12.883800000000001</v>
      </c>
      <c r="O46" s="17">
        <v>9.3247</v>
      </c>
      <c r="P46" s="17">
        <v>8.4817</v>
      </c>
      <c r="Q46" s="17">
        <v>3.5394000000000001</v>
      </c>
      <c r="R46" s="17">
        <v>4.9230999999999998</v>
      </c>
      <c r="S46" s="17">
        <v>15.132999999999999</v>
      </c>
      <c r="T46" s="17">
        <v>12.333600000000001</v>
      </c>
      <c r="U46" s="17">
        <v>13.0679</v>
      </c>
      <c r="V46" s="17">
        <v>12.6266</v>
      </c>
      <c r="W46" s="85">
        <v>5.4375</v>
      </c>
      <c r="X46" s="34">
        <v>6.9404000000000003</v>
      </c>
      <c r="Y46" s="17">
        <v>13.690799999999999</v>
      </c>
      <c r="Z46" s="17">
        <v>2.621</v>
      </c>
      <c r="AA46" s="17">
        <v>12.333600000000001</v>
      </c>
      <c r="AB46" s="17">
        <v>5.0397999999999996</v>
      </c>
      <c r="AC46" s="17">
        <v>11.659599999999999</v>
      </c>
      <c r="AD46" s="17">
        <v>1.7845</v>
      </c>
      <c r="AE46" s="17">
        <v>9.9135000000000009</v>
      </c>
      <c r="AF46" s="17">
        <v>17.659800000000001</v>
      </c>
      <c r="AG46" s="17">
        <v>6.2417999999999996</v>
      </c>
      <c r="AH46" s="17">
        <v>4.5518000000000001</v>
      </c>
      <c r="AI46" s="17">
        <v>7.9461000000000004</v>
      </c>
      <c r="AJ46" s="17">
        <v>10.2349</v>
      </c>
      <c r="AK46" s="17">
        <v>8.3307000000000002</v>
      </c>
      <c r="AL46" s="17">
        <v>6.7302</v>
      </c>
      <c r="AM46" s="17">
        <v>6.7477</v>
      </c>
      <c r="AN46" s="17">
        <v>6.4516999999999998</v>
      </c>
      <c r="AO46" s="17">
        <v>13.860200000000001</v>
      </c>
      <c r="AP46" s="17">
        <v>4.5621999999999998</v>
      </c>
      <c r="AQ46" s="85">
        <v>13.579599999999999</v>
      </c>
    </row>
    <row r="47" spans="1:43" x14ac:dyDescent="0.2">
      <c r="A47" s="34">
        <f t="shared" si="0"/>
        <v>11.058169230769231</v>
      </c>
      <c r="B47" s="17">
        <v>94</v>
      </c>
      <c r="C47" s="17">
        <v>42</v>
      </c>
      <c r="D47" s="34">
        <v>13.964399999999999</v>
      </c>
      <c r="E47" s="17">
        <v>12.439299999999999</v>
      </c>
      <c r="F47" s="17">
        <v>2.8761999999999999</v>
      </c>
      <c r="G47" s="17">
        <v>8.9623000000000008</v>
      </c>
      <c r="H47" s="17">
        <v>10.843299999999999</v>
      </c>
      <c r="I47" s="17">
        <v>16.609000000000002</v>
      </c>
      <c r="J47" s="17">
        <v>6.9240000000000004</v>
      </c>
      <c r="K47" s="17">
        <v>11.0275</v>
      </c>
      <c r="L47" s="17">
        <v>9.3805999999999994</v>
      </c>
      <c r="M47" s="17">
        <v>5.3547000000000002</v>
      </c>
      <c r="N47" s="17">
        <v>2.2677</v>
      </c>
      <c r="O47" s="17">
        <v>16.643799999999999</v>
      </c>
      <c r="P47" s="17">
        <v>10.0444</v>
      </c>
      <c r="Q47" s="17">
        <v>10.700100000000001</v>
      </c>
      <c r="R47" s="17">
        <v>9.2477</v>
      </c>
      <c r="S47" s="17">
        <v>23.5136</v>
      </c>
      <c r="T47" s="17">
        <v>12.3606</v>
      </c>
      <c r="U47" s="17">
        <v>17.495200000000001</v>
      </c>
      <c r="V47" s="17">
        <v>7.1917999999999997</v>
      </c>
      <c r="W47" s="85">
        <v>8.2521000000000004</v>
      </c>
      <c r="X47" s="34">
        <v>12.929500000000001</v>
      </c>
      <c r="Y47" s="17">
        <v>9.1159999999999997</v>
      </c>
      <c r="Z47" s="17">
        <v>6.4751000000000003</v>
      </c>
      <c r="AA47" s="17">
        <v>15.1456</v>
      </c>
      <c r="AB47" s="17">
        <v>16.2836</v>
      </c>
      <c r="AC47" s="17">
        <v>17.5929</v>
      </c>
      <c r="AD47" s="17">
        <v>7.8357999999999999</v>
      </c>
      <c r="AE47" s="17">
        <v>22.59</v>
      </c>
      <c r="AF47" s="17">
        <v>8.6577999999999999</v>
      </c>
      <c r="AG47" s="17">
        <v>2.2359</v>
      </c>
      <c r="AH47" s="17">
        <v>15.133599999999999</v>
      </c>
      <c r="AI47" s="17">
        <v>16.399000000000001</v>
      </c>
      <c r="AJ47" s="17">
        <v>6.5804</v>
      </c>
      <c r="AK47" s="17">
        <v>15.3985</v>
      </c>
      <c r="AL47" s="17">
        <v>19.3126</v>
      </c>
      <c r="AM47" s="17">
        <v>18.767900000000001</v>
      </c>
      <c r="AN47" s="17">
        <v>17.381</v>
      </c>
      <c r="AO47" s="17">
        <v>17.784400000000002</v>
      </c>
      <c r="AP47" s="17">
        <v>6.2023000000000001</v>
      </c>
      <c r="AQ47" s="85">
        <v>10.4678</v>
      </c>
    </row>
    <row r="48" spans="1:43" x14ac:dyDescent="0.2">
      <c r="A48" s="34">
        <f t="shared" si="0"/>
        <v>9.462465384615383</v>
      </c>
      <c r="B48" s="17">
        <v>95</v>
      </c>
      <c r="C48" s="17">
        <v>43</v>
      </c>
      <c r="D48" s="34">
        <v>13.906700000000001</v>
      </c>
      <c r="E48" s="17">
        <v>11.093500000000001</v>
      </c>
      <c r="F48" s="17">
        <v>10.7575</v>
      </c>
      <c r="G48" s="17">
        <v>5.7461000000000002</v>
      </c>
      <c r="H48" s="17">
        <v>1.5660000000000001</v>
      </c>
      <c r="I48" s="17">
        <v>22.3979</v>
      </c>
      <c r="J48" s="17">
        <v>11.6813</v>
      </c>
      <c r="K48" s="17">
        <v>7.4635999999999996</v>
      </c>
      <c r="L48" s="17">
        <v>1.1454</v>
      </c>
      <c r="M48" s="17">
        <v>13.055099999999999</v>
      </c>
      <c r="N48" s="17">
        <v>10.2704</v>
      </c>
      <c r="O48" s="17">
        <v>2.6640000000000001</v>
      </c>
      <c r="P48" s="17">
        <v>8.2759999999999998</v>
      </c>
      <c r="Q48" s="17">
        <v>8.3908000000000005</v>
      </c>
      <c r="R48" s="17">
        <v>13.3126</v>
      </c>
      <c r="S48" s="17">
        <v>14.0222</v>
      </c>
      <c r="T48" s="17">
        <v>2.5354000000000001</v>
      </c>
      <c r="U48" s="17">
        <v>9.8733000000000004</v>
      </c>
      <c r="V48" s="17">
        <v>11.7224</v>
      </c>
      <c r="W48" s="85">
        <v>10.887</v>
      </c>
      <c r="X48" s="34">
        <v>12.8888</v>
      </c>
      <c r="Y48" s="17">
        <v>8.3370999999999995</v>
      </c>
      <c r="Z48" s="17">
        <v>3.9512999999999998</v>
      </c>
      <c r="AA48" s="17">
        <v>9.8369</v>
      </c>
      <c r="AB48" s="17">
        <v>5.9353999999999996</v>
      </c>
      <c r="AC48" s="17">
        <v>21.088100000000001</v>
      </c>
      <c r="AD48" s="17">
        <v>7.1260000000000003</v>
      </c>
      <c r="AE48" s="17">
        <v>8.4367999999999999</v>
      </c>
      <c r="AF48" s="17">
        <v>8.4370999999999992</v>
      </c>
      <c r="AG48" s="17">
        <v>4.5042</v>
      </c>
      <c r="AH48" s="17">
        <v>7.9405000000000001</v>
      </c>
      <c r="AI48" s="17">
        <v>5.6314000000000002</v>
      </c>
      <c r="AJ48" s="17">
        <v>9.1172000000000004</v>
      </c>
      <c r="AK48" s="17">
        <v>12.3514</v>
      </c>
      <c r="AL48" s="17">
        <v>2.6328999999999998</v>
      </c>
      <c r="AM48" s="17">
        <v>10.326000000000001</v>
      </c>
      <c r="AN48" s="17">
        <v>13.6936</v>
      </c>
      <c r="AO48" s="17">
        <v>6.4572000000000003</v>
      </c>
      <c r="AP48" s="17">
        <v>14.9054</v>
      </c>
      <c r="AQ48" s="85">
        <v>18.0806</v>
      </c>
    </row>
    <row r="49" spans="1:43" x14ac:dyDescent="0.2">
      <c r="A49" s="34">
        <f t="shared" si="0"/>
        <v>10.597596153846155</v>
      </c>
      <c r="B49" s="17">
        <v>96</v>
      </c>
      <c r="C49" s="17">
        <v>44</v>
      </c>
      <c r="D49" s="34">
        <v>19.832000000000001</v>
      </c>
      <c r="E49" s="17">
        <v>19.443999999999999</v>
      </c>
      <c r="F49" s="17">
        <v>21.7453</v>
      </c>
      <c r="G49" s="17">
        <v>13.9376</v>
      </c>
      <c r="H49" s="17">
        <v>12.0746</v>
      </c>
      <c r="I49" s="17">
        <v>13.854699999999999</v>
      </c>
      <c r="J49" s="17">
        <v>4.7476000000000003</v>
      </c>
      <c r="K49" s="17">
        <v>15.280099999999999</v>
      </c>
      <c r="L49" s="17">
        <v>9.5429999999999993</v>
      </c>
      <c r="M49" s="17">
        <v>11.2883</v>
      </c>
      <c r="N49" s="17">
        <v>6.8240999999999996</v>
      </c>
      <c r="O49" s="17">
        <v>6.1992000000000003</v>
      </c>
      <c r="P49" s="17">
        <v>5.6989000000000001</v>
      </c>
      <c r="Q49" s="17">
        <v>14.296200000000001</v>
      </c>
      <c r="R49" s="17">
        <v>6.7731000000000003</v>
      </c>
      <c r="S49" s="17">
        <v>4.3479999999999999</v>
      </c>
      <c r="T49" s="17">
        <v>6.8167999999999997</v>
      </c>
      <c r="U49" s="17">
        <v>2.6031</v>
      </c>
      <c r="V49" s="17">
        <v>2.9861</v>
      </c>
      <c r="W49" s="85">
        <v>4.8059000000000003</v>
      </c>
      <c r="X49" s="34">
        <v>22.179500000000001</v>
      </c>
      <c r="Y49" s="17">
        <v>13.0067</v>
      </c>
      <c r="Z49" s="17">
        <v>14.6096</v>
      </c>
      <c r="AA49" s="17">
        <v>3.9447000000000001</v>
      </c>
      <c r="AB49" s="17">
        <v>9.2256999999999998</v>
      </c>
      <c r="AC49" s="17">
        <v>19.6386</v>
      </c>
      <c r="AD49" s="17">
        <v>9.6661000000000001</v>
      </c>
      <c r="AE49" s="17">
        <v>7.8959999999999999</v>
      </c>
      <c r="AF49" s="17">
        <v>13.100899999999999</v>
      </c>
      <c r="AG49" s="17">
        <v>13.1374</v>
      </c>
      <c r="AH49" s="17">
        <v>8.4463000000000008</v>
      </c>
      <c r="AI49" s="17">
        <v>2.0268000000000002</v>
      </c>
      <c r="AJ49" s="17">
        <v>5.6994999999999996</v>
      </c>
      <c r="AK49" s="17">
        <v>23.853300000000001</v>
      </c>
      <c r="AL49" s="17">
        <v>8.7570999999999994</v>
      </c>
      <c r="AM49" s="17">
        <v>4.8630000000000004</v>
      </c>
      <c r="AN49" s="17">
        <v>2.9990000000000001</v>
      </c>
      <c r="AO49" s="17">
        <v>12.5159</v>
      </c>
      <c r="AP49" s="17">
        <v>8.1760000000000002</v>
      </c>
      <c r="AQ49" s="85">
        <v>5.8956</v>
      </c>
    </row>
    <row r="50" spans="1:43" x14ac:dyDescent="0.2">
      <c r="A50" s="86">
        <f t="shared" si="0"/>
        <v>9.5304499999999983</v>
      </c>
      <c r="B50" s="87">
        <v>9</v>
      </c>
      <c r="C50" s="87">
        <v>45</v>
      </c>
      <c r="D50" s="86">
        <v>13.7912</v>
      </c>
      <c r="E50" s="87">
        <v>11.0025</v>
      </c>
      <c r="F50" s="87">
        <v>6.2984999999999998</v>
      </c>
      <c r="G50" s="87">
        <v>6.1189</v>
      </c>
      <c r="H50" s="87">
        <v>3.1105999999999998</v>
      </c>
      <c r="I50" s="87">
        <v>19.949000000000002</v>
      </c>
      <c r="J50" s="87">
        <v>7.0655999999999999</v>
      </c>
      <c r="K50" s="87">
        <v>3.5722999999999998</v>
      </c>
      <c r="L50" s="87">
        <v>19.741199999999999</v>
      </c>
      <c r="M50" s="87">
        <v>12.3309</v>
      </c>
      <c r="N50" s="87">
        <v>11.7278</v>
      </c>
      <c r="O50" s="87">
        <v>3.6827000000000001</v>
      </c>
      <c r="P50" s="87">
        <v>14.795199999999999</v>
      </c>
      <c r="Q50" s="87">
        <v>2.9765999999999999</v>
      </c>
      <c r="R50" s="87">
        <v>7.4656000000000002</v>
      </c>
      <c r="S50" s="87">
        <v>14.712300000000001</v>
      </c>
      <c r="T50" s="87">
        <v>2.7682000000000002</v>
      </c>
      <c r="U50" s="87">
        <v>2.3054000000000001</v>
      </c>
      <c r="V50" s="87">
        <v>5.9080000000000004</v>
      </c>
      <c r="W50" s="88">
        <v>6.8727</v>
      </c>
      <c r="X50" s="86">
        <v>12.8072</v>
      </c>
      <c r="Y50" s="87">
        <v>9.4169999999999998</v>
      </c>
      <c r="Z50" s="87">
        <v>16.525400000000001</v>
      </c>
      <c r="AA50" s="87">
        <v>6.4847000000000001</v>
      </c>
      <c r="AB50" s="87">
        <v>10.428699999999999</v>
      </c>
      <c r="AC50" s="87">
        <v>23.1052</v>
      </c>
      <c r="AD50" s="87">
        <v>6.6195000000000004</v>
      </c>
      <c r="AE50" s="87">
        <v>12.437099999999999</v>
      </c>
      <c r="AF50" s="87">
        <v>37.260899999999999</v>
      </c>
      <c r="AG50" s="87">
        <v>14.2982</v>
      </c>
      <c r="AH50" s="87">
        <v>10.4313</v>
      </c>
      <c r="AI50" s="87">
        <v>6.9554999999999998</v>
      </c>
      <c r="AJ50" s="87">
        <v>13.110099999999999</v>
      </c>
      <c r="AK50" s="87">
        <v>6.5530999999999997</v>
      </c>
      <c r="AL50" s="87">
        <v>8.5196000000000005</v>
      </c>
      <c r="AM50" s="87">
        <v>8.5961999999999996</v>
      </c>
      <c r="AN50" s="87">
        <v>10.981400000000001</v>
      </c>
      <c r="AO50" s="87">
        <v>6.0027999999999997</v>
      </c>
      <c r="AP50" s="87">
        <v>11.394600000000001</v>
      </c>
      <c r="AQ50" s="88">
        <v>5.4184000000000001</v>
      </c>
    </row>
    <row r="52" spans="1:43" ht="15.75" x14ac:dyDescent="0.2">
      <c r="A52" s="342" t="s">
        <v>135</v>
      </c>
      <c r="B52" s="343"/>
      <c r="C52" s="343"/>
      <c r="D52" s="344" t="s">
        <v>137</v>
      </c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5"/>
      <c r="X52" s="344" t="s">
        <v>138</v>
      </c>
      <c r="Y52" s="344"/>
      <c r="Z52" s="344"/>
      <c r="AA52" s="344"/>
      <c r="AB52" s="344"/>
      <c r="AC52" s="344"/>
      <c r="AD52" s="344"/>
      <c r="AE52" s="344"/>
      <c r="AF52" s="344"/>
      <c r="AG52" s="344"/>
      <c r="AH52" s="344"/>
      <c r="AI52" s="344"/>
      <c r="AJ52" s="344"/>
      <c r="AK52" s="344"/>
      <c r="AL52" s="344"/>
      <c r="AM52" s="344"/>
      <c r="AN52" s="344"/>
      <c r="AO52" s="344"/>
      <c r="AP52" s="344"/>
      <c r="AQ52" s="345"/>
    </row>
    <row r="53" spans="1:43" ht="15.75" x14ac:dyDescent="0.2">
      <c r="A53" s="89" t="s">
        <v>97</v>
      </c>
      <c r="B53" s="92"/>
      <c r="C53" s="9" t="s">
        <v>46</v>
      </c>
      <c r="D53" s="10">
        <v>2</v>
      </c>
      <c r="E53" s="10">
        <v>11</v>
      </c>
      <c r="F53" s="10">
        <v>12</v>
      </c>
      <c r="G53" s="10">
        <v>18</v>
      </c>
      <c r="H53" s="10">
        <v>15</v>
      </c>
      <c r="I53" s="10">
        <v>3</v>
      </c>
      <c r="J53" s="10">
        <v>20</v>
      </c>
      <c r="K53" s="10">
        <v>19</v>
      </c>
      <c r="L53" s="10">
        <v>7</v>
      </c>
      <c r="M53" s="10">
        <v>8</v>
      </c>
      <c r="N53" s="10">
        <v>1</v>
      </c>
      <c r="O53" s="10">
        <v>16</v>
      </c>
      <c r="P53" s="10">
        <v>9</v>
      </c>
      <c r="Q53" s="10">
        <v>4</v>
      </c>
      <c r="R53" s="10">
        <v>5</v>
      </c>
      <c r="S53" s="10">
        <v>13</v>
      </c>
      <c r="T53" s="10">
        <v>17</v>
      </c>
      <c r="U53" s="10">
        <v>14</v>
      </c>
      <c r="V53" s="10">
        <v>10</v>
      </c>
      <c r="W53" s="90">
        <v>6</v>
      </c>
      <c r="X53" s="33">
        <v>2</v>
      </c>
      <c r="Y53" s="10">
        <v>11</v>
      </c>
      <c r="Z53" s="10">
        <v>12</v>
      </c>
      <c r="AA53" s="10">
        <v>18</v>
      </c>
      <c r="AB53" s="10">
        <v>15</v>
      </c>
      <c r="AC53" s="10">
        <v>3</v>
      </c>
      <c r="AD53" s="10">
        <v>20</v>
      </c>
      <c r="AE53" s="10">
        <v>19</v>
      </c>
      <c r="AF53" s="10">
        <v>7</v>
      </c>
      <c r="AG53" s="10">
        <v>8</v>
      </c>
      <c r="AH53" s="10">
        <v>1</v>
      </c>
      <c r="AI53" s="10">
        <v>16</v>
      </c>
      <c r="AJ53" s="10">
        <v>9</v>
      </c>
      <c r="AK53" s="10">
        <v>4</v>
      </c>
      <c r="AL53" s="10">
        <v>5</v>
      </c>
      <c r="AM53" s="10">
        <v>13</v>
      </c>
      <c r="AN53" s="10">
        <v>17</v>
      </c>
      <c r="AO53" s="10">
        <v>14</v>
      </c>
      <c r="AP53" s="10">
        <v>10</v>
      </c>
      <c r="AQ53" s="90">
        <v>6</v>
      </c>
    </row>
    <row r="54" spans="1:43" ht="15.75" x14ac:dyDescent="0.2">
      <c r="A54" s="89"/>
      <c r="B54" s="92"/>
      <c r="C54" s="9" t="s">
        <v>47</v>
      </c>
      <c r="D54" s="10">
        <v>1</v>
      </c>
      <c r="E54" s="11">
        <v>2</v>
      </c>
      <c r="F54" s="11">
        <v>3</v>
      </c>
      <c r="G54" s="12">
        <v>4</v>
      </c>
      <c r="H54" s="13">
        <v>5</v>
      </c>
      <c r="I54" s="14">
        <v>6</v>
      </c>
      <c r="J54" s="10">
        <v>7</v>
      </c>
      <c r="K54" s="12">
        <v>8</v>
      </c>
      <c r="L54" s="15">
        <v>9</v>
      </c>
      <c r="M54" s="15">
        <v>10</v>
      </c>
      <c r="N54" s="16">
        <v>11</v>
      </c>
      <c r="O54" s="13">
        <v>12</v>
      </c>
      <c r="P54" s="15">
        <v>13</v>
      </c>
      <c r="Q54" s="14">
        <v>14</v>
      </c>
      <c r="R54" s="14">
        <v>15</v>
      </c>
      <c r="S54" s="11">
        <v>16</v>
      </c>
      <c r="T54" s="13">
        <v>17</v>
      </c>
      <c r="U54" s="11">
        <v>18</v>
      </c>
      <c r="V54" s="15">
        <v>19</v>
      </c>
      <c r="W54" s="91">
        <v>20</v>
      </c>
      <c r="X54" s="33">
        <v>1</v>
      </c>
      <c r="Y54" s="11">
        <v>2</v>
      </c>
      <c r="Z54" s="11">
        <v>3</v>
      </c>
      <c r="AA54" s="12">
        <v>4</v>
      </c>
      <c r="AB54" s="13">
        <v>5</v>
      </c>
      <c r="AC54" s="14">
        <v>6</v>
      </c>
      <c r="AD54" s="10">
        <v>7</v>
      </c>
      <c r="AE54" s="12">
        <v>8</v>
      </c>
      <c r="AF54" s="15">
        <v>9</v>
      </c>
      <c r="AG54" s="15">
        <v>10</v>
      </c>
      <c r="AH54" s="16">
        <v>11</v>
      </c>
      <c r="AI54" s="13">
        <v>12</v>
      </c>
      <c r="AJ54" s="15">
        <v>13</v>
      </c>
      <c r="AK54" s="14">
        <v>14</v>
      </c>
      <c r="AL54" s="14">
        <v>15</v>
      </c>
      <c r="AM54" s="11">
        <v>16</v>
      </c>
      <c r="AN54" s="13">
        <v>17</v>
      </c>
      <c r="AO54" s="11">
        <v>18</v>
      </c>
      <c r="AP54" s="15">
        <v>19</v>
      </c>
      <c r="AQ54" s="91">
        <v>20</v>
      </c>
    </row>
    <row r="55" spans="1:43" ht="15.75" x14ac:dyDescent="0.2">
      <c r="A55" s="89"/>
      <c r="B55" s="92"/>
      <c r="C55" s="9"/>
      <c r="D55" s="10" t="s">
        <v>0</v>
      </c>
      <c r="E55" s="11" t="s">
        <v>2</v>
      </c>
      <c r="F55" s="11" t="s">
        <v>4</v>
      </c>
      <c r="G55" s="12" t="s">
        <v>6</v>
      </c>
      <c r="H55" s="13" t="s">
        <v>8</v>
      </c>
      <c r="I55" s="14" t="s">
        <v>10</v>
      </c>
      <c r="J55" s="10" t="s">
        <v>12</v>
      </c>
      <c r="K55" s="12" t="s">
        <v>14</v>
      </c>
      <c r="L55" s="15" t="s">
        <v>16</v>
      </c>
      <c r="M55" s="15" t="s">
        <v>18</v>
      </c>
      <c r="N55" s="16" t="s">
        <v>20</v>
      </c>
      <c r="O55" s="13" t="s">
        <v>22</v>
      </c>
      <c r="P55" s="15" t="s">
        <v>24</v>
      </c>
      <c r="Q55" s="14" t="s">
        <v>26</v>
      </c>
      <c r="R55" s="14" t="s">
        <v>28</v>
      </c>
      <c r="S55" s="11" t="s">
        <v>30</v>
      </c>
      <c r="T55" s="13" t="s">
        <v>32</v>
      </c>
      <c r="U55" s="11" t="s">
        <v>34</v>
      </c>
      <c r="V55" s="15" t="s">
        <v>36</v>
      </c>
      <c r="W55" s="91" t="s">
        <v>38</v>
      </c>
      <c r="X55" s="33" t="s">
        <v>0</v>
      </c>
      <c r="Y55" s="11" t="s">
        <v>2</v>
      </c>
      <c r="Z55" s="11" t="s">
        <v>4</v>
      </c>
      <c r="AA55" s="12" t="s">
        <v>6</v>
      </c>
      <c r="AB55" s="13" t="s">
        <v>8</v>
      </c>
      <c r="AC55" s="14" t="s">
        <v>10</v>
      </c>
      <c r="AD55" s="10" t="s">
        <v>12</v>
      </c>
      <c r="AE55" s="12" t="s">
        <v>14</v>
      </c>
      <c r="AF55" s="15" t="s">
        <v>16</v>
      </c>
      <c r="AG55" s="15" t="s">
        <v>18</v>
      </c>
      <c r="AH55" s="16" t="s">
        <v>20</v>
      </c>
      <c r="AI55" s="13" t="s">
        <v>22</v>
      </c>
      <c r="AJ55" s="15" t="s">
        <v>24</v>
      </c>
      <c r="AK55" s="14" t="s">
        <v>26</v>
      </c>
      <c r="AL55" s="14" t="s">
        <v>28</v>
      </c>
      <c r="AM55" s="11" t="s">
        <v>30</v>
      </c>
      <c r="AN55" s="13" t="s">
        <v>32</v>
      </c>
      <c r="AO55" s="11" t="s">
        <v>34</v>
      </c>
      <c r="AP55" s="15" t="s">
        <v>36</v>
      </c>
      <c r="AQ55" s="91" t="s">
        <v>38</v>
      </c>
    </row>
    <row r="56" spans="1:43" ht="22.5" x14ac:dyDescent="0.2">
      <c r="A56" s="89" t="s">
        <v>94</v>
      </c>
      <c r="B56" s="9" t="s">
        <v>58</v>
      </c>
      <c r="C56" s="17" t="s">
        <v>45</v>
      </c>
      <c r="D56" s="10" t="s">
        <v>1</v>
      </c>
      <c r="E56" s="11" t="s">
        <v>3</v>
      </c>
      <c r="F56" s="11" t="s">
        <v>5</v>
      </c>
      <c r="G56" s="12" t="s">
        <v>7</v>
      </c>
      <c r="H56" s="13" t="s">
        <v>9</v>
      </c>
      <c r="I56" s="14" t="s">
        <v>11</v>
      </c>
      <c r="J56" s="10" t="s">
        <v>13</v>
      </c>
      <c r="K56" s="12" t="s">
        <v>15</v>
      </c>
      <c r="L56" s="15" t="s">
        <v>17</v>
      </c>
      <c r="M56" s="15" t="s">
        <v>19</v>
      </c>
      <c r="N56" s="16" t="s">
        <v>21</v>
      </c>
      <c r="O56" s="13" t="s">
        <v>23</v>
      </c>
      <c r="P56" s="15" t="s">
        <v>25</v>
      </c>
      <c r="Q56" s="14" t="s">
        <v>27</v>
      </c>
      <c r="R56" s="14" t="s">
        <v>29</v>
      </c>
      <c r="S56" s="11" t="s">
        <v>31</v>
      </c>
      <c r="T56" s="13" t="s">
        <v>33</v>
      </c>
      <c r="U56" s="11" t="s">
        <v>35</v>
      </c>
      <c r="V56" s="15" t="s">
        <v>37</v>
      </c>
      <c r="W56" s="91" t="s">
        <v>39</v>
      </c>
      <c r="X56" s="33" t="s">
        <v>1</v>
      </c>
      <c r="Y56" s="11" t="s">
        <v>3</v>
      </c>
      <c r="Z56" s="11" t="s">
        <v>5</v>
      </c>
      <c r="AA56" s="12" t="s">
        <v>7</v>
      </c>
      <c r="AB56" s="13" t="s">
        <v>9</v>
      </c>
      <c r="AC56" s="14" t="s">
        <v>11</v>
      </c>
      <c r="AD56" s="10" t="s">
        <v>13</v>
      </c>
      <c r="AE56" s="12" t="s">
        <v>15</v>
      </c>
      <c r="AF56" s="15" t="s">
        <v>17</v>
      </c>
      <c r="AG56" s="15" t="s">
        <v>19</v>
      </c>
      <c r="AH56" s="16" t="s">
        <v>21</v>
      </c>
      <c r="AI56" s="13" t="s">
        <v>23</v>
      </c>
      <c r="AJ56" s="15" t="s">
        <v>25</v>
      </c>
      <c r="AK56" s="14" t="s">
        <v>27</v>
      </c>
      <c r="AL56" s="14" t="s">
        <v>29</v>
      </c>
      <c r="AM56" s="11" t="s">
        <v>31</v>
      </c>
      <c r="AN56" s="13" t="s">
        <v>33</v>
      </c>
      <c r="AO56" s="11" t="s">
        <v>35</v>
      </c>
      <c r="AP56" s="15" t="s">
        <v>37</v>
      </c>
      <c r="AQ56" s="91" t="s">
        <v>39</v>
      </c>
    </row>
    <row r="57" spans="1:43" x14ac:dyDescent="0.2">
      <c r="A57" s="34">
        <f>AVERAGE(E57:AD57)</f>
        <v>9.2829730769230778</v>
      </c>
      <c r="B57" s="17">
        <v>100</v>
      </c>
      <c r="C57" s="17">
        <v>1</v>
      </c>
      <c r="D57" s="82">
        <v>13.9786</v>
      </c>
      <c r="E57" s="83">
        <v>9.4268000000000001</v>
      </c>
      <c r="F57" s="83">
        <v>7.0278999999999998</v>
      </c>
      <c r="G57" s="83">
        <v>14.774699999999999</v>
      </c>
      <c r="H57" s="83">
        <v>6.6982999999999997</v>
      </c>
      <c r="I57" s="83">
        <v>14.736599999999999</v>
      </c>
      <c r="J57" s="83">
        <v>26.447099999999999</v>
      </c>
      <c r="K57" s="83">
        <v>12.2941</v>
      </c>
      <c r="L57" s="83">
        <v>11.2851</v>
      </c>
      <c r="M57" s="83">
        <v>6.4819000000000004</v>
      </c>
      <c r="N57" s="83">
        <v>5.5373000000000001</v>
      </c>
      <c r="O57" s="83">
        <v>6.7847</v>
      </c>
      <c r="P57" s="83">
        <v>3.7683</v>
      </c>
      <c r="Q57" s="83">
        <v>7.5608000000000004</v>
      </c>
      <c r="R57" s="83">
        <v>10.303800000000001</v>
      </c>
      <c r="S57" s="83">
        <v>5.3436000000000003</v>
      </c>
      <c r="T57" s="83">
        <v>1.8656999999999999</v>
      </c>
      <c r="U57" s="83">
        <v>4.9531999999999998</v>
      </c>
      <c r="V57" s="83">
        <v>11.224</v>
      </c>
      <c r="W57" s="84">
        <v>9.8756000000000004</v>
      </c>
      <c r="X57" s="82">
        <v>17.416799999999999</v>
      </c>
      <c r="Y57" s="83">
        <v>4.2622</v>
      </c>
      <c r="Z57" s="83">
        <v>6.048</v>
      </c>
      <c r="AA57" s="83">
        <v>5.8737000000000004</v>
      </c>
      <c r="AB57" s="83">
        <v>6.1056999999999997</v>
      </c>
      <c r="AC57" s="83">
        <v>5.3262</v>
      </c>
      <c r="AD57" s="83">
        <v>19.935199999999998</v>
      </c>
      <c r="AE57" s="83">
        <v>14.1569</v>
      </c>
      <c r="AF57" s="83">
        <v>8.1228999999999996</v>
      </c>
      <c r="AG57" s="83">
        <v>7.2478999999999996</v>
      </c>
      <c r="AH57" s="83">
        <v>8.7372999999999994</v>
      </c>
      <c r="AI57" s="83">
        <v>8.7029999999999994</v>
      </c>
      <c r="AJ57" s="83">
        <v>2.6101999999999999</v>
      </c>
      <c r="AK57" s="83">
        <v>5.7983000000000002</v>
      </c>
      <c r="AL57" s="83">
        <v>7.5178000000000003</v>
      </c>
      <c r="AM57" s="83">
        <v>7.4280999999999997</v>
      </c>
      <c r="AN57" s="83">
        <v>4.0528000000000004</v>
      </c>
      <c r="AO57" s="83">
        <v>6.0951000000000004</v>
      </c>
      <c r="AP57" s="83">
        <v>10.164199999999999</v>
      </c>
      <c r="AQ57" s="84">
        <v>1.1147</v>
      </c>
    </row>
    <row r="58" spans="1:43" x14ac:dyDescent="0.2">
      <c r="A58" s="34">
        <f t="shared" ref="A58:A95" si="1">AVERAGE(E58:AD58)</f>
        <v>11.372961538461539</v>
      </c>
      <c r="B58" s="17">
        <v>103</v>
      </c>
      <c r="C58" s="17">
        <v>2</v>
      </c>
      <c r="D58" s="34">
        <v>13.994</v>
      </c>
      <c r="E58" s="17">
        <v>10.8162</v>
      </c>
      <c r="F58" s="17">
        <v>12.008599999999999</v>
      </c>
      <c r="G58" s="17">
        <v>11.291399999999999</v>
      </c>
      <c r="H58" s="17">
        <v>8.1409000000000002</v>
      </c>
      <c r="I58" s="17">
        <v>14.852</v>
      </c>
      <c r="J58" s="17">
        <v>8.2525999999999993</v>
      </c>
      <c r="K58" s="17">
        <v>12.255699999999999</v>
      </c>
      <c r="L58" s="17">
        <v>12.0421</v>
      </c>
      <c r="M58" s="17">
        <v>11.644600000000001</v>
      </c>
      <c r="N58" s="17">
        <v>12.182399999999999</v>
      </c>
      <c r="O58" s="17">
        <v>11.0594</v>
      </c>
      <c r="P58" s="17">
        <v>6.3345000000000002</v>
      </c>
      <c r="Q58" s="17">
        <v>9.3147000000000002</v>
      </c>
      <c r="R58" s="17">
        <v>11.0197</v>
      </c>
      <c r="S58" s="17">
        <v>9.9314999999999998</v>
      </c>
      <c r="T58" s="17">
        <v>8.1911000000000005</v>
      </c>
      <c r="U58" s="17">
        <v>9.1517999999999997</v>
      </c>
      <c r="V58" s="17">
        <v>9.0099</v>
      </c>
      <c r="W58" s="85">
        <v>7.5468000000000002</v>
      </c>
      <c r="X58" s="34">
        <v>10.077400000000001</v>
      </c>
      <c r="Y58" s="17">
        <v>17.138000000000002</v>
      </c>
      <c r="Z58" s="17">
        <v>27.4358</v>
      </c>
      <c r="AA58" s="17">
        <v>7.8944000000000001</v>
      </c>
      <c r="AB58" s="17">
        <v>14.318</v>
      </c>
      <c r="AC58" s="17">
        <v>11.6198</v>
      </c>
      <c r="AD58" s="17">
        <v>12.1677</v>
      </c>
      <c r="AE58" s="17">
        <v>16.239599999999999</v>
      </c>
      <c r="AF58" s="17">
        <v>14.235200000000001</v>
      </c>
      <c r="AG58" s="17">
        <v>11.045299999999999</v>
      </c>
      <c r="AH58" s="17">
        <v>7.6807999999999996</v>
      </c>
      <c r="AI58" s="17">
        <v>23.2135</v>
      </c>
      <c r="AJ58" s="17">
        <v>8.9007000000000005</v>
      </c>
      <c r="AK58" s="17">
        <v>24.3262</v>
      </c>
      <c r="AL58" s="17">
        <v>15.0494</v>
      </c>
      <c r="AM58" s="17">
        <v>6.2047999999999996</v>
      </c>
      <c r="AN58" s="17">
        <v>15.956</v>
      </c>
      <c r="AO58" s="17">
        <v>4.0372000000000003</v>
      </c>
      <c r="AP58" s="17">
        <v>3.8052999999999999</v>
      </c>
      <c r="AQ58" s="85">
        <v>8.1387</v>
      </c>
    </row>
    <row r="59" spans="1:43" x14ac:dyDescent="0.2">
      <c r="A59" s="34">
        <f t="shared" si="1"/>
        <v>10.509711538461538</v>
      </c>
      <c r="B59" s="17">
        <v>105</v>
      </c>
      <c r="C59" s="17">
        <v>3</v>
      </c>
      <c r="D59" s="34">
        <v>19.005700000000001</v>
      </c>
      <c r="E59" s="17">
        <v>5.0397999999999996</v>
      </c>
      <c r="F59" s="17">
        <v>4.6726000000000001</v>
      </c>
      <c r="G59" s="17">
        <v>10.2646</v>
      </c>
      <c r="H59" s="17">
        <v>5.8404999999999996</v>
      </c>
      <c r="I59" s="17">
        <v>14.9673</v>
      </c>
      <c r="J59" s="17">
        <v>7.6493000000000002</v>
      </c>
      <c r="K59" s="17">
        <v>9.8638999999999992</v>
      </c>
      <c r="L59" s="17">
        <v>4.1136999999999997</v>
      </c>
      <c r="M59" s="17">
        <v>12.6838</v>
      </c>
      <c r="N59" s="17">
        <v>10.7667</v>
      </c>
      <c r="O59" s="17">
        <v>7.1365999999999996</v>
      </c>
      <c r="P59" s="17">
        <v>3.2172000000000001</v>
      </c>
      <c r="Q59" s="17">
        <v>13.226000000000001</v>
      </c>
      <c r="R59" s="17">
        <v>3.5941999999999998</v>
      </c>
      <c r="S59" s="17">
        <v>8.0530000000000008</v>
      </c>
      <c r="T59" s="17">
        <v>5.2093999999999996</v>
      </c>
      <c r="U59" s="17">
        <v>5.9471999999999996</v>
      </c>
      <c r="V59" s="17">
        <v>10.569800000000001</v>
      </c>
      <c r="W59" s="85">
        <v>20.188400000000001</v>
      </c>
      <c r="X59" s="34">
        <v>25.464099999999998</v>
      </c>
      <c r="Y59" s="17">
        <v>3.9502000000000002</v>
      </c>
      <c r="Z59" s="17">
        <v>10.0213</v>
      </c>
      <c r="AA59" s="17">
        <v>10.720499999999999</v>
      </c>
      <c r="AB59" s="17">
        <v>11.9695</v>
      </c>
      <c r="AC59" s="17">
        <v>43.460700000000003</v>
      </c>
      <c r="AD59" s="17">
        <v>4.6622000000000003</v>
      </c>
      <c r="AE59" s="17">
        <v>7.6531000000000002</v>
      </c>
      <c r="AF59" s="17">
        <v>4.6875999999999998</v>
      </c>
      <c r="AG59" s="17">
        <v>13.327999999999999</v>
      </c>
      <c r="AH59" s="17">
        <v>28.382000000000001</v>
      </c>
      <c r="AI59" s="17">
        <v>7.5164</v>
      </c>
      <c r="AJ59" s="17">
        <v>7.3380000000000001</v>
      </c>
      <c r="AK59" s="17">
        <v>7.3769999999999998</v>
      </c>
      <c r="AL59" s="17">
        <v>14.8964</v>
      </c>
      <c r="AM59" s="17">
        <v>15.019</v>
      </c>
      <c r="AN59" s="17">
        <v>0.84909999999999997</v>
      </c>
      <c r="AO59" s="17">
        <v>9.7010000000000005</v>
      </c>
      <c r="AP59" s="17">
        <v>13.5984</v>
      </c>
      <c r="AQ59" s="85">
        <v>17.645399999999999</v>
      </c>
    </row>
    <row r="60" spans="1:43" x14ac:dyDescent="0.2">
      <c r="A60" s="34">
        <f t="shared" si="1"/>
        <v>9.7448038461538449</v>
      </c>
      <c r="B60" s="17">
        <v>107</v>
      </c>
      <c r="C60" s="17">
        <v>4</v>
      </c>
      <c r="D60" s="34">
        <v>14.024900000000001</v>
      </c>
      <c r="E60" s="17">
        <v>11.1257</v>
      </c>
      <c r="F60" s="17">
        <v>15.500400000000001</v>
      </c>
      <c r="G60" s="17">
        <v>4.7565</v>
      </c>
      <c r="H60" s="17">
        <v>5.4889000000000001</v>
      </c>
      <c r="I60" s="17">
        <v>14.9621</v>
      </c>
      <c r="J60" s="17">
        <v>3.9022999999999999</v>
      </c>
      <c r="K60" s="17">
        <v>4.4729000000000001</v>
      </c>
      <c r="L60" s="17">
        <v>19.135300000000001</v>
      </c>
      <c r="M60" s="17">
        <v>18.163</v>
      </c>
      <c r="N60" s="17">
        <v>5.0542999999999996</v>
      </c>
      <c r="O60" s="17">
        <v>5.1660000000000004</v>
      </c>
      <c r="P60" s="17">
        <v>13.454800000000001</v>
      </c>
      <c r="Q60" s="17">
        <v>7.9916999999999998</v>
      </c>
      <c r="R60" s="17">
        <v>7.6778000000000004</v>
      </c>
      <c r="S60" s="17">
        <v>8.2378999999999998</v>
      </c>
      <c r="T60" s="17">
        <v>3.819</v>
      </c>
      <c r="U60" s="17">
        <v>21.4604</v>
      </c>
      <c r="V60" s="17">
        <v>3.3090999999999999</v>
      </c>
      <c r="W60" s="85">
        <v>7.4046000000000003</v>
      </c>
      <c r="X60" s="34">
        <v>16.953099999999999</v>
      </c>
      <c r="Y60" s="17">
        <v>14.0425</v>
      </c>
      <c r="Z60" s="17">
        <v>16.4802</v>
      </c>
      <c r="AA60" s="17">
        <v>9.9473000000000003</v>
      </c>
      <c r="AB60" s="17">
        <v>5.0799000000000003</v>
      </c>
      <c r="AC60" s="17">
        <v>6.5521000000000003</v>
      </c>
      <c r="AD60" s="17">
        <v>3.2271000000000001</v>
      </c>
      <c r="AE60" s="17">
        <v>7.4739000000000004</v>
      </c>
      <c r="AF60" s="17">
        <v>22.646999999999998</v>
      </c>
      <c r="AG60" s="17">
        <v>23.372900000000001</v>
      </c>
      <c r="AH60" s="17">
        <v>8.3051999999999992</v>
      </c>
      <c r="AI60" s="17">
        <v>3.0550999999999999</v>
      </c>
      <c r="AJ60" s="17">
        <v>12.4437</v>
      </c>
      <c r="AK60" s="17">
        <v>5.7619999999999996</v>
      </c>
      <c r="AL60" s="17">
        <v>8.1264000000000003</v>
      </c>
      <c r="AM60" s="17">
        <v>17.4177</v>
      </c>
      <c r="AN60" s="17">
        <v>2.9897999999999998</v>
      </c>
      <c r="AO60" s="17">
        <v>21.087</v>
      </c>
      <c r="AP60" s="17">
        <v>9.6416000000000004</v>
      </c>
      <c r="AQ60" s="85">
        <v>6.6477000000000004</v>
      </c>
    </row>
    <row r="61" spans="1:43" x14ac:dyDescent="0.2">
      <c r="A61" s="34">
        <f t="shared" si="1"/>
        <v>9.1953615384615368</v>
      </c>
      <c r="B61" s="17">
        <v>10</v>
      </c>
      <c r="C61" s="17">
        <v>5</v>
      </c>
      <c r="D61" s="34">
        <v>7.3282999999999996</v>
      </c>
      <c r="E61" s="17">
        <v>10.3261</v>
      </c>
      <c r="F61" s="17">
        <v>6.0732999999999997</v>
      </c>
      <c r="G61" s="17">
        <v>15.798500000000001</v>
      </c>
      <c r="H61" s="17">
        <v>6.2794999999999996</v>
      </c>
      <c r="I61" s="17">
        <v>13.686199999999999</v>
      </c>
      <c r="J61" s="17">
        <v>9.3413000000000004</v>
      </c>
      <c r="K61" s="17">
        <v>12.301600000000001</v>
      </c>
      <c r="L61" s="17">
        <v>1.4039999999999999</v>
      </c>
      <c r="M61" s="17">
        <v>14.260400000000001</v>
      </c>
      <c r="N61" s="17">
        <v>15.119</v>
      </c>
      <c r="O61" s="17">
        <v>7.4329999999999998</v>
      </c>
      <c r="P61" s="17">
        <v>6.9145000000000003</v>
      </c>
      <c r="Q61" s="17">
        <v>6.3392999999999997</v>
      </c>
      <c r="R61" s="17">
        <v>14.766299999999999</v>
      </c>
      <c r="S61" s="17">
        <v>10.356999999999999</v>
      </c>
      <c r="T61" s="17">
        <v>8.0208999999999993</v>
      </c>
      <c r="U61" s="17">
        <v>7.9748999999999999</v>
      </c>
      <c r="V61" s="17">
        <v>6.8028000000000004</v>
      </c>
      <c r="W61" s="85">
        <v>5.8986999999999998</v>
      </c>
      <c r="X61" s="34">
        <v>9.8451000000000004</v>
      </c>
      <c r="Y61" s="17">
        <v>12.238099999999999</v>
      </c>
      <c r="Z61" s="17">
        <v>4.8334000000000001</v>
      </c>
      <c r="AA61" s="17">
        <v>7.3474000000000004</v>
      </c>
      <c r="AB61" s="17">
        <v>7.6479999999999997</v>
      </c>
      <c r="AC61" s="17">
        <v>10.7645</v>
      </c>
      <c r="AD61" s="17">
        <v>7.3056000000000001</v>
      </c>
      <c r="AE61" s="17">
        <v>12.3813</v>
      </c>
      <c r="AF61" s="17">
        <v>6.5640999999999998</v>
      </c>
      <c r="AG61" s="17">
        <v>9.2911999999999999</v>
      </c>
      <c r="AH61" s="17">
        <v>9.5802999999999994</v>
      </c>
      <c r="AI61" s="17">
        <v>7.3949999999999996</v>
      </c>
      <c r="AJ61" s="17">
        <v>8.6128999999999998</v>
      </c>
      <c r="AK61" s="17">
        <v>22.944500000000001</v>
      </c>
      <c r="AL61" s="17">
        <v>12.9602</v>
      </c>
      <c r="AM61" s="17">
        <v>14.6896</v>
      </c>
      <c r="AN61" s="17">
        <v>4.6860999999999997</v>
      </c>
      <c r="AO61" s="17">
        <v>5.5370999999999997</v>
      </c>
      <c r="AP61" s="17">
        <v>7.7087000000000003</v>
      </c>
      <c r="AQ61" s="85">
        <v>3.4765000000000001</v>
      </c>
    </row>
    <row r="62" spans="1:43" x14ac:dyDescent="0.2">
      <c r="A62" s="34">
        <f t="shared" si="1"/>
        <v>8.6309769230769238</v>
      </c>
      <c r="B62" s="17">
        <v>13</v>
      </c>
      <c r="C62" s="17">
        <v>6</v>
      </c>
      <c r="D62" s="34">
        <v>6.6291000000000002</v>
      </c>
      <c r="E62" s="17">
        <v>10.956799999999999</v>
      </c>
      <c r="F62" s="17">
        <v>7.8567999999999998</v>
      </c>
      <c r="G62" s="17">
        <v>9.1753999999999998</v>
      </c>
      <c r="H62" s="17">
        <v>11.117900000000001</v>
      </c>
      <c r="I62" s="17">
        <v>4.6689999999999996</v>
      </c>
      <c r="J62" s="17">
        <v>9.2193000000000005</v>
      </c>
      <c r="K62" s="17">
        <v>11.817299999999999</v>
      </c>
      <c r="L62" s="17">
        <v>5.0801999999999996</v>
      </c>
      <c r="M62" s="17">
        <v>11.0365</v>
      </c>
      <c r="N62" s="17">
        <v>3.9695</v>
      </c>
      <c r="O62" s="17">
        <v>3.3536000000000001</v>
      </c>
      <c r="P62" s="17">
        <v>5.4455999999999998</v>
      </c>
      <c r="Q62" s="17">
        <v>11.985200000000001</v>
      </c>
      <c r="R62" s="17">
        <v>13.689</v>
      </c>
      <c r="S62" s="17">
        <v>9.6094000000000008</v>
      </c>
      <c r="T62" s="17">
        <v>16.150700000000001</v>
      </c>
      <c r="U62" s="17">
        <v>6.4930000000000003</v>
      </c>
      <c r="V62" s="17">
        <v>10.6571</v>
      </c>
      <c r="W62" s="85">
        <v>5.7233999999999998</v>
      </c>
      <c r="X62" s="34">
        <v>9.5273000000000003</v>
      </c>
      <c r="Y62" s="17">
        <v>11.3043</v>
      </c>
      <c r="Z62" s="17">
        <v>8.1743000000000006</v>
      </c>
      <c r="AA62" s="17">
        <v>9.6974999999999998</v>
      </c>
      <c r="AB62" s="17">
        <v>5.0317999999999996</v>
      </c>
      <c r="AC62" s="17">
        <v>3.8915999999999999</v>
      </c>
      <c r="AD62" s="17">
        <v>8.7728999999999999</v>
      </c>
      <c r="AE62" s="17">
        <v>11.944800000000001</v>
      </c>
      <c r="AF62" s="17">
        <v>4.3986999999999998</v>
      </c>
      <c r="AG62" s="17">
        <v>9.9635999999999996</v>
      </c>
      <c r="AH62" s="17">
        <v>7.915</v>
      </c>
      <c r="AI62" s="17">
        <v>4.7858999999999998</v>
      </c>
      <c r="AJ62" s="17">
        <v>10.594200000000001</v>
      </c>
      <c r="AK62" s="17">
        <v>16.260200000000001</v>
      </c>
      <c r="AL62" s="17">
        <v>9.3133999999999997</v>
      </c>
      <c r="AM62" s="17">
        <v>8.1915999999999993</v>
      </c>
      <c r="AN62" s="17">
        <v>13.3917</v>
      </c>
      <c r="AO62" s="17">
        <v>3.0152000000000001</v>
      </c>
      <c r="AP62" s="17">
        <v>11.805300000000001</v>
      </c>
      <c r="AQ62" s="85">
        <v>4.4141000000000004</v>
      </c>
    </row>
    <row r="63" spans="1:43" x14ac:dyDescent="0.2">
      <c r="A63" s="34">
        <f t="shared" si="1"/>
        <v>14.243857692307696</v>
      </c>
      <c r="B63" s="17">
        <v>14</v>
      </c>
      <c r="C63" s="17">
        <v>7</v>
      </c>
      <c r="D63" s="34">
        <v>30.1172</v>
      </c>
      <c r="E63" s="17">
        <v>13.379899999999999</v>
      </c>
      <c r="F63" s="17">
        <v>21.360299999999999</v>
      </c>
      <c r="G63" s="17">
        <v>11.6983</v>
      </c>
      <c r="H63" s="17">
        <v>15.035299999999999</v>
      </c>
      <c r="I63" s="17">
        <v>28.687100000000001</v>
      </c>
      <c r="J63" s="17">
        <v>7.8525</v>
      </c>
      <c r="K63" s="17">
        <v>11.0578</v>
      </c>
      <c r="L63" s="17">
        <v>17.997499999999999</v>
      </c>
      <c r="M63" s="17">
        <v>19.5687</v>
      </c>
      <c r="N63" s="17">
        <v>22.166499999999999</v>
      </c>
      <c r="O63" s="17">
        <v>18.7529</v>
      </c>
      <c r="P63" s="17">
        <v>10.0105</v>
      </c>
      <c r="Q63" s="17">
        <v>6.0029000000000003</v>
      </c>
      <c r="R63" s="17">
        <v>10.688700000000001</v>
      </c>
      <c r="S63" s="17">
        <v>9.7216000000000005</v>
      </c>
      <c r="T63" s="17">
        <v>4.1641000000000004</v>
      </c>
      <c r="U63" s="17">
        <v>5.3372000000000002</v>
      </c>
      <c r="V63" s="17">
        <v>12.296200000000001</v>
      </c>
      <c r="W63" s="85">
        <v>5.8337000000000003</v>
      </c>
      <c r="X63" s="34">
        <v>30.637799999999999</v>
      </c>
      <c r="Y63" s="17">
        <v>13.969099999999999</v>
      </c>
      <c r="Z63" s="17">
        <v>26.218699999999998</v>
      </c>
      <c r="AA63" s="17">
        <v>7.7511999999999999</v>
      </c>
      <c r="AB63" s="17">
        <v>9.6890000000000001</v>
      </c>
      <c r="AC63" s="17">
        <v>23.806999999999999</v>
      </c>
      <c r="AD63" s="17">
        <v>6.6558000000000002</v>
      </c>
      <c r="AE63" s="17">
        <v>12.6821</v>
      </c>
      <c r="AF63" s="17">
        <v>16.8429</v>
      </c>
      <c r="AG63" s="17">
        <v>12.3124</v>
      </c>
      <c r="AH63" s="17">
        <v>12.148400000000001</v>
      </c>
      <c r="AI63" s="17">
        <v>23.7682</v>
      </c>
      <c r="AJ63" s="17">
        <v>16.508500000000002</v>
      </c>
      <c r="AK63" s="17">
        <v>12.3025</v>
      </c>
      <c r="AL63" s="17">
        <v>11.6625</v>
      </c>
      <c r="AM63" s="17">
        <v>14.8718</v>
      </c>
      <c r="AN63" s="17">
        <v>8.7992000000000008</v>
      </c>
      <c r="AO63" s="17">
        <v>3.8180000000000001</v>
      </c>
      <c r="AP63" s="17">
        <v>13.2979</v>
      </c>
      <c r="AQ63" s="85">
        <v>11.311500000000001</v>
      </c>
    </row>
    <row r="64" spans="1:43" x14ac:dyDescent="0.2">
      <c r="A64" s="34">
        <f t="shared" si="1"/>
        <v>15.243861538461536</v>
      </c>
      <c r="B64" s="17">
        <v>19</v>
      </c>
      <c r="C64" s="17">
        <v>8</v>
      </c>
      <c r="D64" s="34">
        <v>14.937799999999999</v>
      </c>
      <c r="E64" s="17">
        <v>19.171600000000002</v>
      </c>
      <c r="F64" s="17">
        <v>20.795300000000001</v>
      </c>
      <c r="G64" s="17">
        <v>15.1251</v>
      </c>
      <c r="H64" s="17">
        <v>11.2323</v>
      </c>
      <c r="I64" s="17">
        <v>15.216900000000001</v>
      </c>
      <c r="J64" s="17">
        <v>7.6219999999999999</v>
      </c>
      <c r="K64" s="17">
        <v>31.265899999999998</v>
      </c>
      <c r="L64" s="17">
        <v>16.4878</v>
      </c>
      <c r="M64" s="17">
        <v>11.5939</v>
      </c>
      <c r="N64" s="17">
        <v>21.4998</v>
      </c>
      <c r="O64" s="17">
        <v>16.092400000000001</v>
      </c>
      <c r="P64" s="17">
        <v>6.7718999999999996</v>
      </c>
      <c r="Q64" s="17">
        <v>11.1622</v>
      </c>
      <c r="R64" s="17">
        <v>27.1404</v>
      </c>
      <c r="S64" s="17">
        <v>20.507200000000001</v>
      </c>
      <c r="T64" s="17">
        <v>15.2859</v>
      </c>
      <c r="U64" s="17">
        <v>9.4831000000000003</v>
      </c>
      <c r="V64" s="17">
        <v>9.1203000000000003</v>
      </c>
      <c r="W64" s="85">
        <v>9.2135999999999996</v>
      </c>
      <c r="X64" s="34">
        <v>13.6356</v>
      </c>
      <c r="Y64" s="17">
        <v>13.7342</v>
      </c>
      <c r="Z64" s="17">
        <v>17.849699999999999</v>
      </c>
      <c r="AA64" s="17">
        <v>15.5006</v>
      </c>
      <c r="AB64" s="17">
        <v>19.4894</v>
      </c>
      <c r="AC64" s="17">
        <v>13.6744</v>
      </c>
      <c r="AD64" s="17">
        <v>7.6688999999999998</v>
      </c>
      <c r="AE64" s="17">
        <v>23.484999999999999</v>
      </c>
      <c r="AF64" s="17">
        <v>12.401899999999999</v>
      </c>
      <c r="AG64" s="17">
        <v>13.9648</v>
      </c>
      <c r="AH64" s="17">
        <v>21.3127</v>
      </c>
      <c r="AI64" s="17">
        <v>14.815799999999999</v>
      </c>
      <c r="AJ64" s="17">
        <v>12.586600000000001</v>
      </c>
      <c r="AK64" s="17">
        <v>3.5495000000000001</v>
      </c>
      <c r="AL64" s="17">
        <v>12.5014</v>
      </c>
      <c r="AM64" s="17">
        <v>15.7317</v>
      </c>
      <c r="AN64" s="17">
        <v>8.5535999999999994</v>
      </c>
      <c r="AO64" s="17">
        <v>21.303000000000001</v>
      </c>
      <c r="AP64" s="17">
        <v>20.4163</v>
      </c>
      <c r="AQ64" s="85">
        <v>3.0950000000000002</v>
      </c>
    </row>
    <row r="65" spans="1:43" x14ac:dyDescent="0.2">
      <c r="A65" s="34">
        <f t="shared" si="1"/>
        <v>11.119076923076923</v>
      </c>
      <c r="B65" s="17">
        <v>21</v>
      </c>
      <c r="C65" s="17">
        <v>9</v>
      </c>
      <c r="D65" s="34">
        <v>21.089400000000001</v>
      </c>
      <c r="E65" s="17">
        <v>11.058400000000001</v>
      </c>
      <c r="F65" s="17">
        <v>5.2081999999999997</v>
      </c>
      <c r="G65" s="17">
        <v>23.709099999999999</v>
      </c>
      <c r="H65" s="17">
        <v>2.194</v>
      </c>
      <c r="I65" s="17">
        <v>18.613399999999999</v>
      </c>
      <c r="J65" s="17">
        <v>2.1124000000000001</v>
      </c>
      <c r="K65" s="17">
        <v>4.6519000000000004</v>
      </c>
      <c r="L65" s="17">
        <v>23.157399999999999</v>
      </c>
      <c r="M65" s="17">
        <v>5.8026</v>
      </c>
      <c r="N65" s="17">
        <v>10.081</v>
      </c>
      <c r="O65" s="17">
        <v>15.104200000000001</v>
      </c>
      <c r="P65" s="17">
        <v>5.1787000000000001</v>
      </c>
      <c r="Q65" s="17">
        <v>4.8640999999999996</v>
      </c>
      <c r="R65" s="17">
        <v>17.808199999999999</v>
      </c>
      <c r="S65" s="17">
        <v>9.6584000000000003</v>
      </c>
      <c r="T65" s="17">
        <v>3.1903000000000001</v>
      </c>
      <c r="U65" s="17">
        <v>10.157400000000001</v>
      </c>
      <c r="V65" s="17">
        <v>14.4177</v>
      </c>
      <c r="W65" s="85">
        <v>9.2201000000000004</v>
      </c>
      <c r="X65" s="34">
        <v>18.992699999999999</v>
      </c>
      <c r="Y65" s="17">
        <v>16.102</v>
      </c>
      <c r="Z65" s="17">
        <v>11.9298</v>
      </c>
      <c r="AA65" s="17">
        <v>19.729700000000001</v>
      </c>
      <c r="AB65" s="17">
        <v>6.8154000000000003</v>
      </c>
      <c r="AC65" s="17">
        <v>15.5974</v>
      </c>
      <c r="AD65" s="17">
        <v>3.7414999999999998</v>
      </c>
      <c r="AE65" s="17">
        <v>8.0065000000000008</v>
      </c>
      <c r="AF65" s="17">
        <v>26.299199999999999</v>
      </c>
      <c r="AG65" s="17">
        <v>7.1734</v>
      </c>
      <c r="AH65" s="17">
        <v>14.483000000000001</v>
      </c>
      <c r="AI65" s="17">
        <v>22.219000000000001</v>
      </c>
      <c r="AJ65" s="17">
        <v>5.4743000000000004</v>
      </c>
      <c r="AK65" s="17">
        <v>4.4188000000000001</v>
      </c>
      <c r="AL65" s="17">
        <v>8.3926999999999996</v>
      </c>
      <c r="AM65" s="17">
        <v>6.0685000000000002</v>
      </c>
      <c r="AN65" s="17">
        <v>3.8769999999999998</v>
      </c>
      <c r="AO65" s="17">
        <v>8.1205999999999996</v>
      </c>
      <c r="AP65" s="17">
        <v>14.7959</v>
      </c>
      <c r="AQ65" s="85">
        <v>9.7444000000000006</v>
      </c>
    </row>
    <row r="66" spans="1:43" x14ac:dyDescent="0.2">
      <c r="A66" s="34">
        <f t="shared" si="1"/>
        <v>7.5962923076923081</v>
      </c>
      <c r="B66" s="17">
        <v>23</v>
      </c>
      <c r="C66" s="17">
        <v>10</v>
      </c>
      <c r="D66" s="34">
        <v>14.1175</v>
      </c>
      <c r="E66" s="17">
        <v>10.865399999999999</v>
      </c>
      <c r="F66" s="17">
        <v>5.5888</v>
      </c>
      <c r="G66" s="17">
        <v>9.4975000000000005</v>
      </c>
      <c r="H66" s="17">
        <v>4.6193</v>
      </c>
      <c r="I66" s="17">
        <v>1.9319</v>
      </c>
      <c r="J66" s="17">
        <v>5.6106999999999996</v>
      </c>
      <c r="K66" s="17">
        <v>5.8887</v>
      </c>
      <c r="L66" s="17">
        <v>11.623699999999999</v>
      </c>
      <c r="M66" s="17">
        <v>6.1779000000000002</v>
      </c>
      <c r="N66" s="17">
        <v>6.6355000000000004</v>
      </c>
      <c r="O66" s="17">
        <v>14.5387</v>
      </c>
      <c r="P66" s="17">
        <v>4.4124999999999996</v>
      </c>
      <c r="Q66" s="17">
        <v>4.7412999999999998</v>
      </c>
      <c r="R66" s="17">
        <v>4.4760999999999997</v>
      </c>
      <c r="S66" s="17">
        <v>10.032400000000001</v>
      </c>
      <c r="T66" s="17">
        <v>6.0469999999999997</v>
      </c>
      <c r="U66" s="17">
        <v>13.507300000000001</v>
      </c>
      <c r="V66" s="17">
        <v>5.6882000000000001</v>
      </c>
      <c r="W66" s="85">
        <v>5.1760999999999999</v>
      </c>
      <c r="X66" s="34">
        <v>15.8873</v>
      </c>
      <c r="Y66" s="17">
        <v>13.011900000000001</v>
      </c>
      <c r="Z66" s="17">
        <v>5.5430999999999999</v>
      </c>
      <c r="AA66" s="17">
        <v>4.5170000000000003</v>
      </c>
      <c r="AB66" s="17">
        <v>9.6542999999999992</v>
      </c>
      <c r="AC66" s="17">
        <v>7.1982999999999997</v>
      </c>
      <c r="AD66" s="17">
        <v>4.6326999999999998</v>
      </c>
      <c r="AE66" s="17">
        <v>1.2677</v>
      </c>
      <c r="AF66" s="17">
        <v>7.7504999999999997</v>
      </c>
      <c r="AG66" s="17">
        <v>7.96</v>
      </c>
      <c r="AH66" s="17">
        <v>8.4004999999999992</v>
      </c>
      <c r="AI66" s="17">
        <v>13.691000000000001</v>
      </c>
      <c r="AJ66" s="17">
        <v>3.4916</v>
      </c>
      <c r="AK66" s="17">
        <v>7.4760999999999997</v>
      </c>
      <c r="AL66" s="17">
        <v>2.9224000000000001</v>
      </c>
      <c r="AM66" s="17">
        <v>14.230600000000001</v>
      </c>
      <c r="AN66" s="17">
        <v>6.6813000000000002</v>
      </c>
      <c r="AO66" s="17">
        <v>9.8538999999999994</v>
      </c>
      <c r="AP66" s="17">
        <v>5.7361000000000004</v>
      </c>
      <c r="AQ66" s="85">
        <v>4.4241999999999999</v>
      </c>
    </row>
    <row r="67" spans="1:43" x14ac:dyDescent="0.2">
      <c r="A67" s="34">
        <f t="shared" si="1"/>
        <v>10.209584615384616</v>
      </c>
      <c r="B67" s="17">
        <v>27</v>
      </c>
      <c r="C67" s="17">
        <v>11</v>
      </c>
      <c r="D67" s="34">
        <v>11.0503</v>
      </c>
      <c r="E67" s="17">
        <v>10.3969</v>
      </c>
      <c r="F67" s="17">
        <v>26.6206</v>
      </c>
      <c r="G67" s="17">
        <v>9.7096999999999998</v>
      </c>
      <c r="H67" s="17">
        <v>7.8841000000000001</v>
      </c>
      <c r="I67" s="17">
        <v>7.5693999999999999</v>
      </c>
      <c r="J67" s="17">
        <v>3.9674999999999998</v>
      </c>
      <c r="K67" s="17">
        <v>7.2805</v>
      </c>
      <c r="L67" s="17">
        <v>17.712700000000002</v>
      </c>
      <c r="M67" s="17">
        <v>10.3805</v>
      </c>
      <c r="N67" s="17">
        <v>12.5296</v>
      </c>
      <c r="O67" s="17">
        <v>12.5524</v>
      </c>
      <c r="P67" s="17">
        <v>14.3805</v>
      </c>
      <c r="Q67" s="17">
        <v>6.4913999999999996</v>
      </c>
      <c r="R67" s="17">
        <v>11.2248</v>
      </c>
      <c r="S67" s="17">
        <v>12.0352</v>
      </c>
      <c r="T67" s="17">
        <v>9.8511000000000006</v>
      </c>
      <c r="U67" s="17">
        <v>9.0886999999999993</v>
      </c>
      <c r="V67" s="17">
        <v>9.5366999999999997</v>
      </c>
      <c r="W67" s="85">
        <v>8.5823</v>
      </c>
      <c r="X67" s="34">
        <v>13.5839</v>
      </c>
      <c r="Y67" s="17">
        <v>8.3493999999999993</v>
      </c>
      <c r="Z67" s="17">
        <v>12.4693</v>
      </c>
      <c r="AA67" s="17">
        <v>5.7912999999999997</v>
      </c>
      <c r="AB67" s="17">
        <v>2.883</v>
      </c>
      <c r="AC67" s="17">
        <v>9.8308</v>
      </c>
      <c r="AD67" s="17">
        <v>4.7469000000000001</v>
      </c>
      <c r="AE67" s="17">
        <v>6.6523000000000003</v>
      </c>
      <c r="AF67" s="17">
        <v>15.4254</v>
      </c>
      <c r="AG67" s="17">
        <v>16.7758</v>
      </c>
      <c r="AH67" s="17">
        <v>15.680400000000001</v>
      </c>
      <c r="AI67" s="17">
        <v>12.4839</v>
      </c>
      <c r="AJ67" s="17">
        <v>8.3035999999999994</v>
      </c>
      <c r="AK67" s="17">
        <v>5.1295999999999999</v>
      </c>
      <c r="AL67" s="17">
        <v>14.0336</v>
      </c>
      <c r="AM67" s="17">
        <v>15.2371</v>
      </c>
      <c r="AN67" s="17">
        <v>11.889099999999999</v>
      </c>
      <c r="AO67" s="17">
        <v>14.9114</v>
      </c>
      <c r="AP67" s="17">
        <v>8.9929000000000006</v>
      </c>
      <c r="AQ67" s="85">
        <v>8.5485000000000007</v>
      </c>
    </row>
    <row r="68" spans="1:43" x14ac:dyDescent="0.2">
      <c r="A68" s="34">
        <f t="shared" si="1"/>
        <v>12.519534615384618</v>
      </c>
      <c r="B68" s="17">
        <v>28</v>
      </c>
      <c r="C68" s="17">
        <v>12</v>
      </c>
      <c r="D68" s="34">
        <v>14.148400000000001</v>
      </c>
      <c r="E68" s="17">
        <v>7.7625000000000002</v>
      </c>
      <c r="F68" s="17">
        <v>11.082800000000001</v>
      </c>
      <c r="G68" s="17">
        <v>12.143599999999999</v>
      </c>
      <c r="H68" s="17">
        <v>3.8658999999999999</v>
      </c>
      <c r="I68" s="17">
        <v>9.8291000000000004</v>
      </c>
      <c r="J68" s="17">
        <v>10.988300000000001</v>
      </c>
      <c r="K68" s="17">
        <v>9.6737000000000002</v>
      </c>
      <c r="L68" s="17">
        <v>20.849399999999999</v>
      </c>
      <c r="M68" s="17">
        <v>20.5336</v>
      </c>
      <c r="N68" s="17">
        <v>6.3162000000000003</v>
      </c>
      <c r="O68" s="17">
        <v>5.0814000000000004</v>
      </c>
      <c r="P68" s="17">
        <v>16.935700000000001</v>
      </c>
      <c r="Q68" s="17">
        <v>19.649799999999999</v>
      </c>
      <c r="R68" s="17">
        <v>8.6242999999999999</v>
      </c>
      <c r="S68" s="17">
        <v>15.249599999999999</v>
      </c>
      <c r="T68" s="17">
        <v>6.8136999999999999</v>
      </c>
      <c r="U68" s="17">
        <v>15.865600000000001</v>
      </c>
      <c r="V68" s="17">
        <v>11.4686</v>
      </c>
      <c r="W68" s="85">
        <v>3.395</v>
      </c>
      <c r="X68" s="34">
        <v>34.753999999999998</v>
      </c>
      <c r="Y68" s="17">
        <v>10.045199999999999</v>
      </c>
      <c r="Z68" s="17">
        <v>28.978899999999999</v>
      </c>
      <c r="AA68" s="17">
        <v>9.6555</v>
      </c>
      <c r="AB68" s="17">
        <v>4.1946000000000003</v>
      </c>
      <c r="AC68" s="17">
        <v>12.2872</v>
      </c>
      <c r="AD68" s="17">
        <v>9.4636999999999993</v>
      </c>
      <c r="AE68" s="17">
        <v>10.94</v>
      </c>
      <c r="AF68" s="17">
        <v>24.985399999999998</v>
      </c>
      <c r="AG68" s="17">
        <v>15.316700000000001</v>
      </c>
      <c r="AH68" s="17">
        <v>5.1653000000000002</v>
      </c>
      <c r="AI68" s="17">
        <v>7.0273000000000003</v>
      </c>
      <c r="AJ68" s="17">
        <v>12.981999999999999</v>
      </c>
      <c r="AK68" s="17">
        <v>12.3001</v>
      </c>
      <c r="AL68" s="17">
        <v>8.9061000000000003</v>
      </c>
      <c r="AM68" s="17">
        <v>14.3232</v>
      </c>
      <c r="AN68" s="17">
        <v>8.9388000000000005</v>
      </c>
      <c r="AO68" s="17">
        <v>24.435500000000001</v>
      </c>
      <c r="AP68" s="17">
        <v>12.6668</v>
      </c>
      <c r="AQ68" s="85">
        <v>4.2746000000000004</v>
      </c>
    </row>
    <row r="69" spans="1:43" x14ac:dyDescent="0.2">
      <c r="A69" s="34">
        <f t="shared" si="1"/>
        <v>10.851846153846155</v>
      </c>
      <c r="B69" s="17">
        <v>35</v>
      </c>
      <c r="C69" s="17">
        <v>13</v>
      </c>
      <c r="D69" s="34">
        <v>20.097100000000001</v>
      </c>
      <c r="E69" s="17">
        <v>2.5097999999999998</v>
      </c>
      <c r="F69" s="17">
        <v>10.3085</v>
      </c>
      <c r="G69" s="17">
        <v>10.5136</v>
      </c>
      <c r="H69" s="17">
        <v>11.6585</v>
      </c>
      <c r="I69" s="17">
        <v>19.7911</v>
      </c>
      <c r="J69" s="17">
        <v>4.8319999999999999</v>
      </c>
      <c r="K69" s="17">
        <v>12.091100000000001</v>
      </c>
      <c r="L69" s="17">
        <v>13.7034</v>
      </c>
      <c r="M69" s="17">
        <v>13.597099999999999</v>
      </c>
      <c r="N69" s="17">
        <v>12.519</v>
      </c>
      <c r="O69" s="17">
        <v>15.795199999999999</v>
      </c>
      <c r="P69" s="17">
        <v>6.5765000000000002</v>
      </c>
      <c r="Q69" s="17">
        <v>11.124700000000001</v>
      </c>
      <c r="R69" s="17">
        <v>8.8056999999999999</v>
      </c>
      <c r="S69" s="17">
        <v>9.7173999999999996</v>
      </c>
      <c r="T69" s="17">
        <v>9.9760000000000009</v>
      </c>
      <c r="U69" s="17">
        <v>6.2070999999999996</v>
      </c>
      <c r="V69" s="17">
        <v>10.7723</v>
      </c>
      <c r="W69" s="85">
        <v>6.9984999999999999</v>
      </c>
      <c r="X69" s="34">
        <v>15.3512</v>
      </c>
      <c r="Y69" s="17">
        <v>5.7117000000000004</v>
      </c>
      <c r="Z69" s="17">
        <v>14.5304</v>
      </c>
      <c r="AA69" s="17">
        <v>7.2323000000000004</v>
      </c>
      <c r="AB69" s="17">
        <v>8.5402000000000005</v>
      </c>
      <c r="AC69" s="17">
        <v>22.565899999999999</v>
      </c>
      <c r="AD69" s="17">
        <v>10.7188</v>
      </c>
      <c r="AE69" s="17">
        <v>11.2315</v>
      </c>
      <c r="AF69" s="17">
        <v>17.165700000000001</v>
      </c>
      <c r="AG69" s="17">
        <v>20.113800000000001</v>
      </c>
      <c r="AH69" s="17">
        <v>20.778700000000001</v>
      </c>
      <c r="AI69" s="17">
        <v>5.6212</v>
      </c>
      <c r="AJ69" s="17">
        <v>7.1239999999999997</v>
      </c>
      <c r="AK69" s="17">
        <v>10.622</v>
      </c>
      <c r="AL69" s="17">
        <v>2.4992999999999999</v>
      </c>
      <c r="AM69" s="17">
        <v>15.7111</v>
      </c>
      <c r="AN69" s="17">
        <v>10.2926</v>
      </c>
      <c r="AO69" s="17">
        <v>8.7861999999999991</v>
      </c>
      <c r="AP69" s="17">
        <v>19.520800000000001</v>
      </c>
      <c r="AQ69" s="85">
        <v>8.6715999999999998</v>
      </c>
    </row>
    <row r="70" spans="1:43" x14ac:dyDescent="0.2">
      <c r="A70" s="34">
        <f t="shared" si="1"/>
        <v>8.1877653846153837</v>
      </c>
      <c r="B70" s="17">
        <v>38</v>
      </c>
      <c r="C70" s="17">
        <v>14</v>
      </c>
      <c r="D70" s="34">
        <v>13.831</v>
      </c>
      <c r="E70" s="17">
        <v>10.462300000000001</v>
      </c>
      <c r="F70" s="17">
        <v>6.0227000000000004</v>
      </c>
      <c r="G70" s="17">
        <v>3.3369</v>
      </c>
      <c r="H70" s="17">
        <v>5.9935999999999998</v>
      </c>
      <c r="I70" s="17">
        <v>4.7073999999999998</v>
      </c>
      <c r="J70" s="17">
        <v>8.5175000000000001</v>
      </c>
      <c r="K70" s="17">
        <v>8.3557000000000006</v>
      </c>
      <c r="L70" s="17">
        <v>10.2683</v>
      </c>
      <c r="M70" s="17">
        <v>10.4086</v>
      </c>
      <c r="N70" s="17">
        <v>11.9788</v>
      </c>
      <c r="O70" s="17">
        <v>10.4854</v>
      </c>
      <c r="P70" s="17">
        <v>1.1294999999999999</v>
      </c>
      <c r="Q70" s="17">
        <v>6.1689999999999996</v>
      </c>
      <c r="R70" s="17">
        <v>3.0922999999999998</v>
      </c>
      <c r="S70" s="17">
        <v>13.6593</v>
      </c>
      <c r="T70" s="17">
        <v>5.1140999999999996</v>
      </c>
      <c r="U70" s="17">
        <v>8.2818000000000005</v>
      </c>
      <c r="V70" s="17">
        <v>14.1509</v>
      </c>
      <c r="W70" s="85">
        <v>5.1089000000000002</v>
      </c>
      <c r="X70" s="34">
        <v>14.610300000000001</v>
      </c>
      <c r="Y70" s="17">
        <v>10.392799999999999</v>
      </c>
      <c r="Z70" s="17">
        <v>4.3060999999999998</v>
      </c>
      <c r="AA70" s="17">
        <v>10.9735</v>
      </c>
      <c r="AB70" s="17">
        <v>6.2619999999999996</v>
      </c>
      <c r="AC70" s="17">
        <v>10.4178</v>
      </c>
      <c r="AD70" s="17">
        <v>8.6763999999999992</v>
      </c>
      <c r="AE70" s="17">
        <v>4.3971999999999998</v>
      </c>
      <c r="AF70" s="17">
        <v>9.9639000000000006</v>
      </c>
      <c r="AG70" s="17">
        <v>18.329599999999999</v>
      </c>
      <c r="AH70" s="17">
        <v>9.7256999999999998</v>
      </c>
      <c r="AI70" s="17">
        <v>6.6620999999999997</v>
      </c>
      <c r="AJ70" s="17">
        <v>1.9502999999999999</v>
      </c>
      <c r="AK70" s="17">
        <v>16.222200000000001</v>
      </c>
      <c r="AL70" s="17">
        <v>9.7657000000000007</v>
      </c>
      <c r="AM70" s="17">
        <v>10.752000000000001</v>
      </c>
      <c r="AN70" s="17">
        <v>2.9605000000000001</v>
      </c>
      <c r="AO70" s="17">
        <v>6.5483000000000002</v>
      </c>
      <c r="AP70" s="17">
        <v>12.4839</v>
      </c>
      <c r="AQ70" s="85">
        <v>10.973699999999999</v>
      </c>
    </row>
    <row r="71" spans="1:43" x14ac:dyDescent="0.2">
      <c r="A71" s="34">
        <f t="shared" si="1"/>
        <v>7.6244153846153848</v>
      </c>
      <c r="B71" s="17">
        <v>43</v>
      </c>
      <c r="C71" s="17">
        <v>15</v>
      </c>
      <c r="D71" s="34">
        <v>8.1501000000000001</v>
      </c>
      <c r="E71" s="17">
        <v>9.7875999999999994</v>
      </c>
      <c r="F71" s="17">
        <v>4.2904999999999998</v>
      </c>
      <c r="G71" s="17">
        <v>5.1039000000000003</v>
      </c>
      <c r="H71" s="17">
        <v>3.9497</v>
      </c>
      <c r="I71" s="17">
        <v>8.8363999999999994</v>
      </c>
      <c r="J71" s="17">
        <v>5.3853999999999997</v>
      </c>
      <c r="K71" s="17">
        <v>5.1939000000000002</v>
      </c>
      <c r="L71" s="17">
        <v>12.7258</v>
      </c>
      <c r="M71" s="17">
        <v>6.5236999999999998</v>
      </c>
      <c r="N71" s="17">
        <v>13.8461</v>
      </c>
      <c r="O71" s="17">
        <v>8.3566000000000003</v>
      </c>
      <c r="P71" s="17">
        <v>3.4668000000000001</v>
      </c>
      <c r="Q71" s="17">
        <v>5.3490000000000002</v>
      </c>
      <c r="R71" s="17">
        <v>8.5119000000000007</v>
      </c>
      <c r="S71" s="17">
        <v>3.0956000000000001</v>
      </c>
      <c r="T71" s="17">
        <v>17.151299999999999</v>
      </c>
      <c r="U71" s="17">
        <v>1.4512</v>
      </c>
      <c r="V71" s="17">
        <v>13.0905</v>
      </c>
      <c r="W71" s="85">
        <v>4.3211000000000004</v>
      </c>
      <c r="X71" s="34">
        <v>9.1740999999999993</v>
      </c>
      <c r="Y71" s="17">
        <v>13.1417</v>
      </c>
      <c r="Z71" s="17">
        <v>7.6742999999999997</v>
      </c>
      <c r="AA71" s="17">
        <v>6.8507999999999996</v>
      </c>
      <c r="AB71" s="17">
        <v>7.3594999999999997</v>
      </c>
      <c r="AC71" s="17">
        <v>8.7881999999999998</v>
      </c>
      <c r="AD71" s="17">
        <v>4.8091999999999997</v>
      </c>
      <c r="AE71" s="17">
        <v>4.8666</v>
      </c>
      <c r="AF71" s="17">
        <v>7.7064000000000004</v>
      </c>
      <c r="AG71" s="17">
        <v>9.3437000000000001</v>
      </c>
      <c r="AH71" s="17">
        <v>5.5739999999999998</v>
      </c>
      <c r="AI71" s="17">
        <v>13.188800000000001</v>
      </c>
      <c r="AJ71" s="17">
        <v>15.3767</v>
      </c>
      <c r="AK71" s="17">
        <v>4.2366999999999999</v>
      </c>
      <c r="AL71" s="17">
        <v>7.5724</v>
      </c>
      <c r="AM71" s="17">
        <v>3.8544999999999998</v>
      </c>
      <c r="AN71" s="17">
        <v>15.373200000000001</v>
      </c>
      <c r="AO71" s="17">
        <v>4.5885999999999996</v>
      </c>
      <c r="AP71" s="17">
        <v>14.811</v>
      </c>
      <c r="AQ71" s="85">
        <v>5.5453999999999999</v>
      </c>
    </row>
    <row r="72" spans="1:43" x14ac:dyDescent="0.2">
      <c r="A72" s="34">
        <f t="shared" si="1"/>
        <v>11.333473076923077</v>
      </c>
      <c r="B72" s="17">
        <v>44</v>
      </c>
      <c r="C72" s="17">
        <v>16</v>
      </c>
      <c r="D72" s="34">
        <v>3.9662999999999999</v>
      </c>
      <c r="E72" s="17">
        <v>14.9117</v>
      </c>
      <c r="F72" s="17">
        <v>14.172000000000001</v>
      </c>
      <c r="G72" s="17">
        <v>7.0797999999999996</v>
      </c>
      <c r="H72" s="17">
        <v>10.9331</v>
      </c>
      <c r="I72" s="17">
        <v>21.342500000000001</v>
      </c>
      <c r="J72" s="17">
        <v>7.7377000000000002</v>
      </c>
      <c r="K72" s="17">
        <v>13.8222</v>
      </c>
      <c r="L72" s="17">
        <v>10.556100000000001</v>
      </c>
      <c r="M72" s="17">
        <v>17.8415</v>
      </c>
      <c r="N72" s="17">
        <v>21.1463</v>
      </c>
      <c r="O72" s="17">
        <v>7.7385999999999999</v>
      </c>
      <c r="P72" s="17">
        <v>8.1447000000000003</v>
      </c>
      <c r="Q72" s="17">
        <v>6.4871999999999996</v>
      </c>
      <c r="R72" s="17">
        <v>6.5989000000000004</v>
      </c>
      <c r="S72" s="17">
        <v>3.3607</v>
      </c>
      <c r="T72" s="17">
        <v>9.1905999999999999</v>
      </c>
      <c r="U72" s="17">
        <v>11.439500000000001</v>
      </c>
      <c r="V72" s="17">
        <v>9.0602</v>
      </c>
      <c r="W72" s="85">
        <v>5.7016999999999998</v>
      </c>
      <c r="X72" s="34">
        <v>7.4629000000000003</v>
      </c>
      <c r="Y72" s="17">
        <v>15.9655</v>
      </c>
      <c r="Z72" s="17">
        <v>14.5015</v>
      </c>
      <c r="AA72" s="17">
        <v>9.8864000000000001</v>
      </c>
      <c r="AB72" s="17">
        <v>10.542899999999999</v>
      </c>
      <c r="AC72" s="17">
        <v>19.163900000000002</v>
      </c>
      <c r="AD72" s="17">
        <v>9.8821999999999992</v>
      </c>
      <c r="AE72" s="17">
        <v>10.269500000000001</v>
      </c>
      <c r="AF72" s="17">
        <v>3.7456999999999998</v>
      </c>
      <c r="AG72" s="17">
        <v>15.2468</v>
      </c>
      <c r="AH72" s="17">
        <v>22.363399999999999</v>
      </c>
      <c r="AI72" s="17">
        <v>5.8277999999999999</v>
      </c>
      <c r="AJ72" s="17">
        <v>10.7356</v>
      </c>
      <c r="AK72" s="17">
        <v>9.8074999999999992</v>
      </c>
      <c r="AL72" s="17">
        <v>3.3738000000000001</v>
      </c>
      <c r="AM72" s="17">
        <v>9.9496000000000002</v>
      </c>
      <c r="AN72" s="17">
        <v>6.4930000000000003</v>
      </c>
      <c r="AO72" s="17">
        <v>12.4023</v>
      </c>
      <c r="AP72" s="17">
        <v>12.9887</v>
      </c>
      <c r="AQ72" s="85">
        <v>8.3376999999999999</v>
      </c>
    </row>
    <row r="73" spans="1:43" x14ac:dyDescent="0.2">
      <c r="A73" s="34">
        <f t="shared" si="1"/>
        <v>10.094423076923078</v>
      </c>
      <c r="B73" s="17">
        <v>45</v>
      </c>
      <c r="C73" s="17">
        <v>17</v>
      </c>
      <c r="D73" s="34">
        <v>12.1797</v>
      </c>
      <c r="E73" s="17">
        <v>6.8810000000000002</v>
      </c>
      <c r="F73" s="17">
        <v>13.029199999999999</v>
      </c>
      <c r="G73" s="17">
        <v>7.2990000000000004</v>
      </c>
      <c r="H73" s="17">
        <v>9.9121000000000006</v>
      </c>
      <c r="I73" s="17">
        <v>9.9481000000000002</v>
      </c>
      <c r="J73" s="17">
        <v>9.9722000000000008</v>
      </c>
      <c r="K73" s="17">
        <v>16.161200000000001</v>
      </c>
      <c r="L73" s="17">
        <v>2.3186</v>
      </c>
      <c r="M73" s="17">
        <v>4.9180000000000001</v>
      </c>
      <c r="N73" s="17">
        <v>11.214499999999999</v>
      </c>
      <c r="O73" s="17">
        <v>14.1037</v>
      </c>
      <c r="P73" s="17">
        <v>10.0014</v>
      </c>
      <c r="Q73" s="17">
        <v>9.2296999999999993</v>
      </c>
      <c r="R73" s="17">
        <v>7.5751999999999997</v>
      </c>
      <c r="S73" s="17">
        <v>18.4404</v>
      </c>
      <c r="T73" s="17">
        <v>1.2977000000000001</v>
      </c>
      <c r="U73" s="17">
        <v>13.6127</v>
      </c>
      <c r="V73" s="17">
        <v>6.0884999999999998</v>
      </c>
      <c r="W73" s="85">
        <v>13.3003</v>
      </c>
      <c r="X73" s="34">
        <v>15.2469</v>
      </c>
      <c r="Y73" s="17">
        <v>5.1700999999999997</v>
      </c>
      <c r="Z73" s="17">
        <v>11.6</v>
      </c>
      <c r="AA73" s="17">
        <v>6.8479000000000001</v>
      </c>
      <c r="AB73" s="17">
        <v>13.6578</v>
      </c>
      <c r="AC73" s="17">
        <v>8.4085999999999999</v>
      </c>
      <c r="AD73" s="17">
        <v>16.220199999999998</v>
      </c>
      <c r="AE73" s="17">
        <v>11.9391</v>
      </c>
      <c r="AF73" s="17">
        <v>4.0404999999999998</v>
      </c>
      <c r="AG73" s="17">
        <v>9.2186000000000003</v>
      </c>
      <c r="AH73" s="17">
        <v>6.3705999999999996</v>
      </c>
      <c r="AI73" s="17">
        <v>17.438800000000001</v>
      </c>
      <c r="AJ73" s="17">
        <v>1.4766999999999999</v>
      </c>
      <c r="AK73" s="17">
        <v>9.9824000000000002</v>
      </c>
      <c r="AL73" s="17">
        <v>5.6977000000000002</v>
      </c>
      <c r="AM73" s="17">
        <v>14.585800000000001</v>
      </c>
      <c r="AN73" s="17">
        <v>6.4211</v>
      </c>
      <c r="AO73" s="17">
        <v>7.8090999999999999</v>
      </c>
      <c r="AP73" s="17">
        <v>8.0517000000000003</v>
      </c>
      <c r="AQ73" s="85">
        <v>5.3414000000000001</v>
      </c>
    </row>
    <row r="74" spans="1:43" x14ac:dyDescent="0.2">
      <c r="A74" s="34">
        <f t="shared" si="1"/>
        <v>9.417123076923076</v>
      </c>
      <c r="B74" s="17">
        <v>48</v>
      </c>
      <c r="C74" s="17">
        <v>18</v>
      </c>
      <c r="D74" s="34">
        <v>15.4115</v>
      </c>
      <c r="E74" s="17">
        <v>4.8662999999999998</v>
      </c>
      <c r="F74" s="17">
        <v>9.6829999999999998</v>
      </c>
      <c r="G74" s="17">
        <v>5.6111000000000004</v>
      </c>
      <c r="H74" s="17">
        <v>0.70789999999999997</v>
      </c>
      <c r="I74" s="17">
        <v>16.697600000000001</v>
      </c>
      <c r="J74" s="17">
        <v>2.7667999999999999</v>
      </c>
      <c r="K74" s="17">
        <v>6.5334000000000003</v>
      </c>
      <c r="L74" s="17">
        <v>6.8384</v>
      </c>
      <c r="M74" s="17">
        <v>7.0911</v>
      </c>
      <c r="N74" s="17">
        <v>17.43</v>
      </c>
      <c r="O74" s="17">
        <v>5.1357999999999997</v>
      </c>
      <c r="P74" s="17">
        <v>3.2614000000000001</v>
      </c>
      <c r="Q74" s="17">
        <v>13.222</v>
      </c>
      <c r="R74" s="17">
        <v>9.5266999999999999</v>
      </c>
      <c r="S74" s="17">
        <v>20.465800000000002</v>
      </c>
      <c r="T74" s="17">
        <v>10.6379</v>
      </c>
      <c r="U74" s="17">
        <v>2.0207999999999999</v>
      </c>
      <c r="V74" s="17">
        <v>1.2672000000000001</v>
      </c>
      <c r="W74" s="85">
        <v>12.1168</v>
      </c>
      <c r="X74" s="34">
        <v>14.789099999999999</v>
      </c>
      <c r="Y74" s="17">
        <v>9.9152000000000005</v>
      </c>
      <c r="Z74" s="17">
        <v>10.7608</v>
      </c>
      <c r="AA74" s="17">
        <v>21.296900000000001</v>
      </c>
      <c r="AB74" s="17">
        <v>4.7465999999999999</v>
      </c>
      <c r="AC74" s="17">
        <v>21.624600000000001</v>
      </c>
      <c r="AD74" s="17">
        <v>5.8319999999999999</v>
      </c>
      <c r="AE74" s="17">
        <v>10.696999999999999</v>
      </c>
      <c r="AF74" s="17">
        <v>7.2823000000000002</v>
      </c>
      <c r="AG74" s="17">
        <v>2.8877000000000002</v>
      </c>
      <c r="AH74" s="17">
        <v>13.6669</v>
      </c>
      <c r="AI74" s="17">
        <v>8.7645</v>
      </c>
      <c r="AJ74" s="17">
        <v>4.8996000000000004</v>
      </c>
      <c r="AK74" s="17">
        <v>16.273900000000001</v>
      </c>
      <c r="AL74" s="17">
        <v>12.3544</v>
      </c>
      <c r="AM74" s="17">
        <v>18.189</v>
      </c>
      <c r="AN74" s="17">
        <v>3.4361999999999999</v>
      </c>
      <c r="AO74" s="17">
        <v>6.0685000000000002</v>
      </c>
      <c r="AP74" s="17">
        <v>5.9127999999999998</v>
      </c>
      <c r="AQ74" s="85">
        <v>11.5923</v>
      </c>
    </row>
    <row r="75" spans="1:43" x14ac:dyDescent="0.2">
      <c r="A75" s="34">
        <f t="shared" si="1"/>
        <v>11.063803846153844</v>
      </c>
      <c r="B75" s="17">
        <v>49</v>
      </c>
      <c r="C75" s="17">
        <v>19</v>
      </c>
      <c r="D75" s="34">
        <v>14.256500000000001</v>
      </c>
      <c r="E75" s="17">
        <v>20.254899999999999</v>
      </c>
      <c r="F75" s="17">
        <v>11.123200000000001</v>
      </c>
      <c r="G75" s="17">
        <v>6.7362000000000002</v>
      </c>
      <c r="H75" s="17">
        <v>14.049799999999999</v>
      </c>
      <c r="I75" s="17">
        <v>17.737500000000001</v>
      </c>
      <c r="J75" s="17">
        <v>6.5275999999999996</v>
      </c>
      <c r="K75" s="17">
        <v>8.8757000000000001</v>
      </c>
      <c r="L75" s="17">
        <v>16.115400000000001</v>
      </c>
      <c r="M75" s="17">
        <v>9.4292999999999996</v>
      </c>
      <c r="N75" s="17">
        <v>6.6577999999999999</v>
      </c>
      <c r="O75" s="17">
        <v>18.7728</v>
      </c>
      <c r="P75" s="17">
        <v>7.5736999999999997</v>
      </c>
      <c r="Q75" s="17">
        <v>15.913399999999999</v>
      </c>
      <c r="R75" s="17">
        <v>4.5213000000000001</v>
      </c>
      <c r="S75" s="17">
        <v>12.780900000000001</v>
      </c>
      <c r="T75" s="17">
        <v>12.9381</v>
      </c>
      <c r="U75" s="17">
        <v>12.5703</v>
      </c>
      <c r="V75" s="17">
        <v>8.8102999999999998</v>
      </c>
      <c r="W75" s="85">
        <v>11.433999999999999</v>
      </c>
      <c r="X75" s="34">
        <v>14.634600000000001</v>
      </c>
      <c r="Y75" s="17">
        <v>14.729100000000001</v>
      </c>
      <c r="Z75" s="17">
        <v>4.3064999999999998</v>
      </c>
      <c r="AA75" s="17">
        <v>2.0748000000000002</v>
      </c>
      <c r="AB75" s="17">
        <v>14.4955</v>
      </c>
      <c r="AC75" s="17">
        <v>5.9432999999999998</v>
      </c>
      <c r="AD75" s="17">
        <v>8.6529000000000007</v>
      </c>
      <c r="AE75" s="17">
        <v>6.0213999999999999</v>
      </c>
      <c r="AF75" s="17">
        <v>10.3504</v>
      </c>
      <c r="AG75" s="17">
        <v>11.7018</v>
      </c>
      <c r="AH75" s="17">
        <v>9.7324999999999999</v>
      </c>
      <c r="AI75" s="17">
        <v>17.319800000000001</v>
      </c>
      <c r="AJ75" s="17">
        <v>17.314599999999999</v>
      </c>
      <c r="AK75" s="17">
        <v>10.3939</v>
      </c>
      <c r="AL75" s="17">
        <v>3.3763000000000001</v>
      </c>
      <c r="AM75" s="17">
        <v>14.783300000000001</v>
      </c>
      <c r="AN75" s="17">
        <v>14.339499999999999</v>
      </c>
      <c r="AO75" s="17">
        <v>17.0548</v>
      </c>
      <c r="AP75" s="17">
        <v>9.9411000000000005</v>
      </c>
      <c r="AQ75" s="85">
        <v>15.917999999999999</v>
      </c>
    </row>
    <row r="76" spans="1:43" x14ac:dyDescent="0.2">
      <c r="A76" s="34">
        <f t="shared" si="1"/>
        <v>10.198080769230767</v>
      </c>
      <c r="B76" s="17">
        <v>51</v>
      </c>
      <c r="C76" s="17">
        <v>20</v>
      </c>
      <c r="D76" s="34">
        <v>8.1044999999999998</v>
      </c>
      <c r="E76" s="17">
        <v>9.9189000000000007</v>
      </c>
      <c r="F76" s="17">
        <v>10.478</v>
      </c>
      <c r="G76" s="17">
        <v>3.1242999999999999</v>
      </c>
      <c r="H76" s="17">
        <v>7.1109</v>
      </c>
      <c r="I76" s="17">
        <v>33.064799999999998</v>
      </c>
      <c r="J76" s="17">
        <v>12.163500000000001</v>
      </c>
      <c r="K76" s="17">
        <v>9.8146000000000004</v>
      </c>
      <c r="L76" s="17">
        <v>9.0899000000000001</v>
      </c>
      <c r="M76" s="17">
        <v>18.050599999999999</v>
      </c>
      <c r="N76" s="17">
        <v>15.353199999999999</v>
      </c>
      <c r="O76" s="17">
        <v>5.3250000000000002</v>
      </c>
      <c r="P76" s="17">
        <v>6.2702</v>
      </c>
      <c r="Q76" s="17">
        <v>8.3046000000000006</v>
      </c>
      <c r="R76" s="17">
        <v>4.8929999999999998</v>
      </c>
      <c r="S76" s="17">
        <v>13.391</v>
      </c>
      <c r="T76" s="17">
        <v>15.2278</v>
      </c>
      <c r="U76" s="17">
        <v>9.0949000000000009</v>
      </c>
      <c r="V76" s="17">
        <v>4.1653000000000002</v>
      </c>
      <c r="W76" s="85">
        <v>2.9823</v>
      </c>
      <c r="X76" s="34">
        <v>12.176500000000001</v>
      </c>
      <c r="Y76" s="17">
        <v>7.0289000000000001</v>
      </c>
      <c r="Z76" s="17">
        <v>14.3535</v>
      </c>
      <c r="AA76" s="17">
        <v>12.948600000000001</v>
      </c>
      <c r="AB76" s="17">
        <v>3.7976999999999999</v>
      </c>
      <c r="AC76" s="17">
        <v>7.8898999999999999</v>
      </c>
      <c r="AD76" s="17">
        <v>9.1321999999999992</v>
      </c>
      <c r="AE76" s="17">
        <v>9.4525000000000006</v>
      </c>
      <c r="AF76" s="17">
        <v>4.3269000000000002</v>
      </c>
      <c r="AG76" s="17">
        <v>18.6677</v>
      </c>
      <c r="AH76" s="17">
        <v>7.1101000000000001</v>
      </c>
      <c r="AI76" s="17">
        <v>7.6692999999999998</v>
      </c>
      <c r="AJ76" s="17">
        <v>4.8758999999999997</v>
      </c>
      <c r="AK76" s="17">
        <v>5.1928000000000001</v>
      </c>
      <c r="AL76" s="17">
        <v>2.5670999999999999</v>
      </c>
      <c r="AM76" s="17">
        <v>16.873699999999999</v>
      </c>
      <c r="AN76" s="17">
        <v>11.481999999999999</v>
      </c>
      <c r="AO76" s="17">
        <v>6.7279</v>
      </c>
      <c r="AP76" s="17">
        <v>4.4622999999999999</v>
      </c>
      <c r="AQ76" s="85">
        <v>13.5396</v>
      </c>
    </row>
    <row r="77" spans="1:43" x14ac:dyDescent="0.2">
      <c r="A77" s="34">
        <f t="shared" si="1"/>
        <v>11.570446153846152</v>
      </c>
      <c r="B77" s="17">
        <v>53</v>
      </c>
      <c r="C77" s="17">
        <v>21</v>
      </c>
      <c r="D77" s="34">
        <v>12.6296</v>
      </c>
      <c r="E77" s="17">
        <v>13.0121</v>
      </c>
      <c r="F77" s="17">
        <v>12.4406</v>
      </c>
      <c r="G77" s="17">
        <v>7.7792000000000003</v>
      </c>
      <c r="H77" s="17">
        <v>14.429600000000001</v>
      </c>
      <c r="I77" s="17">
        <v>17.043600000000001</v>
      </c>
      <c r="J77" s="17">
        <v>8.3795000000000002</v>
      </c>
      <c r="K77" s="17">
        <v>26.6035</v>
      </c>
      <c r="L77" s="17">
        <v>12.993600000000001</v>
      </c>
      <c r="M77" s="17">
        <v>3.7601</v>
      </c>
      <c r="N77" s="17">
        <v>7.0838000000000001</v>
      </c>
      <c r="O77" s="17">
        <v>12.365600000000001</v>
      </c>
      <c r="P77" s="17">
        <v>3.5432999999999999</v>
      </c>
      <c r="Q77" s="17">
        <v>6.7389999999999999</v>
      </c>
      <c r="R77" s="17">
        <v>6.2373000000000003</v>
      </c>
      <c r="S77" s="17">
        <v>20.229900000000001</v>
      </c>
      <c r="T77" s="17">
        <v>13.600099999999999</v>
      </c>
      <c r="U77" s="17">
        <v>12.9411</v>
      </c>
      <c r="V77" s="17">
        <v>12.226100000000001</v>
      </c>
      <c r="W77" s="85">
        <v>4.0147000000000004</v>
      </c>
      <c r="X77" s="34">
        <v>10.483499999999999</v>
      </c>
      <c r="Y77" s="17">
        <v>21.773</v>
      </c>
      <c r="Z77" s="17">
        <v>6.7233999999999998</v>
      </c>
      <c r="AA77" s="17">
        <v>6.7995999999999999</v>
      </c>
      <c r="AB77" s="17">
        <v>12.091200000000001</v>
      </c>
      <c r="AC77" s="17">
        <v>17.886600000000001</v>
      </c>
      <c r="AD77" s="17">
        <v>9.6516000000000002</v>
      </c>
      <c r="AE77" s="17">
        <v>22.044599999999999</v>
      </c>
      <c r="AF77" s="17">
        <v>2.3380999999999998</v>
      </c>
      <c r="AG77" s="17">
        <v>10.2524</v>
      </c>
      <c r="AH77" s="17">
        <v>12.6471</v>
      </c>
      <c r="AI77" s="17">
        <v>16.005800000000001</v>
      </c>
      <c r="AJ77" s="17">
        <v>7.9904999999999999</v>
      </c>
      <c r="AK77" s="17">
        <v>10.7499</v>
      </c>
      <c r="AL77" s="17">
        <v>2.9176000000000002</v>
      </c>
      <c r="AM77" s="17">
        <v>13.4657</v>
      </c>
      <c r="AN77" s="17">
        <v>15.7294</v>
      </c>
      <c r="AO77" s="17">
        <v>10.031700000000001</v>
      </c>
      <c r="AP77" s="17">
        <v>7.3330000000000002</v>
      </c>
      <c r="AQ77" s="85">
        <v>2.3755000000000002</v>
      </c>
    </row>
    <row r="78" spans="1:43" x14ac:dyDescent="0.2">
      <c r="A78" s="34">
        <f t="shared" si="1"/>
        <v>10.156296153846153</v>
      </c>
      <c r="B78" s="17">
        <v>55</v>
      </c>
      <c r="C78" s="17">
        <v>22</v>
      </c>
      <c r="D78" s="34">
        <v>10.2654</v>
      </c>
      <c r="E78" s="17">
        <v>16.0092</v>
      </c>
      <c r="F78" s="17">
        <v>4.5610999999999997</v>
      </c>
      <c r="G78" s="17">
        <v>10.4994</v>
      </c>
      <c r="H78" s="17">
        <v>9.0774000000000008</v>
      </c>
      <c r="I78" s="17">
        <v>26.722899999999999</v>
      </c>
      <c r="J78" s="17">
        <v>10.4687</v>
      </c>
      <c r="K78" s="17">
        <v>6.6886000000000001</v>
      </c>
      <c r="L78" s="17">
        <v>4.8611000000000004</v>
      </c>
      <c r="M78" s="17">
        <v>4.0913000000000004</v>
      </c>
      <c r="N78" s="17">
        <v>5.7587999999999999</v>
      </c>
      <c r="O78" s="17">
        <v>14.4138</v>
      </c>
      <c r="P78" s="17">
        <v>3.3601000000000001</v>
      </c>
      <c r="Q78" s="17">
        <v>9.8871000000000002</v>
      </c>
      <c r="R78" s="17">
        <v>3.5177999999999998</v>
      </c>
      <c r="S78" s="17">
        <v>5.0343</v>
      </c>
      <c r="T78" s="17">
        <v>10.7393</v>
      </c>
      <c r="U78" s="17">
        <v>5.6207000000000003</v>
      </c>
      <c r="V78" s="17">
        <v>7.3146000000000004</v>
      </c>
      <c r="W78" s="85">
        <v>5.4478999999999997</v>
      </c>
      <c r="X78" s="34">
        <v>7.8638000000000003</v>
      </c>
      <c r="Y78" s="17">
        <v>10.204499999999999</v>
      </c>
      <c r="Z78" s="17">
        <v>4.7305999999999999</v>
      </c>
      <c r="AA78" s="17">
        <v>7.9520999999999997</v>
      </c>
      <c r="AB78" s="17">
        <v>6.4749999999999996</v>
      </c>
      <c r="AC78" s="17">
        <v>45.420200000000001</v>
      </c>
      <c r="AD78" s="17">
        <v>17.343399999999999</v>
      </c>
      <c r="AE78" s="17">
        <v>10.540900000000001</v>
      </c>
      <c r="AF78" s="17">
        <v>5.6585000000000001</v>
      </c>
      <c r="AG78" s="17">
        <v>7.8701999999999996</v>
      </c>
      <c r="AH78" s="17">
        <v>5.8773</v>
      </c>
      <c r="AI78" s="17">
        <v>8.7308000000000003</v>
      </c>
      <c r="AJ78" s="17">
        <v>2.8917999999999999</v>
      </c>
      <c r="AK78" s="17">
        <v>4.3169000000000004</v>
      </c>
      <c r="AL78" s="17">
        <v>4.8594999999999997</v>
      </c>
      <c r="AM78" s="17">
        <v>10.422599999999999</v>
      </c>
      <c r="AN78" s="17">
        <v>5.3281000000000001</v>
      </c>
      <c r="AO78" s="17">
        <v>13.9779</v>
      </c>
      <c r="AP78" s="17">
        <v>15.97</v>
      </c>
      <c r="AQ78" s="85">
        <v>13.981400000000001</v>
      </c>
    </row>
    <row r="79" spans="1:43" x14ac:dyDescent="0.2">
      <c r="A79" s="34">
        <f t="shared" si="1"/>
        <v>13.461038461538461</v>
      </c>
      <c r="B79" s="17">
        <v>57</v>
      </c>
      <c r="C79" s="17">
        <v>23</v>
      </c>
      <c r="D79" s="34">
        <v>22.037800000000001</v>
      </c>
      <c r="E79" s="17">
        <v>8.2467000000000006</v>
      </c>
      <c r="F79" s="17">
        <v>19.764299999999999</v>
      </c>
      <c r="G79" s="17">
        <v>12.271599999999999</v>
      </c>
      <c r="H79" s="17">
        <v>1.7634000000000001</v>
      </c>
      <c r="I79" s="17">
        <v>54.140599999999999</v>
      </c>
      <c r="J79" s="17">
        <v>11.1442</v>
      </c>
      <c r="K79" s="17">
        <v>11.712</v>
      </c>
      <c r="L79" s="17">
        <v>3.0255999999999998</v>
      </c>
      <c r="M79" s="17">
        <v>3.9430000000000001</v>
      </c>
      <c r="N79" s="17">
        <v>14.2051</v>
      </c>
      <c r="O79" s="17">
        <v>8.7759999999999998</v>
      </c>
      <c r="P79" s="17">
        <v>9.8571000000000009</v>
      </c>
      <c r="Q79" s="17">
        <v>5.5445000000000002</v>
      </c>
      <c r="R79" s="17">
        <v>9.8191000000000006</v>
      </c>
      <c r="S79" s="17">
        <v>13.031700000000001</v>
      </c>
      <c r="T79" s="17">
        <v>9.7984000000000009</v>
      </c>
      <c r="U79" s="17">
        <v>12.1058</v>
      </c>
      <c r="V79" s="17">
        <v>6.5225</v>
      </c>
      <c r="W79" s="85">
        <v>13.2018</v>
      </c>
      <c r="X79" s="34">
        <v>14.830500000000001</v>
      </c>
      <c r="Y79" s="17">
        <v>12.7357</v>
      </c>
      <c r="Z79" s="17">
        <v>15.8025</v>
      </c>
      <c r="AA79" s="17">
        <v>10.163500000000001</v>
      </c>
      <c r="AB79" s="17">
        <v>7.1439000000000004</v>
      </c>
      <c r="AC79" s="17">
        <v>45.857100000000003</v>
      </c>
      <c r="AD79" s="17">
        <v>14.580399999999999</v>
      </c>
      <c r="AE79" s="17">
        <v>9.9298000000000002</v>
      </c>
      <c r="AF79" s="17">
        <v>6.8365999999999998</v>
      </c>
      <c r="AG79" s="17">
        <v>14.4514</v>
      </c>
      <c r="AH79" s="17">
        <v>12.8659</v>
      </c>
      <c r="AI79" s="17">
        <v>15.8491</v>
      </c>
      <c r="AJ79" s="17">
        <v>6.4325000000000001</v>
      </c>
      <c r="AK79" s="17">
        <v>20.5913</v>
      </c>
      <c r="AL79" s="17">
        <v>8.3719000000000001</v>
      </c>
      <c r="AM79" s="17">
        <v>7.4470000000000001</v>
      </c>
      <c r="AN79" s="17">
        <v>10.191000000000001</v>
      </c>
      <c r="AO79" s="17">
        <v>8.2517999999999994</v>
      </c>
      <c r="AP79" s="17">
        <v>3.5678999999999998</v>
      </c>
      <c r="AQ79" s="85">
        <v>7.6311</v>
      </c>
    </row>
    <row r="80" spans="1:43" x14ac:dyDescent="0.2">
      <c r="A80" s="34">
        <f t="shared" si="1"/>
        <v>9.2964423076923079</v>
      </c>
      <c r="B80" s="17">
        <v>60</v>
      </c>
      <c r="C80" s="17">
        <v>24</v>
      </c>
      <c r="D80" s="34">
        <v>23.279399999999999</v>
      </c>
      <c r="E80" s="17">
        <v>7.7389999999999999</v>
      </c>
      <c r="F80" s="17">
        <v>8.2736999999999998</v>
      </c>
      <c r="G80" s="17">
        <v>4.7906000000000004</v>
      </c>
      <c r="H80" s="17">
        <v>5.5507</v>
      </c>
      <c r="I80" s="17">
        <v>20.9194</v>
      </c>
      <c r="J80" s="17">
        <v>6.6234000000000002</v>
      </c>
      <c r="K80" s="17">
        <v>4.1417000000000002</v>
      </c>
      <c r="L80" s="17">
        <v>3.4813999999999998</v>
      </c>
      <c r="M80" s="17">
        <v>6.3992000000000004</v>
      </c>
      <c r="N80" s="17">
        <v>8.0604999999999993</v>
      </c>
      <c r="O80" s="17">
        <v>11.9095</v>
      </c>
      <c r="P80" s="17">
        <v>9.5570000000000004</v>
      </c>
      <c r="Q80" s="17">
        <v>6.1210000000000004</v>
      </c>
      <c r="R80" s="17">
        <v>4.4951999999999996</v>
      </c>
      <c r="S80" s="17">
        <v>22.989000000000001</v>
      </c>
      <c r="T80" s="17">
        <v>6.9630000000000001</v>
      </c>
      <c r="U80" s="17">
        <v>5.2142999999999997</v>
      </c>
      <c r="V80" s="17">
        <v>5.2500999999999998</v>
      </c>
      <c r="W80" s="85">
        <v>11.347300000000001</v>
      </c>
      <c r="X80" s="34">
        <v>13.861700000000001</v>
      </c>
      <c r="Y80" s="17">
        <v>4.5689000000000002</v>
      </c>
      <c r="Z80" s="17">
        <v>3.6389</v>
      </c>
      <c r="AA80" s="17">
        <v>6.5039999999999996</v>
      </c>
      <c r="AB80" s="17">
        <v>7.9553000000000003</v>
      </c>
      <c r="AC80" s="17">
        <v>37.340899999999998</v>
      </c>
      <c r="AD80" s="17">
        <v>8.0117999999999991</v>
      </c>
      <c r="AE80" s="17">
        <v>1.2312000000000001</v>
      </c>
      <c r="AF80" s="17">
        <v>3.7383000000000002</v>
      </c>
      <c r="AG80" s="17">
        <v>3.4649999999999999</v>
      </c>
      <c r="AH80" s="17">
        <v>8.7179000000000002</v>
      </c>
      <c r="AI80" s="17">
        <v>11.4603</v>
      </c>
      <c r="AJ80" s="17">
        <v>6.9151999999999996</v>
      </c>
      <c r="AK80" s="17">
        <v>4.2900999999999998</v>
      </c>
      <c r="AL80" s="17">
        <v>7.8905000000000003</v>
      </c>
      <c r="AM80" s="17">
        <v>17.197500000000002</v>
      </c>
      <c r="AN80" s="17">
        <v>11.0985</v>
      </c>
      <c r="AO80" s="17">
        <v>3.7168999999999999</v>
      </c>
      <c r="AP80" s="17">
        <v>9.8096999999999994</v>
      </c>
      <c r="AQ80" s="85">
        <v>2.7566000000000002</v>
      </c>
    </row>
    <row r="81" spans="1:43" x14ac:dyDescent="0.2">
      <c r="A81" s="34">
        <f t="shared" si="1"/>
        <v>9.2469038461538453</v>
      </c>
      <c r="B81" s="17">
        <v>62</v>
      </c>
      <c r="C81" s="17">
        <v>25</v>
      </c>
      <c r="D81" s="34">
        <v>11.926500000000001</v>
      </c>
      <c r="E81" s="17">
        <v>7.5445000000000002</v>
      </c>
      <c r="F81" s="17">
        <v>13.500999999999999</v>
      </c>
      <c r="G81" s="17">
        <v>6.5951000000000004</v>
      </c>
      <c r="H81" s="17">
        <v>4.5641999999999996</v>
      </c>
      <c r="I81" s="17">
        <v>19.78</v>
      </c>
      <c r="J81" s="17">
        <v>2.0272000000000001</v>
      </c>
      <c r="K81" s="17">
        <v>4.6877000000000004</v>
      </c>
      <c r="L81" s="17">
        <v>3.9842</v>
      </c>
      <c r="M81" s="17">
        <v>8.0739999999999998</v>
      </c>
      <c r="N81" s="17">
        <v>12.1784</v>
      </c>
      <c r="O81" s="17">
        <v>6.9485000000000001</v>
      </c>
      <c r="P81" s="17">
        <v>8.7049000000000003</v>
      </c>
      <c r="Q81" s="17">
        <v>11.1381</v>
      </c>
      <c r="R81" s="17">
        <v>12.918100000000001</v>
      </c>
      <c r="S81" s="17">
        <v>21.116299999999999</v>
      </c>
      <c r="T81" s="17">
        <v>6.4107000000000003</v>
      </c>
      <c r="U81" s="17">
        <v>10.907400000000001</v>
      </c>
      <c r="V81" s="17">
        <v>7.6878000000000002</v>
      </c>
      <c r="W81" s="85">
        <v>5.8696999999999999</v>
      </c>
      <c r="X81" s="34">
        <v>12.849500000000001</v>
      </c>
      <c r="Y81" s="17">
        <v>8.4123000000000001</v>
      </c>
      <c r="Z81" s="17">
        <v>9.5807000000000002</v>
      </c>
      <c r="AA81" s="17">
        <v>9.2706</v>
      </c>
      <c r="AB81" s="17">
        <v>3.125</v>
      </c>
      <c r="AC81" s="17">
        <v>18.114699999999999</v>
      </c>
      <c r="AD81" s="17">
        <v>4.4288999999999996</v>
      </c>
      <c r="AE81" s="17">
        <v>2.3694000000000002</v>
      </c>
      <c r="AF81" s="17">
        <v>2.4018999999999999</v>
      </c>
      <c r="AG81" s="17">
        <v>5.5609000000000002</v>
      </c>
      <c r="AH81" s="17">
        <v>9.0962999999999994</v>
      </c>
      <c r="AI81" s="17">
        <v>8.1745999999999999</v>
      </c>
      <c r="AJ81" s="17">
        <v>4.2009999999999996</v>
      </c>
      <c r="AK81" s="17">
        <v>10.177199999999999</v>
      </c>
      <c r="AL81" s="17">
        <v>18.6097</v>
      </c>
      <c r="AM81" s="17">
        <v>28.713699999999999</v>
      </c>
      <c r="AN81" s="17">
        <v>4.5313999999999997</v>
      </c>
      <c r="AO81" s="17">
        <v>0.33439999999999998</v>
      </c>
      <c r="AP81" s="17">
        <v>8.0978999999999992</v>
      </c>
      <c r="AQ81" s="85">
        <v>8.952</v>
      </c>
    </row>
    <row r="82" spans="1:43" x14ac:dyDescent="0.2">
      <c r="A82" s="34">
        <f t="shared" si="1"/>
        <v>11.122215384615384</v>
      </c>
      <c r="B82" s="17">
        <v>64</v>
      </c>
      <c r="C82" s="17">
        <v>26</v>
      </c>
      <c r="D82" s="34">
        <v>7.6280000000000001</v>
      </c>
      <c r="E82" s="17">
        <v>18.494900000000001</v>
      </c>
      <c r="F82" s="17">
        <v>9.1175999999999995</v>
      </c>
      <c r="G82" s="17">
        <v>12.879200000000001</v>
      </c>
      <c r="H82" s="17">
        <v>4.7801</v>
      </c>
      <c r="I82" s="17">
        <v>17.078900000000001</v>
      </c>
      <c r="J82" s="17">
        <v>5.0243000000000002</v>
      </c>
      <c r="K82" s="17">
        <v>17.741700000000002</v>
      </c>
      <c r="L82" s="17">
        <v>7.0648999999999997</v>
      </c>
      <c r="M82" s="17">
        <v>5.0658000000000003</v>
      </c>
      <c r="N82" s="17">
        <v>18.005700000000001</v>
      </c>
      <c r="O82" s="17">
        <v>4.5288000000000004</v>
      </c>
      <c r="P82" s="17">
        <v>4.6772999999999998</v>
      </c>
      <c r="Q82" s="17">
        <v>10.457000000000001</v>
      </c>
      <c r="R82" s="17">
        <v>10.265000000000001</v>
      </c>
      <c r="S82" s="17">
        <v>11.380699999999999</v>
      </c>
      <c r="T82" s="17">
        <v>8.9776000000000007</v>
      </c>
      <c r="U82" s="17">
        <v>20.220600000000001</v>
      </c>
      <c r="V82" s="17">
        <v>4.9871999999999996</v>
      </c>
      <c r="W82" s="85">
        <v>9.2043999999999997</v>
      </c>
      <c r="X82" s="34">
        <v>21.907</v>
      </c>
      <c r="Y82" s="17">
        <v>17.509699999999999</v>
      </c>
      <c r="Z82" s="17">
        <v>7.9912999999999998</v>
      </c>
      <c r="AA82" s="17">
        <v>15.604200000000001</v>
      </c>
      <c r="AB82" s="17">
        <v>6.5987</v>
      </c>
      <c r="AC82" s="17">
        <v>11.4651</v>
      </c>
      <c r="AD82" s="17">
        <v>8.1499000000000006</v>
      </c>
      <c r="AE82" s="17">
        <v>10.197699999999999</v>
      </c>
      <c r="AF82" s="17">
        <v>10.7212</v>
      </c>
      <c r="AG82" s="17">
        <v>5.3814000000000002</v>
      </c>
      <c r="AH82" s="17">
        <v>22.387499999999999</v>
      </c>
      <c r="AI82" s="17">
        <v>2.9544000000000001</v>
      </c>
      <c r="AJ82" s="17">
        <v>1.8987000000000001</v>
      </c>
      <c r="AK82" s="17">
        <v>11.4359</v>
      </c>
      <c r="AL82" s="17">
        <v>4.3855000000000004</v>
      </c>
      <c r="AM82" s="17">
        <v>18.260200000000001</v>
      </c>
      <c r="AN82" s="17">
        <v>9.9682999999999993</v>
      </c>
      <c r="AO82" s="17">
        <v>20.398800000000001</v>
      </c>
      <c r="AP82" s="17">
        <v>5.9695999999999998</v>
      </c>
      <c r="AQ82" s="85">
        <v>25.595800000000001</v>
      </c>
    </row>
    <row r="83" spans="1:43" x14ac:dyDescent="0.2">
      <c r="A83" s="34">
        <f t="shared" si="1"/>
        <v>10.219303846153846</v>
      </c>
      <c r="B83" s="17">
        <v>66</v>
      </c>
      <c r="C83" s="17">
        <v>27</v>
      </c>
      <c r="D83" s="34">
        <v>12.8164</v>
      </c>
      <c r="E83" s="17">
        <v>16.890499999999999</v>
      </c>
      <c r="F83" s="17">
        <v>9.5395000000000003</v>
      </c>
      <c r="G83" s="17">
        <v>12.719900000000001</v>
      </c>
      <c r="H83" s="17">
        <v>5.6021999999999998</v>
      </c>
      <c r="I83" s="17">
        <v>22.489699999999999</v>
      </c>
      <c r="J83" s="17">
        <v>10.271599999999999</v>
      </c>
      <c r="K83" s="17">
        <v>7.4279000000000002</v>
      </c>
      <c r="L83" s="17">
        <v>18.453800000000001</v>
      </c>
      <c r="M83" s="17">
        <v>10.755800000000001</v>
      </c>
      <c r="N83" s="17">
        <v>5.5637999999999996</v>
      </c>
      <c r="O83" s="17">
        <v>7.6272000000000002</v>
      </c>
      <c r="P83" s="17">
        <v>9.5861000000000001</v>
      </c>
      <c r="Q83" s="17">
        <v>5.3361000000000001</v>
      </c>
      <c r="R83" s="17">
        <v>7.7920999999999996</v>
      </c>
      <c r="S83" s="17">
        <v>4.8555000000000001</v>
      </c>
      <c r="T83" s="17">
        <v>9.4686000000000003</v>
      </c>
      <c r="U83" s="17">
        <v>11.129</v>
      </c>
      <c r="V83" s="17">
        <v>14.4634</v>
      </c>
      <c r="W83" s="85">
        <v>14.500999999999999</v>
      </c>
      <c r="X83" s="34">
        <v>5.7653999999999996</v>
      </c>
      <c r="Y83" s="17">
        <v>11.559900000000001</v>
      </c>
      <c r="Z83" s="17">
        <v>7.8764000000000003</v>
      </c>
      <c r="AA83" s="17">
        <v>6.7549000000000001</v>
      </c>
      <c r="AB83" s="17">
        <v>4.6742999999999997</v>
      </c>
      <c r="AC83" s="17">
        <v>19.9499</v>
      </c>
      <c r="AD83" s="17">
        <v>4.6474000000000002</v>
      </c>
      <c r="AE83" s="17">
        <v>2.9396</v>
      </c>
      <c r="AF83" s="17">
        <v>15.2829</v>
      </c>
      <c r="AG83" s="17">
        <v>16.373200000000001</v>
      </c>
      <c r="AH83" s="17">
        <v>9.1460000000000008</v>
      </c>
      <c r="AI83" s="17">
        <v>6.9242999999999997</v>
      </c>
      <c r="AJ83" s="17">
        <v>9.1950000000000003</v>
      </c>
      <c r="AK83" s="17">
        <v>8.2977000000000007</v>
      </c>
      <c r="AL83" s="17">
        <v>10.254099999999999</v>
      </c>
      <c r="AM83" s="17">
        <v>16.678899999999999</v>
      </c>
      <c r="AN83" s="17">
        <v>3.4975000000000001</v>
      </c>
      <c r="AO83" s="17">
        <v>14.175800000000001</v>
      </c>
      <c r="AP83" s="17">
        <v>13.5848</v>
      </c>
      <c r="AQ83" s="85">
        <v>14.615500000000001</v>
      </c>
    </row>
    <row r="84" spans="1:43" x14ac:dyDescent="0.2">
      <c r="A84" s="34">
        <f t="shared" si="1"/>
        <v>8.5558769230769247</v>
      </c>
      <c r="B84" s="17">
        <v>68</v>
      </c>
      <c r="C84" s="17">
        <v>28</v>
      </c>
      <c r="D84" s="34">
        <v>9.2621000000000002</v>
      </c>
      <c r="E84" s="17">
        <v>4.9843000000000002</v>
      </c>
      <c r="F84" s="17">
        <v>5.2169999999999996</v>
      </c>
      <c r="G84" s="17">
        <v>2.1972</v>
      </c>
      <c r="H84" s="17">
        <v>6.1894</v>
      </c>
      <c r="I84" s="17">
        <v>6.5292000000000003</v>
      </c>
      <c r="J84" s="17">
        <v>14.8088</v>
      </c>
      <c r="K84" s="17">
        <v>4.7962999999999996</v>
      </c>
      <c r="L84" s="17">
        <v>3.7286000000000001</v>
      </c>
      <c r="M84" s="17">
        <v>9.9953000000000003</v>
      </c>
      <c r="N84" s="17">
        <v>2.6760999999999999</v>
      </c>
      <c r="O84" s="17">
        <v>9.5582999999999991</v>
      </c>
      <c r="P84" s="17">
        <v>2.4016000000000002</v>
      </c>
      <c r="Q84" s="17">
        <v>14.463900000000001</v>
      </c>
      <c r="R84" s="17">
        <v>22.061599999999999</v>
      </c>
      <c r="S84" s="17">
        <v>5.1210000000000004</v>
      </c>
      <c r="T84" s="17">
        <v>8.6707000000000001</v>
      </c>
      <c r="U84" s="17">
        <v>15.411</v>
      </c>
      <c r="V84" s="17">
        <v>11.5783</v>
      </c>
      <c r="W84" s="85">
        <v>9.6585999999999999</v>
      </c>
      <c r="X84" s="34">
        <v>13.243499999999999</v>
      </c>
      <c r="Y84" s="17">
        <v>7.4427000000000003</v>
      </c>
      <c r="Z84" s="17">
        <v>1.8185</v>
      </c>
      <c r="AA84" s="17">
        <v>7.3342999999999998</v>
      </c>
      <c r="AB84" s="17">
        <v>10.785500000000001</v>
      </c>
      <c r="AC84" s="17">
        <v>9.1494</v>
      </c>
      <c r="AD84" s="17">
        <v>12.6317</v>
      </c>
      <c r="AE84" s="17">
        <v>7.524</v>
      </c>
      <c r="AF84" s="17">
        <v>3.7364000000000002</v>
      </c>
      <c r="AG84" s="17">
        <v>13.1706</v>
      </c>
      <c r="AH84" s="17">
        <v>6.1528</v>
      </c>
      <c r="AI84" s="17">
        <v>7.5682999999999998</v>
      </c>
      <c r="AJ84" s="17">
        <v>3.1358000000000001</v>
      </c>
      <c r="AK84" s="17">
        <v>8.7822999999999993</v>
      </c>
      <c r="AL84" s="17">
        <v>4.9051999999999998</v>
      </c>
      <c r="AM84" s="17">
        <v>6.6429</v>
      </c>
      <c r="AN84" s="17">
        <v>14.908200000000001</v>
      </c>
      <c r="AO84" s="17">
        <v>11.498200000000001</v>
      </c>
      <c r="AP84" s="17">
        <v>11.9701</v>
      </c>
      <c r="AQ84" s="85">
        <v>7.4988999999999999</v>
      </c>
    </row>
    <row r="85" spans="1:43" x14ac:dyDescent="0.2">
      <c r="A85" s="34">
        <f t="shared" si="1"/>
        <v>11.696384615384614</v>
      </c>
      <c r="B85" s="17">
        <v>71</v>
      </c>
      <c r="C85" s="17">
        <v>29</v>
      </c>
      <c r="D85" s="34">
        <v>14.4109</v>
      </c>
      <c r="E85" s="17">
        <v>4.6902999999999997</v>
      </c>
      <c r="F85" s="17">
        <v>13.3644</v>
      </c>
      <c r="G85" s="17">
        <v>12.2262</v>
      </c>
      <c r="H85" s="17">
        <v>4.1714000000000002</v>
      </c>
      <c r="I85" s="17">
        <v>14.4146</v>
      </c>
      <c r="J85" s="17">
        <v>19.7319</v>
      </c>
      <c r="K85" s="17">
        <v>11.7201</v>
      </c>
      <c r="L85" s="17">
        <v>17.637799999999999</v>
      </c>
      <c r="M85" s="17">
        <v>14.7637</v>
      </c>
      <c r="N85" s="17">
        <v>12.6447</v>
      </c>
      <c r="O85" s="17">
        <v>10.0707</v>
      </c>
      <c r="P85" s="17">
        <v>4.8952</v>
      </c>
      <c r="Q85" s="17">
        <v>23.4941</v>
      </c>
      <c r="R85" s="17">
        <v>5.4614000000000003</v>
      </c>
      <c r="S85" s="17">
        <v>14.4857</v>
      </c>
      <c r="T85" s="17">
        <v>8.2782</v>
      </c>
      <c r="U85" s="17">
        <v>17.991900000000001</v>
      </c>
      <c r="V85" s="17">
        <v>6.0544000000000002</v>
      </c>
      <c r="W85" s="85">
        <v>5.8559000000000001</v>
      </c>
      <c r="X85" s="34">
        <v>19.8507</v>
      </c>
      <c r="Y85" s="17">
        <v>8.9777000000000005</v>
      </c>
      <c r="Z85" s="17">
        <v>8.5259999999999998</v>
      </c>
      <c r="AA85" s="17">
        <v>11.462999999999999</v>
      </c>
      <c r="AB85" s="17">
        <v>3.5823999999999998</v>
      </c>
      <c r="AC85" s="17">
        <v>16.374300000000002</v>
      </c>
      <c r="AD85" s="17">
        <v>13.379300000000001</v>
      </c>
      <c r="AE85" s="17">
        <v>6.2102000000000004</v>
      </c>
      <c r="AF85" s="17">
        <v>10.3552</v>
      </c>
      <c r="AG85" s="17">
        <v>7.3522999999999996</v>
      </c>
      <c r="AH85" s="17">
        <v>11.943</v>
      </c>
      <c r="AI85" s="17">
        <v>5.5674999999999999</v>
      </c>
      <c r="AJ85" s="17">
        <v>3.0266999999999999</v>
      </c>
      <c r="AK85" s="17">
        <v>18.657900000000001</v>
      </c>
      <c r="AL85" s="17">
        <v>4.5693000000000001</v>
      </c>
      <c r="AM85" s="17">
        <v>11.0129</v>
      </c>
      <c r="AN85" s="17">
        <v>5.5256999999999996</v>
      </c>
      <c r="AO85" s="17">
        <v>15.5763</v>
      </c>
      <c r="AP85" s="17">
        <v>11.087199999999999</v>
      </c>
      <c r="AQ85" s="85">
        <v>11.4518</v>
      </c>
    </row>
    <row r="86" spans="1:43" x14ac:dyDescent="0.2">
      <c r="A86" s="34">
        <f t="shared" si="1"/>
        <v>11.031419230769229</v>
      </c>
      <c r="B86" s="17">
        <v>73</v>
      </c>
      <c r="C86" s="17">
        <v>30</v>
      </c>
      <c r="D86" s="34">
        <v>12.9268</v>
      </c>
      <c r="E86" s="17">
        <v>7.5796000000000001</v>
      </c>
      <c r="F86" s="17">
        <v>12.8361</v>
      </c>
      <c r="G86" s="17">
        <v>7.5696000000000003</v>
      </c>
      <c r="H86" s="17">
        <v>1.8495999999999999</v>
      </c>
      <c r="I86" s="17">
        <v>16.790500000000002</v>
      </c>
      <c r="J86" s="17">
        <v>5.9896000000000003</v>
      </c>
      <c r="K86" s="17">
        <v>9.9419000000000004</v>
      </c>
      <c r="L86" s="17">
        <v>5.6866000000000003</v>
      </c>
      <c r="M86" s="17">
        <v>11.7437</v>
      </c>
      <c r="N86" s="17">
        <v>20.228200000000001</v>
      </c>
      <c r="O86" s="17">
        <v>4.4634</v>
      </c>
      <c r="P86" s="17">
        <v>4.6464999999999996</v>
      </c>
      <c r="Q86" s="17">
        <v>9.8428000000000004</v>
      </c>
      <c r="R86" s="17">
        <v>7.7610999999999999</v>
      </c>
      <c r="S86" s="17">
        <v>17.053799999999999</v>
      </c>
      <c r="T86" s="17">
        <v>7.2287999999999997</v>
      </c>
      <c r="U86" s="17">
        <v>22.503299999999999</v>
      </c>
      <c r="V86" s="17">
        <v>14.660600000000001</v>
      </c>
      <c r="W86" s="85">
        <v>20.931100000000001</v>
      </c>
      <c r="X86" s="34">
        <v>11.216699999999999</v>
      </c>
      <c r="Y86" s="17">
        <v>16.818300000000001</v>
      </c>
      <c r="Z86" s="17">
        <v>12.651899999999999</v>
      </c>
      <c r="AA86" s="17">
        <v>2.4405999999999999</v>
      </c>
      <c r="AB86" s="17">
        <v>4.8910999999999998</v>
      </c>
      <c r="AC86" s="17">
        <v>21.307600000000001</v>
      </c>
      <c r="AD86" s="17">
        <v>8.1838999999999995</v>
      </c>
      <c r="AE86" s="17">
        <v>8.2286999999999999</v>
      </c>
      <c r="AF86" s="17">
        <v>3.3774999999999999</v>
      </c>
      <c r="AG86" s="17">
        <v>11.686999999999999</v>
      </c>
      <c r="AH86" s="17">
        <v>19.3048</v>
      </c>
      <c r="AI86" s="17">
        <v>11.5556</v>
      </c>
      <c r="AJ86" s="17">
        <v>5.0773000000000001</v>
      </c>
      <c r="AK86" s="17">
        <v>6.4031000000000002</v>
      </c>
      <c r="AL86" s="17">
        <v>7.7564000000000002</v>
      </c>
      <c r="AM86" s="17">
        <v>18.079499999999999</v>
      </c>
      <c r="AN86" s="17">
        <v>11.963800000000001</v>
      </c>
      <c r="AO86" s="17">
        <v>21.446300000000001</v>
      </c>
      <c r="AP86" s="17">
        <v>8.7233000000000001</v>
      </c>
      <c r="AQ86" s="85">
        <v>16.114899999999999</v>
      </c>
    </row>
    <row r="87" spans="1:43" x14ac:dyDescent="0.2">
      <c r="A87" s="34">
        <f t="shared" si="1"/>
        <v>8.4744884615384617</v>
      </c>
      <c r="B87" s="17">
        <v>76</v>
      </c>
      <c r="C87" s="17">
        <v>31</v>
      </c>
      <c r="D87" s="34">
        <v>8.4105000000000008</v>
      </c>
      <c r="E87" s="17">
        <v>5.7325999999999997</v>
      </c>
      <c r="F87" s="17">
        <v>4.8045</v>
      </c>
      <c r="G87" s="17">
        <v>10.9582</v>
      </c>
      <c r="H87" s="17">
        <v>4.5350000000000001</v>
      </c>
      <c r="I87" s="17">
        <v>18.197099999999999</v>
      </c>
      <c r="J87" s="17">
        <v>6.1684000000000001</v>
      </c>
      <c r="K87" s="17">
        <v>6.9287999999999998</v>
      </c>
      <c r="L87" s="17">
        <v>10.5334</v>
      </c>
      <c r="M87" s="17">
        <v>7.2363999999999997</v>
      </c>
      <c r="N87" s="17">
        <v>5.0256999999999996</v>
      </c>
      <c r="O87" s="17">
        <v>8.7171000000000003</v>
      </c>
      <c r="P87" s="17">
        <v>8.4484999999999992</v>
      </c>
      <c r="Q87" s="17">
        <v>7.0627000000000004</v>
      </c>
      <c r="R87" s="17">
        <v>6.2119</v>
      </c>
      <c r="S87" s="17">
        <v>6.9466000000000001</v>
      </c>
      <c r="T87" s="17">
        <v>6.7934000000000001</v>
      </c>
      <c r="U87" s="17">
        <v>8.7965</v>
      </c>
      <c r="V87" s="17">
        <v>10.790699999999999</v>
      </c>
      <c r="W87" s="85">
        <v>0.60580000000000001</v>
      </c>
      <c r="X87" s="34">
        <v>12.7798</v>
      </c>
      <c r="Y87" s="17">
        <v>5.5903</v>
      </c>
      <c r="Z87" s="17">
        <v>4.7370000000000001</v>
      </c>
      <c r="AA87" s="17">
        <v>8.5324000000000009</v>
      </c>
      <c r="AB87" s="17">
        <v>1.4453</v>
      </c>
      <c r="AC87" s="17">
        <v>37.677300000000002</v>
      </c>
      <c r="AD87" s="17">
        <v>5.0812999999999997</v>
      </c>
      <c r="AE87" s="17">
        <v>4.5505000000000004</v>
      </c>
      <c r="AF87" s="17">
        <v>5.2149000000000001</v>
      </c>
      <c r="AG87" s="17">
        <v>7.9379999999999997</v>
      </c>
      <c r="AH87" s="17">
        <v>5.0681000000000003</v>
      </c>
      <c r="AI87" s="17">
        <v>11.89</v>
      </c>
      <c r="AJ87" s="17">
        <v>10.6868</v>
      </c>
      <c r="AK87" s="17">
        <v>8.3825000000000003</v>
      </c>
      <c r="AL87" s="17">
        <v>8.6233000000000004</v>
      </c>
      <c r="AM87" s="17">
        <v>16.153099999999998</v>
      </c>
      <c r="AN87" s="17">
        <v>4.7152000000000003</v>
      </c>
      <c r="AO87" s="17">
        <v>16.206900000000001</v>
      </c>
      <c r="AP87" s="17">
        <v>5.7302</v>
      </c>
      <c r="AQ87" s="85">
        <v>2.4897999999999998</v>
      </c>
    </row>
    <row r="88" spans="1:43" x14ac:dyDescent="0.2">
      <c r="A88" s="34">
        <f t="shared" si="1"/>
        <v>10.184661538461539</v>
      </c>
      <c r="B88" s="17">
        <v>77</v>
      </c>
      <c r="C88" s="17">
        <v>32</v>
      </c>
      <c r="D88" s="34">
        <v>14.4847</v>
      </c>
      <c r="E88" s="17">
        <v>9.9314</v>
      </c>
      <c r="F88" s="17">
        <v>13.427099999999999</v>
      </c>
      <c r="G88" s="17">
        <v>8.0269999999999992</v>
      </c>
      <c r="H88" s="17">
        <v>8.5986999999999991</v>
      </c>
      <c r="I88" s="17">
        <v>18.3125</v>
      </c>
      <c r="J88" s="17">
        <v>9.1349</v>
      </c>
      <c r="K88" s="17">
        <v>3.6758000000000002</v>
      </c>
      <c r="L88" s="17">
        <v>16.6173</v>
      </c>
      <c r="M88" s="17">
        <v>8.4253</v>
      </c>
      <c r="N88" s="17">
        <v>22.272200000000002</v>
      </c>
      <c r="O88" s="17">
        <v>5.4532999999999996</v>
      </c>
      <c r="P88" s="17">
        <v>10.551</v>
      </c>
      <c r="Q88" s="17">
        <v>9.1446000000000005</v>
      </c>
      <c r="R88" s="17">
        <v>7.8415999999999997</v>
      </c>
      <c r="S88" s="17">
        <v>5.7476000000000003</v>
      </c>
      <c r="T88" s="17">
        <v>7.2706999999999997</v>
      </c>
      <c r="U88" s="17">
        <v>6.7496999999999998</v>
      </c>
      <c r="V88" s="17">
        <v>6.9195000000000002</v>
      </c>
      <c r="W88" s="85">
        <v>4.3141999999999996</v>
      </c>
      <c r="X88" s="34">
        <v>11.1343</v>
      </c>
      <c r="Y88" s="17">
        <v>14.9787</v>
      </c>
      <c r="Z88" s="17">
        <v>8.5617999999999999</v>
      </c>
      <c r="AA88" s="17">
        <v>8.6007999999999996</v>
      </c>
      <c r="AB88" s="17">
        <v>4.7312000000000003</v>
      </c>
      <c r="AC88" s="17">
        <v>26.8233</v>
      </c>
      <c r="AD88" s="17">
        <v>7.5567000000000002</v>
      </c>
      <c r="AE88" s="17">
        <v>9.0242000000000004</v>
      </c>
      <c r="AF88" s="17">
        <v>23.127099999999999</v>
      </c>
      <c r="AG88" s="17">
        <v>11.2697</v>
      </c>
      <c r="AH88" s="17">
        <v>14.638999999999999</v>
      </c>
      <c r="AI88" s="17">
        <v>8.2218</v>
      </c>
      <c r="AJ88" s="17">
        <v>24.336600000000001</v>
      </c>
      <c r="AK88" s="17">
        <v>9.9243000000000006</v>
      </c>
      <c r="AL88" s="17">
        <v>9.8111999999999995</v>
      </c>
      <c r="AM88" s="17">
        <v>9.1898</v>
      </c>
      <c r="AN88" s="17">
        <v>6.0072999999999999</v>
      </c>
      <c r="AO88" s="17">
        <v>10.8314</v>
      </c>
      <c r="AP88" s="17">
        <v>15.09</v>
      </c>
      <c r="AQ88" s="85">
        <v>5.5084</v>
      </c>
    </row>
    <row r="89" spans="1:43" x14ac:dyDescent="0.2">
      <c r="A89" s="34">
        <f t="shared" si="1"/>
        <v>8.9741076923076886</v>
      </c>
      <c r="B89" s="17">
        <v>79</v>
      </c>
      <c r="C89" s="17">
        <v>33</v>
      </c>
      <c r="D89" s="34">
        <v>7.4767000000000001</v>
      </c>
      <c r="E89" s="17">
        <v>9.8988999999999994</v>
      </c>
      <c r="F89" s="17">
        <v>8.5661000000000005</v>
      </c>
      <c r="G89" s="17">
        <v>10.7967</v>
      </c>
      <c r="H89" s="17">
        <v>7.6452</v>
      </c>
      <c r="I89" s="17">
        <v>14.9443</v>
      </c>
      <c r="J89" s="17">
        <v>5.9676999999999998</v>
      </c>
      <c r="K89" s="17">
        <v>6.6326999999999998</v>
      </c>
      <c r="L89" s="17">
        <v>10.270099999999999</v>
      </c>
      <c r="M89" s="17">
        <v>4.4913999999999996</v>
      </c>
      <c r="N89" s="17">
        <v>4.1928999999999998</v>
      </c>
      <c r="O89" s="17">
        <v>4.3403999999999998</v>
      </c>
      <c r="P89" s="17">
        <v>12.575200000000001</v>
      </c>
      <c r="Q89" s="17">
        <v>7.8461999999999996</v>
      </c>
      <c r="R89" s="17">
        <v>11.346299999999999</v>
      </c>
      <c r="S89" s="17">
        <v>23.754300000000001</v>
      </c>
      <c r="T89" s="17">
        <v>1.4867999999999999</v>
      </c>
      <c r="U89" s="17">
        <v>7.7709999999999999</v>
      </c>
      <c r="V89" s="17">
        <v>9.0435999999999996</v>
      </c>
      <c r="W89" s="85">
        <v>7.8507999999999996</v>
      </c>
      <c r="X89" s="34">
        <v>10.7864</v>
      </c>
      <c r="Y89" s="17">
        <v>10.288500000000001</v>
      </c>
      <c r="Z89" s="17">
        <v>2.0707</v>
      </c>
      <c r="AA89" s="17">
        <v>9.2530999999999999</v>
      </c>
      <c r="AB89" s="17">
        <v>8.1151</v>
      </c>
      <c r="AC89" s="17">
        <v>17.630700000000001</v>
      </c>
      <c r="AD89" s="17">
        <v>5.7617000000000003</v>
      </c>
      <c r="AE89" s="17">
        <v>6.5046999999999997</v>
      </c>
      <c r="AF89" s="17">
        <v>9.3694000000000006</v>
      </c>
      <c r="AG89" s="17">
        <v>12.887499999999999</v>
      </c>
      <c r="AH89" s="17">
        <v>4.7725999999999997</v>
      </c>
      <c r="AI89" s="17">
        <v>6.5934999999999997</v>
      </c>
      <c r="AJ89" s="17">
        <v>2.3921999999999999</v>
      </c>
      <c r="AK89" s="17">
        <v>8.4673999999999996</v>
      </c>
      <c r="AL89" s="17">
        <v>13.906700000000001</v>
      </c>
      <c r="AM89" s="17">
        <v>20.525400000000001</v>
      </c>
      <c r="AN89" s="17">
        <v>13.889799999999999</v>
      </c>
      <c r="AO89" s="17">
        <v>10.561400000000001</v>
      </c>
      <c r="AP89" s="17">
        <v>1.863</v>
      </c>
      <c r="AQ89" s="85">
        <v>8.7949999999999999</v>
      </c>
    </row>
    <row r="90" spans="1:43" x14ac:dyDescent="0.2">
      <c r="A90" s="34">
        <f t="shared" si="1"/>
        <v>11.482596153846155</v>
      </c>
      <c r="B90" s="17">
        <v>81</v>
      </c>
      <c r="C90" s="17">
        <v>34</v>
      </c>
      <c r="D90" s="34">
        <v>30.525700000000001</v>
      </c>
      <c r="E90" s="17">
        <v>5.5252999999999997</v>
      </c>
      <c r="F90" s="17">
        <v>5.0350999999999999</v>
      </c>
      <c r="G90" s="17">
        <v>8.4228000000000005</v>
      </c>
      <c r="H90" s="17">
        <v>6.1406000000000001</v>
      </c>
      <c r="I90" s="17">
        <v>43.072899999999997</v>
      </c>
      <c r="J90" s="17">
        <v>10.712</v>
      </c>
      <c r="K90" s="17">
        <v>11.345700000000001</v>
      </c>
      <c r="L90" s="17">
        <v>13.158300000000001</v>
      </c>
      <c r="M90" s="17">
        <v>11.495200000000001</v>
      </c>
      <c r="N90" s="17">
        <v>10.2003</v>
      </c>
      <c r="O90" s="17">
        <v>1.73</v>
      </c>
      <c r="P90" s="17">
        <v>9.9240999999999993</v>
      </c>
      <c r="Q90" s="17">
        <v>24.021100000000001</v>
      </c>
      <c r="R90" s="17">
        <v>8.1867000000000001</v>
      </c>
      <c r="S90" s="17">
        <v>8.0823999999999998</v>
      </c>
      <c r="T90" s="17">
        <v>6.8258999999999999</v>
      </c>
      <c r="U90" s="17">
        <v>6.8869999999999996</v>
      </c>
      <c r="V90" s="17">
        <v>19.781600000000001</v>
      </c>
      <c r="W90" s="85">
        <v>11.487500000000001</v>
      </c>
      <c r="X90" s="34">
        <v>20.4209</v>
      </c>
      <c r="Y90" s="17">
        <v>12.563800000000001</v>
      </c>
      <c r="Z90" s="17">
        <v>7.5860000000000003</v>
      </c>
      <c r="AA90" s="17">
        <v>3.5545</v>
      </c>
      <c r="AB90" s="17">
        <v>6.6475</v>
      </c>
      <c r="AC90" s="17">
        <v>17.971499999999999</v>
      </c>
      <c r="AD90" s="17">
        <v>7.7687999999999997</v>
      </c>
      <c r="AE90" s="17">
        <v>3.1141999999999999</v>
      </c>
      <c r="AF90" s="17">
        <v>14.6099</v>
      </c>
      <c r="AG90" s="17">
        <v>18.797999999999998</v>
      </c>
      <c r="AH90" s="17">
        <v>46.2226</v>
      </c>
      <c r="AI90" s="17">
        <v>3.3216999999999999</v>
      </c>
      <c r="AJ90" s="17">
        <v>1.9513</v>
      </c>
      <c r="AK90" s="17">
        <v>10.019299999999999</v>
      </c>
      <c r="AL90" s="17">
        <v>8.5103000000000009</v>
      </c>
      <c r="AM90" s="17">
        <v>8.7288999999999994</v>
      </c>
      <c r="AN90" s="17">
        <v>4.6163999999999996</v>
      </c>
      <c r="AO90" s="17">
        <v>11.2523</v>
      </c>
      <c r="AP90" s="17">
        <v>11.985099999999999</v>
      </c>
      <c r="AQ90" s="85">
        <v>16.1004</v>
      </c>
    </row>
    <row r="91" spans="1:43" x14ac:dyDescent="0.2">
      <c r="A91" s="34">
        <f t="shared" si="1"/>
        <v>12.652703846153846</v>
      </c>
      <c r="B91" s="17">
        <v>83</v>
      </c>
      <c r="C91" s="17">
        <v>35</v>
      </c>
      <c r="D91" s="34">
        <v>28.169799999999999</v>
      </c>
      <c r="E91" s="17">
        <v>18.644600000000001</v>
      </c>
      <c r="F91" s="17">
        <v>15.4657</v>
      </c>
      <c r="G91" s="17">
        <v>4.1826999999999996</v>
      </c>
      <c r="H91" s="17">
        <v>9.6788000000000007</v>
      </c>
      <c r="I91" s="17">
        <v>18.6585</v>
      </c>
      <c r="J91" s="17">
        <v>18.057500000000001</v>
      </c>
      <c r="K91" s="17">
        <v>8.7776999999999994</v>
      </c>
      <c r="L91" s="17">
        <v>22.519300000000001</v>
      </c>
      <c r="M91" s="17">
        <v>22.2455</v>
      </c>
      <c r="N91" s="17">
        <v>18.418700000000001</v>
      </c>
      <c r="O91" s="17">
        <v>6.2072000000000003</v>
      </c>
      <c r="P91" s="17">
        <v>19.432600000000001</v>
      </c>
      <c r="Q91" s="17">
        <v>6.7662000000000004</v>
      </c>
      <c r="R91" s="17">
        <v>3.1139000000000001</v>
      </c>
      <c r="S91" s="17">
        <v>14.307700000000001</v>
      </c>
      <c r="T91" s="17">
        <v>10.8261</v>
      </c>
      <c r="U91" s="17">
        <v>7.2157999999999998</v>
      </c>
      <c r="V91" s="17">
        <v>6.9782999999999999</v>
      </c>
      <c r="W91" s="85">
        <v>7.0340999999999996</v>
      </c>
      <c r="X91" s="34">
        <v>15.998799999999999</v>
      </c>
      <c r="Y91" s="17">
        <v>9.4105000000000008</v>
      </c>
      <c r="Z91" s="17">
        <v>14.8347</v>
      </c>
      <c r="AA91" s="17">
        <v>5.6631999999999998</v>
      </c>
      <c r="AB91" s="17">
        <v>9.8924000000000003</v>
      </c>
      <c r="AC91" s="17">
        <v>20.557300000000001</v>
      </c>
      <c r="AD91" s="17">
        <v>14.0825</v>
      </c>
      <c r="AE91" s="17">
        <v>3.7151999999999998</v>
      </c>
      <c r="AF91" s="17">
        <v>9.6684999999999999</v>
      </c>
      <c r="AG91" s="17">
        <v>14.276300000000001</v>
      </c>
      <c r="AH91" s="17">
        <v>14.4094</v>
      </c>
      <c r="AI91" s="17">
        <v>8.8353000000000002</v>
      </c>
      <c r="AJ91" s="17">
        <v>15.5913</v>
      </c>
      <c r="AK91" s="17">
        <v>12.954599999999999</v>
      </c>
      <c r="AL91" s="17">
        <v>2.9615999999999998</v>
      </c>
      <c r="AM91" s="17">
        <v>11.9854</v>
      </c>
      <c r="AN91" s="17">
        <v>8.6735000000000007</v>
      </c>
      <c r="AO91" s="17">
        <v>4.2142999999999997</v>
      </c>
      <c r="AP91" s="17">
        <v>4.3925999999999998</v>
      </c>
      <c r="AQ91" s="85">
        <v>9.7345000000000006</v>
      </c>
    </row>
    <row r="92" spans="1:43" x14ac:dyDescent="0.2">
      <c r="A92" s="34">
        <f t="shared" si="1"/>
        <v>9.2230769230769241</v>
      </c>
      <c r="B92" s="17">
        <v>90</v>
      </c>
      <c r="C92" s="17">
        <v>36</v>
      </c>
      <c r="D92" s="34">
        <v>18.937899999999999</v>
      </c>
      <c r="E92" s="17">
        <v>9.9141999999999992</v>
      </c>
      <c r="F92" s="17">
        <v>7.8524000000000003</v>
      </c>
      <c r="G92" s="17">
        <v>9.5020000000000007</v>
      </c>
      <c r="H92" s="17">
        <v>1.3202</v>
      </c>
      <c r="I92" s="17">
        <v>22.1769</v>
      </c>
      <c r="J92" s="17">
        <v>3.1591999999999998</v>
      </c>
      <c r="K92" s="17">
        <v>5.569</v>
      </c>
      <c r="L92" s="17">
        <v>1.6385000000000001</v>
      </c>
      <c r="M92" s="17">
        <v>8.9353999999999996</v>
      </c>
      <c r="N92" s="17">
        <v>3.7989999999999999</v>
      </c>
      <c r="O92" s="17">
        <v>10.7094</v>
      </c>
      <c r="P92" s="17">
        <v>11.366099999999999</v>
      </c>
      <c r="Q92" s="17">
        <v>3.6339000000000001</v>
      </c>
      <c r="R92" s="17">
        <v>9.8523999999999994</v>
      </c>
      <c r="S92" s="17">
        <v>17.749099999999999</v>
      </c>
      <c r="T92" s="17">
        <v>6.0128000000000004</v>
      </c>
      <c r="U92" s="17">
        <v>8.4797999999999991</v>
      </c>
      <c r="V92" s="17">
        <v>13.024900000000001</v>
      </c>
      <c r="W92" s="85">
        <v>17.346</v>
      </c>
      <c r="X92" s="34">
        <v>7.1257999999999999</v>
      </c>
      <c r="Y92" s="17">
        <v>2.3368000000000002</v>
      </c>
      <c r="Z92" s="17">
        <v>10.517799999999999</v>
      </c>
      <c r="AA92" s="17">
        <v>5.0278999999999998</v>
      </c>
      <c r="AB92" s="17">
        <v>3.4413999999999998</v>
      </c>
      <c r="AC92" s="17">
        <v>32.588200000000001</v>
      </c>
      <c r="AD92" s="17">
        <v>6.7209000000000003</v>
      </c>
      <c r="AE92" s="17">
        <v>7.8148</v>
      </c>
      <c r="AF92" s="17">
        <v>4.7603</v>
      </c>
      <c r="AG92" s="17">
        <v>3.8852000000000002</v>
      </c>
      <c r="AH92" s="17">
        <v>5.2952000000000004</v>
      </c>
      <c r="AI92" s="17">
        <v>4.5807000000000002</v>
      </c>
      <c r="AJ92" s="17">
        <v>10.6896</v>
      </c>
      <c r="AK92" s="17">
        <v>5.7553999999999998</v>
      </c>
      <c r="AL92" s="17">
        <v>7.0292000000000003</v>
      </c>
      <c r="AM92" s="17">
        <v>21.240600000000001</v>
      </c>
      <c r="AN92" s="17">
        <v>7.0113000000000003</v>
      </c>
      <c r="AO92" s="17">
        <v>17.091100000000001</v>
      </c>
      <c r="AP92" s="17">
        <v>3.129</v>
      </c>
      <c r="AQ92" s="85">
        <v>14.060600000000001</v>
      </c>
    </row>
    <row r="93" spans="1:43" x14ac:dyDescent="0.2">
      <c r="A93" s="34">
        <f t="shared" si="1"/>
        <v>8.2952769230769228</v>
      </c>
      <c r="B93" s="17">
        <v>92</v>
      </c>
      <c r="C93" s="17">
        <v>37</v>
      </c>
      <c r="D93" s="34">
        <v>14.5344</v>
      </c>
      <c r="E93" s="17">
        <v>8.6784999999999997</v>
      </c>
      <c r="F93" s="17">
        <v>4.3571999999999997</v>
      </c>
      <c r="G93" s="17">
        <v>8.2850000000000001</v>
      </c>
      <c r="H93" s="17">
        <v>6.4142000000000001</v>
      </c>
      <c r="I93" s="17">
        <v>6.0617000000000001</v>
      </c>
      <c r="J93" s="17">
        <v>9.6408000000000005</v>
      </c>
      <c r="K93" s="17">
        <v>3.8410000000000002</v>
      </c>
      <c r="L93" s="17">
        <v>10.041399999999999</v>
      </c>
      <c r="M93" s="17">
        <v>15.7379</v>
      </c>
      <c r="N93" s="17">
        <v>5.7503000000000002</v>
      </c>
      <c r="O93" s="17">
        <v>12.870699999999999</v>
      </c>
      <c r="P93" s="17">
        <v>3.5013999999999998</v>
      </c>
      <c r="Q93" s="17">
        <v>2.7164000000000001</v>
      </c>
      <c r="R93" s="17">
        <v>10.6585</v>
      </c>
      <c r="S93" s="17">
        <v>13.2172</v>
      </c>
      <c r="T93" s="17">
        <v>8.1123999999999992</v>
      </c>
      <c r="U93" s="17">
        <v>11.3263</v>
      </c>
      <c r="V93" s="17">
        <v>4.2507999999999999</v>
      </c>
      <c r="W93" s="85">
        <v>10.6951</v>
      </c>
      <c r="X93" s="34">
        <v>16.762899999999998</v>
      </c>
      <c r="Y93" s="17">
        <v>2.2759999999999998</v>
      </c>
      <c r="Z93" s="17">
        <v>5.2445000000000004</v>
      </c>
      <c r="AA93" s="17">
        <v>14.0899</v>
      </c>
      <c r="AB93" s="17">
        <v>7.6268000000000002</v>
      </c>
      <c r="AC93" s="17">
        <v>6.3955000000000002</v>
      </c>
      <c r="AD93" s="17">
        <v>7.1247999999999996</v>
      </c>
      <c r="AE93" s="17">
        <v>3.6171000000000002</v>
      </c>
      <c r="AF93" s="17">
        <v>9.0891000000000002</v>
      </c>
      <c r="AG93" s="17">
        <v>19.675799999999999</v>
      </c>
      <c r="AH93" s="17">
        <v>3.2959999999999998</v>
      </c>
      <c r="AI93" s="17">
        <v>8.0467999999999993</v>
      </c>
      <c r="AJ93" s="17">
        <v>3.0971000000000002</v>
      </c>
      <c r="AK93" s="17">
        <v>16.5732</v>
      </c>
      <c r="AL93" s="17">
        <v>9.0925999999999991</v>
      </c>
      <c r="AM93" s="17">
        <v>9.8719000000000001</v>
      </c>
      <c r="AN93" s="17">
        <v>9.3867999999999991</v>
      </c>
      <c r="AO93" s="17">
        <v>19.807200000000002</v>
      </c>
      <c r="AP93" s="17">
        <v>5.7732999999999999</v>
      </c>
      <c r="AQ93" s="85">
        <v>11.6662</v>
      </c>
    </row>
    <row r="94" spans="1:43" x14ac:dyDescent="0.2">
      <c r="A94" s="34">
        <f t="shared" si="1"/>
        <v>7.8044307692307706</v>
      </c>
      <c r="B94" s="17">
        <v>97</v>
      </c>
      <c r="C94" s="17">
        <v>38</v>
      </c>
      <c r="D94" s="34">
        <v>10.465999999999999</v>
      </c>
      <c r="E94" s="17">
        <v>6.1874000000000002</v>
      </c>
      <c r="F94" s="17">
        <v>9.3725000000000005</v>
      </c>
      <c r="G94" s="17">
        <v>2.9956999999999998</v>
      </c>
      <c r="H94" s="17">
        <v>4.7309999999999999</v>
      </c>
      <c r="I94" s="17">
        <v>4.3258000000000001</v>
      </c>
      <c r="J94" s="17">
        <v>8.9118999999999993</v>
      </c>
      <c r="K94" s="17">
        <v>5.7234999999999996</v>
      </c>
      <c r="L94" s="17">
        <v>9.1156000000000006</v>
      </c>
      <c r="M94" s="17">
        <v>8.0126000000000008</v>
      </c>
      <c r="N94" s="17">
        <v>11.548400000000001</v>
      </c>
      <c r="O94" s="17">
        <v>5.6426999999999996</v>
      </c>
      <c r="P94" s="17">
        <v>2.3416000000000001</v>
      </c>
      <c r="Q94" s="17">
        <v>4.5251999999999999</v>
      </c>
      <c r="R94" s="17">
        <v>3.6187</v>
      </c>
      <c r="S94" s="17">
        <v>12.1714</v>
      </c>
      <c r="T94" s="17">
        <v>10.2104</v>
      </c>
      <c r="U94" s="17">
        <v>14.0733</v>
      </c>
      <c r="V94" s="17">
        <v>12.1289</v>
      </c>
      <c r="W94" s="85">
        <v>17.9011</v>
      </c>
      <c r="X94" s="34">
        <v>8.2377000000000002</v>
      </c>
      <c r="Y94" s="17">
        <v>10.1999</v>
      </c>
      <c r="Z94" s="17">
        <v>5.2862999999999998</v>
      </c>
      <c r="AA94" s="17">
        <v>6.2790999999999997</v>
      </c>
      <c r="AB94" s="17">
        <v>4.3779000000000003</v>
      </c>
      <c r="AC94" s="17">
        <v>9.6846999999999994</v>
      </c>
      <c r="AD94" s="17">
        <v>5.3118999999999996</v>
      </c>
      <c r="AE94" s="17">
        <v>6.5263999999999998</v>
      </c>
      <c r="AF94" s="17">
        <v>18.3047</v>
      </c>
      <c r="AG94" s="17">
        <v>2.2818999999999998</v>
      </c>
      <c r="AH94" s="17">
        <v>20.020299999999999</v>
      </c>
      <c r="AI94" s="17">
        <v>6.4619</v>
      </c>
      <c r="AJ94" s="17">
        <v>3.0907</v>
      </c>
      <c r="AK94" s="17">
        <v>11.566599999999999</v>
      </c>
      <c r="AL94" s="17">
        <v>8.2013999999999996</v>
      </c>
      <c r="AM94" s="17">
        <v>9.1812000000000005</v>
      </c>
      <c r="AN94" s="17">
        <v>11.6091</v>
      </c>
      <c r="AO94" s="17">
        <v>21.8687</v>
      </c>
      <c r="AP94" s="17">
        <v>7.9766000000000004</v>
      </c>
      <c r="AQ94" s="85">
        <v>12.039899999999999</v>
      </c>
    </row>
    <row r="95" spans="1:43" x14ac:dyDescent="0.2">
      <c r="A95" s="86">
        <f t="shared" si="1"/>
        <v>8.4128615384615379</v>
      </c>
      <c r="B95" s="87">
        <v>98</v>
      </c>
      <c r="C95" s="87">
        <v>39</v>
      </c>
      <c r="D95" s="86">
        <v>9.9984999999999999</v>
      </c>
      <c r="E95" s="87">
        <v>11.504899999999999</v>
      </c>
      <c r="F95" s="87">
        <v>2.9493999999999998</v>
      </c>
      <c r="G95" s="87">
        <v>12.486800000000001</v>
      </c>
      <c r="H95" s="87">
        <v>6.5086000000000004</v>
      </c>
      <c r="I95" s="87">
        <v>6.6965000000000003</v>
      </c>
      <c r="J95" s="87">
        <v>10.2599</v>
      </c>
      <c r="K95" s="87">
        <v>6.8628</v>
      </c>
      <c r="L95" s="87">
        <v>12.198399999999999</v>
      </c>
      <c r="M95" s="87">
        <v>8.2475000000000005</v>
      </c>
      <c r="N95" s="87">
        <v>2.0388000000000002</v>
      </c>
      <c r="O95" s="87">
        <v>8.7512000000000008</v>
      </c>
      <c r="P95" s="87">
        <v>15.6</v>
      </c>
      <c r="Q95" s="87">
        <v>5.4246999999999996</v>
      </c>
      <c r="R95" s="87">
        <v>4.2163000000000004</v>
      </c>
      <c r="S95" s="87">
        <v>19.4984</v>
      </c>
      <c r="T95" s="87">
        <v>7.2769000000000004</v>
      </c>
      <c r="U95" s="87">
        <v>6.2405999999999997</v>
      </c>
      <c r="V95" s="87">
        <v>9.1321999999999992</v>
      </c>
      <c r="W95" s="88">
        <v>5.5208000000000004</v>
      </c>
      <c r="X95" s="86">
        <v>9.3803999999999998</v>
      </c>
      <c r="Y95" s="87">
        <v>12.9162</v>
      </c>
      <c r="Z95" s="87">
        <v>4.4389000000000003</v>
      </c>
      <c r="AA95" s="87">
        <v>6.6811999999999996</v>
      </c>
      <c r="AB95" s="87">
        <v>4.8140000000000001</v>
      </c>
      <c r="AC95" s="87">
        <v>9.1309000000000005</v>
      </c>
      <c r="AD95" s="87">
        <v>9.9581</v>
      </c>
      <c r="AE95" s="87">
        <v>6.0505000000000004</v>
      </c>
      <c r="AF95" s="87">
        <v>13.398300000000001</v>
      </c>
      <c r="AG95" s="87">
        <v>14.547700000000001</v>
      </c>
      <c r="AH95" s="87">
        <v>5.7469999999999999</v>
      </c>
      <c r="AI95" s="87">
        <v>9.9783000000000008</v>
      </c>
      <c r="AJ95" s="87">
        <v>6.6272000000000002</v>
      </c>
      <c r="AK95" s="87">
        <v>6.2302999999999997</v>
      </c>
      <c r="AL95" s="87">
        <v>9.8717000000000006</v>
      </c>
      <c r="AM95" s="87">
        <v>13.6881</v>
      </c>
      <c r="AN95" s="87">
        <v>6.4867999999999997</v>
      </c>
      <c r="AO95" s="87">
        <v>3.1522999999999999</v>
      </c>
      <c r="AP95" s="87">
        <v>10.087400000000001</v>
      </c>
      <c r="AQ95" s="88">
        <v>10.807499999999999</v>
      </c>
    </row>
  </sheetData>
  <mergeCells count="6">
    <mergeCell ref="A1:C1"/>
    <mergeCell ref="D1:W1"/>
    <mergeCell ref="X1:AQ1"/>
    <mergeCell ref="A52:C52"/>
    <mergeCell ref="D52:W52"/>
    <mergeCell ref="X52:AQ52"/>
  </mergeCells>
  <phoneticPr fontId="1" type="noConversion"/>
  <conditionalFormatting sqref="A5:A50">
    <cfRule type="aboveAverage" dxfId="18" priority="2"/>
  </conditionalFormatting>
  <conditionalFormatting sqref="B96:B98 A56:A95">
    <cfRule type="aboveAverage" dxfId="17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D1C4-D389-4CB1-9868-0F3E1253AC4F}">
  <dimension ref="A1:AQ95"/>
  <sheetViews>
    <sheetView zoomScale="85" zoomScaleNormal="85" workbookViewId="0">
      <selection activeCell="A34" activeCellId="3" sqref="A9:XFD9 A22:XFD22 A27:XFD27 A34:XFD34"/>
    </sheetView>
  </sheetViews>
  <sheetFormatPr defaultColWidth="8.625" defaultRowHeight="11.25" x14ac:dyDescent="0.2"/>
  <cols>
    <col min="1" max="3" width="8.625" style="17"/>
    <col min="4" max="4" width="8.625" style="17" customWidth="1"/>
    <col min="5" max="23" width="8.625" style="17"/>
    <col min="24" max="24" width="8.625" style="34"/>
    <col min="25" max="16384" width="8.625" style="17"/>
  </cols>
  <sheetData>
    <row r="1" spans="1:43" ht="15.75" x14ac:dyDescent="0.2">
      <c r="A1" s="342" t="s">
        <v>134</v>
      </c>
      <c r="B1" s="343"/>
      <c r="C1" s="343"/>
      <c r="D1" s="344" t="s">
        <v>136</v>
      </c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5"/>
      <c r="X1" s="344" t="s">
        <v>139</v>
      </c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5"/>
    </row>
    <row r="2" spans="1:43" s="9" customFormat="1" x14ac:dyDescent="0.2">
      <c r="A2" s="89" t="s">
        <v>97</v>
      </c>
      <c r="C2" s="9" t="s">
        <v>46</v>
      </c>
      <c r="D2" s="10">
        <v>2</v>
      </c>
      <c r="E2" s="10">
        <v>11</v>
      </c>
      <c r="F2" s="10">
        <v>12</v>
      </c>
      <c r="G2" s="10">
        <v>18</v>
      </c>
      <c r="H2" s="10">
        <v>15</v>
      </c>
      <c r="I2" s="10">
        <v>3</v>
      </c>
      <c r="J2" s="10">
        <v>20</v>
      </c>
      <c r="K2" s="10">
        <v>19</v>
      </c>
      <c r="L2" s="10">
        <v>7</v>
      </c>
      <c r="M2" s="10">
        <v>8</v>
      </c>
      <c r="N2" s="10">
        <v>1</v>
      </c>
      <c r="O2" s="10">
        <v>16</v>
      </c>
      <c r="P2" s="10">
        <v>9</v>
      </c>
      <c r="Q2" s="10">
        <v>4</v>
      </c>
      <c r="R2" s="10">
        <v>5</v>
      </c>
      <c r="S2" s="10">
        <v>13</v>
      </c>
      <c r="T2" s="10">
        <v>17</v>
      </c>
      <c r="U2" s="10">
        <v>14</v>
      </c>
      <c r="V2" s="10">
        <v>10</v>
      </c>
      <c r="W2" s="10">
        <v>6</v>
      </c>
      <c r="X2" s="33">
        <v>2</v>
      </c>
      <c r="Y2" s="10">
        <v>11</v>
      </c>
      <c r="Z2" s="10">
        <v>12</v>
      </c>
      <c r="AA2" s="10">
        <v>18</v>
      </c>
      <c r="AB2" s="10">
        <v>15</v>
      </c>
      <c r="AC2" s="10">
        <v>3</v>
      </c>
      <c r="AD2" s="10">
        <v>20</v>
      </c>
      <c r="AE2" s="10">
        <v>19</v>
      </c>
      <c r="AF2" s="10">
        <v>7</v>
      </c>
      <c r="AG2" s="10">
        <v>8</v>
      </c>
      <c r="AH2" s="10">
        <v>1</v>
      </c>
      <c r="AI2" s="10">
        <v>16</v>
      </c>
      <c r="AJ2" s="10">
        <v>9</v>
      </c>
      <c r="AK2" s="10">
        <v>4</v>
      </c>
      <c r="AL2" s="10">
        <v>5</v>
      </c>
      <c r="AM2" s="10">
        <v>13</v>
      </c>
      <c r="AN2" s="10">
        <v>17</v>
      </c>
      <c r="AO2" s="10">
        <v>14</v>
      </c>
      <c r="AP2" s="10">
        <v>10</v>
      </c>
      <c r="AQ2" s="90">
        <v>6</v>
      </c>
    </row>
    <row r="3" spans="1:43" s="9" customFormat="1" x14ac:dyDescent="0.2">
      <c r="A3" s="89"/>
      <c r="C3" s="9" t="s">
        <v>47</v>
      </c>
      <c r="D3" s="10">
        <v>1</v>
      </c>
      <c r="E3" s="11">
        <v>2</v>
      </c>
      <c r="F3" s="11">
        <v>3</v>
      </c>
      <c r="G3" s="12">
        <v>4</v>
      </c>
      <c r="H3" s="13">
        <v>5</v>
      </c>
      <c r="I3" s="14">
        <v>6</v>
      </c>
      <c r="J3" s="10">
        <v>7</v>
      </c>
      <c r="K3" s="12">
        <v>8</v>
      </c>
      <c r="L3" s="15">
        <v>9</v>
      </c>
      <c r="M3" s="15">
        <v>10</v>
      </c>
      <c r="N3" s="16">
        <v>11</v>
      </c>
      <c r="O3" s="13">
        <v>12</v>
      </c>
      <c r="P3" s="15">
        <v>13</v>
      </c>
      <c r="Q3" s="14">
        <v>14</v>
      </c>
      <c r="R3" s="14">
        <v>15</v>
      </c>
      <c r="S3" s="11">
        <v>16</v>
      </c>
      <c r="T3" s="13">
        <v>17</v>
      </c>
      <c r="U3" s="11">
        <v>18</v>
      </c>
      <c r="V3" s="15">
        <v>19</v>
      </c>
      <c r="W3" s="14">
        <v>20</v>
      </c>
      <c r="X3" s="33">
        <v>1</v>
      </c>
      <c r="Y3" s="11">
        <v>2</v>
      </c>
      <c r="Z3" s="11">
        <v>3</v>
      </c>
      <c r="AA3" s="12">
        <v>4</v>
      </c>
      <c r="AB3" s="13">
        <v>5</v>
      </c>
      <c r="AC3" s="14">
        <v>6</v>
      </c>
      <c r="AD3" s="10">
        <v>7</v>
      </c>
      <c r="AE3" s="12">
        <v>8</v>
      </c>
      <c r="AF3" s="15">
        <v>9</v>
      </c>
      <c r="AG3" s="15">
        <v>10</v>
      </c>
      <c r="AH3" s="16">
        <v>11</v>
      </c>
      <c r="AI3" s="13">
        <v>12</v>
      </c>
      <c r="AJ3" s="15">
        <v>13</v>
      </c>
      <c r="AK3" s="14">
        <v>14</v>
      </c>
      <c r="AL3" s="14">
        <v>15</v>
      </c>
      <c r="AM3" s="11">
        <v>16</v>
      </c>
      <c r="AN3" s="13">
        <v>17</v>
      </c>
      <c r="AO3" s="11">
        <v>18</v>
      </c>
      <c r="AP3" s="15">
        <v>19</v>
      </c>
      <c r="AQ3" s="91">
        <v>20</v>
      </c>
    </row>
    <row r="4" spans="1:43" s="9" customFormat="1" x14ac:dyDescent="0.2">
      <c r="A4" s="89"/>
      <c r="D4" s="10" t="s">
        <v>0</v>
      </c>
      <c r="E4" s="11" t="s">
        <v>2</v>
      </c>
      <c r="F4" s="11" t="s">
        <v>4</v>
      </c>
      <c r="G4" s="12" t="s">
        <v>6</v>
      </c>
      <c r="H4" s="13" t="s">
        <v>8</v>
      </c>
      <c r="I4" s="14" t="s">
        <v>10</v>
      </c>
      <c r="J4" s="10" t="s">
        <v>12</v>
      </c>
      <c r="K4" s="12" t="s">
        <v>14</v>
      </c>
      <c r="L4" s="15" t="s">
        <v>16</v>
      </c>
      <c r="M4" s="15" t="s">
        <v>18</v>
      </c>
      <c r="N4" s="16" t="s">
        <v>20</v>
      </c>
      <c r="O4" s="13" t="s">
        <v>22</v>
      </c>
      <c r="P4" s="15" t="s">
        <v>24</v>
      </c>
      <c r="Q4" s="14" t="s">
        <v>26</v>
      </c>
      <c r="R4" s="14" t="s">
        <v>28</v>
      </c>
      <c r="S4" s="11" t="s">
        <v>30</v>
      </c>
      <c r="T4" s="13" t="s">
        <v>32</v>
      </c>
      <c r="U4" s="11" t="s">
        <v>34</v>
      </c>
      <c r="V4" s="15" t="s">
        <v>36</v>
      </c>
      <c r="W4" s="14" t="s">
        <v>38</v>
      </c>
      <c r="X4" s="33" t="s">
        <v>0</v>
      </c>
      <c r="Y4" s="11" t="s">
        <v>2</v>
      </c>
      <c r="Z4" s="11" t="s">
        <v>4</v>
      </c>
      <c r="AA4" s="12" t="s">
        <v>6</v>
      </c>
      <c r="AB4" s="13" t="s">
        <v>8</v>
      </c>
      <c r="AC4" s="14" t="s">
        <v>10</v>
      </c>
      <c r="AD4" s="10" t="s">
        <v>12</v>
      </c>
      <c r="AE4" s="12" t="s">
        <v>14</v>
      </c>
      <c r="AF4" s="15" t="s">
        <v>16</v>
      </c>
      <c r="AG4" s="15" t="s">
        <v>18</v>
      </c>
      <c r="AH4" s="16" t="s">
        <v>20</v>
      </c>
      <c r="AI4" s="13" t="s">
        <v>22</v>
      </c>
      <c r="AJ4" s="15" t="s">
        <v>24</v>
      </c>
      <c r="AK4" s="14" t="s">
        <v>26</v>
      </c>
      <c r="AL4" s="14" t="s">
        <v>28</v>
      </c>
      <c r="AM4" s="11" t="s">
        <v>30</v>
      </c>
      <c r="AN4" s="13" t="s">
        <v>32</v>
      </c>
      <c r="AO4" s="11" t="s">
        <v>34</v>
      </c>
      <c r="AP4" s="15" t="s">
        <v>36</v>
      </c>
      <c r="AQ4" s="91" t="s">
        <v>38</v>
      </c>
    </row>
    <row r="5" spans="1:43" s="9" customFormat="1" ht="22.5" x14ac:dyDescent="0.2">
      <c r="A5" s="89" t="s">
        <v>94</v>
      </c>
      <c r="B5" s="9" t="s">
        <v>57</v>
      </c>
      <c r="C5" s="17" t="s">
        <v>45</v>
      </c>
      <c r="D5" s="10" t="s">
        <v>1</v>
      </c>
      <c r="E5" s="11" t="s">
        <v>3</v>
      </c>
      <c r="F5" s="11" t="s">
        <v>5</v>
      </c>
      <c r="G5" s="12" t="s">
        <v>7</v>
      </c>
      <c r="H5" s="13" t="s">
        <v>9</v>
      </c>
      <c r="I5" s="14" t="s">
        <v>11</v>
      </c>
      <c r="J5" s="10" t="s">
        <v>13</v>
      </c>
      <c r="K5" s="12" t="s">
        <v>15</v>
      </c>
      <c r="L5" s="15" t="s">
        <v>17</v>
      </c>
      <c r="M5" s="15" t="s">
        <v>19</v>
      </c>
      <c r="N5" s="16" t="s">
        <v>21</v>
      </c>
      <c r="O5" s="13" t="s">
        <v>23</v>
      </c>
      <c r="P5" s="15" t="s">
        <v>25</v>
      </c>
      <c r="Q5" s="14" t="s">
        <v>27</v>
      </c>
      <c r="R5" s="14" t="s">
        <v>29</v>
      </c>
      <c r="S5" s="11" t="s">
        <v>31</v>
      </c>
      <c r="T5" s="13" t="s">
        <v>33</v>
      </c>
      <c r="U5" s="11" t="s">
        <v>35</v>
      </c>
      <c r="V5" s="15" t="s">
        <v>37</v>
      </c>
      <c r="W5" s="14" t="s">
        <v>39</v>
      </c>
      <c r="X5" s="33" t="s">
        <v>1</v>
      </c>
      <c r="Y5" s="11" t="s">
        <v>3</v>
      </c>
      <c r="Z5" s="11" t="s">
        <v>5</v>
      </c>
      <c r="AA5" s="12" t="s">
        <v>7</v>
      </c>
      <c r="AB5" s="13" t="s">
        <v>9</v>
      </c>
      <c r="AC5" s="14" t="s">
        <v>11</v>
      </c>
      <c r="AD5" s="10" t="s">
        <v>13</v>
      </c>
      <c r="AE5" s="12" t="s">
        <v>15</v>
      </c>
      <c r="AF5" s="15" t="s">
        <v>17</v>
      </c>
      <c r="AG5" s="15" t="s">
        <v>19</v>
      </c>
      <c r="AH5" s="16" t="s">
        <v>21</v>
      </c>
      <c r="AI5" s="13" t="s">
        <v>23</v>
      </c>
      <c r="AJ5" s="15" t="s">
        <v>25</v>
      </c>
      <c r="AK5" s="14" t="s">
        <v>27</v>
      </c>
      <c r="AL5" s="14" t="s">
        <v>29</v>
      </c>
      <c r="AM5" s="11" t="s">
        <v>31</v>
      </c>
      <c r="AN5" s="13" t="s">
        <v>33</v>
      </c>
      <c r="AO5" s="11" t="s">
        <v>35</v>
      </c>
      <c r="AP5" s="15" t="s">
        <v>37</v>
      </c>
      <c r="AQ5" s="91" t="s">
        <v>39</v>
      </c>
    </row>
    <row r="6" spans="1:43" x14ac:dyDescent="0.2">
      <c r="A6" s="34">
        <f>AVERAGE(E6:AD6)</f>
        <v>3.1812346153846156</v>
      </c>
      <c r="B6" s="17">
        <v>101</v>
      </c>
      <c r="C6" s="17">
        <v>1</v>
      </c>
      <c r="D6" s="82">
        <v>7.6440000000000001</v>
      </c>
      <c r="E6" s="83">
        <v>4.6776999999999997</v>
      </c>
      <c r="F6" s="83">
        <v>2.5173999999999999</v>
      </c>
      <c r="G6" s="83">
        <v>3.1122999999999998</v>
      </c>
      <c r="H6" s="83">
        <v>2.6833999999999998</v>
      </c>
      <c r="I6" s="83">
        <v>2.4702000000000002</v>
      </c>
      <c r="J6" s="83">
        <v>2.9965000000000002</v>
      </c>
      <c r="K6" s="83">
        <v>0.73870000000000002</v>
      </c>
      <c r="L6" s="83">
        <v>3.9950999999999999</v>
      </c>
      <c r="M6" s="83">
        <v>4.3571</v>
      </c>
      <c r="N6" s="83">
        <v>3.9377</v>
      </c>
      <c r="O6" s="83">
        <v>2.3719999999999999</v>
      </c>
      <c r="P6" s="83">
        <v>4.0613000000000001</v>
      </c>
      <c r="Q6" s="83">
        <v>3.4054000000000002</v>
      </c>
      <c r="R6" s="83">
        <v>5.7953000000000001</v>
      </c>
      <c r="S6" s="83">
        <v>0.13539999999999999</v>
      </c>
      <c r="T6" s="83">
        <v>2.0247000000000002</v>
      </c>
      <c r="U6" s="83">
        <v>1.3243</v>
      </c>
      <c r="V6" s="83">
        <v>4.6036999999999999</v>
      </c>
      <c r="W6" s="84">
        <v>1.3281000000000001</v>
      </c>
      <c r="X6" s="82">
        <v>5.5994999999999999</v>
      </c>
      <c r="Y6" s="83">
        <v>2.7006000000000001</v>
      </c>
      <c r="Z6" s="83">
        <v>5.8333000000000004</v>
      </c>
      <c r="AA6" s="83">
        <v>3.1360000000000001</v>
      </c>
      <c r="AB6" s="83">
        <v>4.9801000000000002</v>
      </c>
      <c r="AC6" s="83">
        <v>1.4009</v>
      </c>
      <c r="AD6" s="83">
        <v>2.5253999999999999</v>
      </c>
      <c r="AE6" s="83">
        <v>4.8490000000000002</v>
      </c>
      <c r="AF6" s="83">
        <v>2.9293</v>
      </c>
      <c r="AG6" s="83">
        <v>4.5141</v>
      </c>
      <c r="AH6" s="83">
        <v>3.8521000000000001</v>
      </c>
      <c r="AI6" s="83">
        <v>1.9967999999999999</v>
      </c>
      <c r="AJ6" s="83">
        <v>0.59899999999999998</v>
      </c>
      <c r="AK6" s="83">
        <v>2.7443</v>
      </c>
      <c r="AL6" s="83">
        <v>2.3871000000000002</v>
      </c>
      <c r="AM6" s="83">
        <v>1.8726</v>
      </c>
      <c r="AN6" s="83">
        <v>4.3955000000000002</v>
      </c>
      <c r="AO6" s="83">
        <v>4.8308999999999997</v>
      </c>
      <c r="AP6" s="83">
        <v>6.9518000000000004</v>
      </c>
      <c r="AQ6" s="84">
        <v>2.2745000000000002</v>
      </c>
    </row>
    <row r="7" spans="1:43" x14ac:dyDescent="0.2">
      <c r="A7" s="34">
        <f t="shared" ref="A7:A50" si="0">AVERAGE(E7:AD7)</f>
        <v>4.2648730769230774</v>
      </c>
      <c r="B7" s="17">
        <v>102</v>
      </c>
      <c r="C7" s="17">
        <v>2</v>
      </c>
      <c r="D7" s="34">
        <v>7.5355999999999996</v>
      </c>
      <c r="E7" s="17">
        <v>5.8280000000000003</v>
      </c>
      <c r="F7" s="17">
        <v>1.0732999999999999</v>
      </c>
      <c r="G7" s="17">
        <v>0.2419</v>
      </c>
      <c r="H7" s="17">
        <v>2.4679000000000002</v>
      </c>
      <c r="I7" s="17">
        <v>3.1217999999999999</v>
      </c>
      <c r="J7" s="17">
        <v>2.72</v>
      </c>
      <c r="K7" s="17">
        <v>3.3229000000000002</v>
      </c>
      <c r="L7" s="17">
        <v>4.4626999999999999</v>
      </c>
      <c r="M7" s="17">
        <v>4.9714</v>
      </c>
      <c r="N7" s="17">
        <v>3.577</v>
      </c>
      <c r="O7" s="17">
        <v>6.5018000000000002</v>
      </c>
      <c r="P7" s="17">
        <v>0.69469999999999998</v>
      </c>
      <c r="Q7" s="17">
        <v>3.4695999999999998</v>
      </c>
      <c r="R7" s="17">
        <v>2.2968999999999999</v>
      </c>
      <c r="S7" s="17">
        <v>4.8235000000000001</v>
      </c>
      <c r="T7" s="17">
        <v>0.82589999999999997</v>
      </c>
      <c r="U7" s="17">
        <v>6.0068999999999999</v>
      </c>
      <c r="V7" s="17">
        <v>1.4558</v>
      </c>
      <c r="W7" s="85">
        <v>3.5476000000000001</v>
      </c>
      <c r="X7" s="34">
        <v>2.3681999999999999</v>
      </c>
      <c r="Y7" s="17">
        <v>10.7494</v>
      </c>
      <c r="Z7" s="17">
        <v>5.7331000000000003</v>
      </c>
      <c r="AA7" s="17">
        <v>5.0307000000000004</v>
      </c>
      <c r="AB7" s="17">
        <v>5.9381000000000004</v>
      </c>
      <c r="AC7" s="17">
        <v>7.6078000000000001</v>
      </c>
      <c r="AD7" s="17">
        <v>12.049799999999999</v>
      </c>
      <c r="AE7" s="17">
        <v>1.2367999999999999</v>
      </c>
      <c r="AF7" s="17">
        <v>3.4786999999999999</v>
      </c>
      <c r="AG7" s="17">
        <v>1.4274</v>
      </c>
      <c r="AH7" s="17">
        <v>2.8414000000000001</v>
      </c>
      <c r="AI7" s="17">
        <v>4.4504000000000001</v>
      </c>
      <c r="AJ7" s="17">
        <v>1.5711999999999999</v>
      </c>
      <c r="AK7" s="17">
        <v>5.1745999999999999</v>
      </c>
      <c r="AL7" s="17">
        <v>4.5487000000000002</v>
      </c>
      <c r="AM7" s="17">
        <v>4.3597999999999999</v>
      </c>
      <c r="AN7" s="17">
        <v>6.9988000000000001</v>
      </c>
      <c r="AO7" s="17">
        <v>7.1166</v>
      </c>
      <c r="AP7" s="17">
        <v>2.6111</v>
      </c>
      <c r="AQ7" s="85">
        <v>1.4789000000000001</v>
      </c>
    </row>
    <row r="8" spans="1:43" x14ac:dyDescent="0.2">
      <c r="A8" s="34">
        <f t="shared" si="0"/>
        <v>4.9260846153846165</v>
      </c>
      <c r="B8" s="17">
        <v>104</v>
      </c>
      <c r="C8" s="17">
        <v>3</v>
      </c>
      <c r="D8" s="34">
        <v>8.8515999999999995</v>
      </c>
      <c r="E8" s="17">
        <v>6.6955</v>
      </c>
      <c r="F8" s="17">
        <v>20.047599999999999</v>
      </c>
      <c r="G8" s="17">
        <v>0.8145</v>
      </c>
      <c r="H8" s="17">
        <v>2.5104000000000002</v>
      </c>
      <c r="I8" s="17">
        <v>1.6884999999999999</v>
      </c>
      <c r="J8" s="17">
        <v>1.1403000000000001</v>
      </c>
      <c r="K8" s="17">
        <v>1.7709999999999999</v>
      </c>
      <c r="L8" s="17">
        <v>4.5385</v>
      </c>
      <c r="M8" s="17">
        <v>7.9694000000000003</v>
      </c>
      <c r="N8" s="17">
        <v>2.7019000000000002</v>
      </c>
      <c r="O8" s="17">
        <v>1.0674999999999999</v>
      </c>
      <c r="P8" s="17">
        <v>3.4495</v>
      </c>
      <c r="Q8" s="17">
        <v>5.4962</v>
      </c>
      <c r="R8" s="17">
        <v>8.1155000000000008</v>
      </c>
      <c r="S8" s="17">
        <v>2.0099</v>
      </c>
      <c r="T8" s="17">
        <v>5.8490000000000002</v>
      </c>
      <c r="U8" s="17">
        <v>5.3730000000000002</v>
      </c>
      <c r="V8" s="17">
        <v>2.1383000000000001</v>
      </c>
      <c r="W8" s="85">
        <v>3.3653</v>
      </c>
      <c r="X8" s="34">
        <v>9.8451000000000004</v>
      </c>
      <c r="Y8" s="17">
        <v>4.8932000000000002</v>
      </c>
      <c r="Z8" s="17">
        <v>5.7984</v>
      </c>
      <c r="AA8" s="17">
        <v>7.8249000000000004</v>
      </c>
      <c r="AB8" s="17">
        <v>8.3805999999999994</v>
      </c>
      <c r="AC8" s="17">
        <v>0.4133</v>
      </c>
      <c r="AD8" s="17">
        <v>4.1809000000000003</v>
      </c>
      <c r="AE8" s="17">
        <v>3.2936000000000001</v>
      </c>
      <c r="AF8" s="17">
        <v>4.9579000000000004</v>
      </c>
      <c r="AG8" s="17">
        <v>1.4283999999999999</v>
      </c>
      <c r="AH8" s="17">
        <v>2.0179999999999998</v>
      </c>
      <c r="AI8" s="17">
        <v>2.7328000000000001</v>
      </c>
      <c r="AJ8" s="17">
        <v>5.3918999999999997</v>
      </c>
      <c r="AK8" s="17">
        <v>3.5329000000000002</v>
      </c>
      <c r="AL8" s="17">
        <v>5.7420999999999998</v>
      </c>
      <c r="AM8" s="17">
        <v>2.3748</v>
      </c>
      <c r="AN8" s="17">
        <v>3.4624999999999999</v>
      </c>
      <c r="AO8" s="17">
        <v>5.0034000000000001</v>
      </c>
      <c r="AP8" s="17">
        <v>2.3725999999999998</v>
      </c>
      <c r="AQ8" s="85">
        <v>4.6483999999999996</v>
      </c>
    </row>
    <row r="9" spans="1:43" x14ac:dyDescent="0.2">
      <c r="A9" s="34">
        <f t="shared" si="0"/>
        <v>5.9866230769230775</v>
      </c>
      <c r="B9" s="17">
        <v>106</v>
      </c>
      <c r="C9" s="17">
        <v>4</v>
      </c>
      <c r="D9" s="34">
        <v>7.3188000000000004</v>
      </c>
      <c r="E9" s="17">
        <v>5.7805999999999997</v>
      </c>
      <c r="F9" s="17">
        <v>4.9066000000000001</v>
      </c>
      <c r="G9" s="17">
        <v>6.694</v>
      </c>
      <c r="H9" s="17">
        <v>3.7441</v>
      </c>
      <c r="I9" s="17">
        <v>19.733499999999999</v>
      </c>
      <c r="J9" s="17">
        <v>2.7406000000000001</v>
      </c>
      <c r="K9" s="17">
        <v>7.5168999999999997</v>
      </c>
      <c r="L9" s="17">
        <v>3.8833000000000002</v>
      </c>
      <c r="M9" s="17">
        <v>2.8517000000000001</v>
      </c>
      <c r="N9" s="17">
        <v>5.173</v>
      </c>
      <c r="O9" s="17">
        <v>3.7044000000000001</v>
      </c>
      <c r="P9" s="17">
        <v>5.6104000000000003</v>
      </c>
      <c r="Q9" s="17">
        <v>3.5981999999999998</v>
      </c>
      <c r="R9" s="17">
        <v>13.0936</v>
      </c>
      <c r="S9" s="17">
        <v>2.4369000000000001</v>
      </c>
      <c r="T9" s="17">
        <v>3.7706</v>
      </c>
      <c r="U9" s="17">
        <v>7.0621999999999998</v>
      </c>
      <c r="V9" s="17">
        <v>2.2406000000000001</v>
      </c>
      <c r="W9" s="85">
        <v>2.3130000000000002</v>
      </c>
      <c r="X9" s="34">
        <v>7.2633999999999999</v>
      </c>
      <c r="Y9" s="17">
        <v>8.8855000000000004</v>
      </c>
      <c r="Z9" s="17">
        <v>10.364800000000001</v>
      </c>
      <c r="AA9" s="17">
        <v>5.2496999999999998</v>
      </c>
      <c r="AB9" s="17">
        <v>4.6771000000000003</v>
      </c>
      <c r="AC9" s="17">
        <v>11.0335</v>
      </c>
      <c r="AD9" s="17">
        <v>1.3240000000000001</v>
      </c>
      <c r="AE9" s="17">
        <v>4.4200999999999997</v>
      </c>
      <c r="AF9" s="17">
        <v>3.4321000000000002</v>
      </c>
      <c r="AG9" s="17">
        <v>3.8395999999999999</v>
      </c>
      <c r="AH9" s="17">
        <v>2.8169</v>
      </c>
      <c r="AI9" s="17">
        <v>4.7476000000000003</v>
      </c>
      <c r="AJ9" s="17">
        <v>5.2302</v>
      </c>
      <c r="AK9" s="17">
        <v>11.4444</v>
      </c>
      <c r="AL9" s="17">
        <v>3.7128000000000001</v>
      </c>
      <c r="AM9" s="17">
        <v>2.8584999999999998</v>
      </c>
      <c r="AN9" s="17">
        <v>3.0971000000000002</v>
      </c>
      <c r="AO9" s="17">
        <v>3.2732000000000001</v>
      </c>
      <c r="AP9" s="17">
        <v>3.6573000000000002</v>
      </c>
      <c r="AQ9" s="85">
        <v>10.050800000000001</v>
      </c>
    </row>
    <row r="10" spans="1:43" x14ac:dyDescent="0.2">
      <c r="A10" s="34">
        <f t="shared" si="0"/>
        <v>3.9703192307692303</v>
      </c>
      <c r="B10" s="17">
        <v>108</v>
      </c>
      <c r="C10" s="17">
        <v>5</v>
      </c>
      <c r="D10" s="34">
        <v>2.8001999999999998</v>
      </c>
      <c r="E10" s="17">
        <v>5.7568999999999999</v>
      </c>
      <c r="F10" s="17">
        <v>4.9043999999999999</v>
      </c>
      <c r="G10" s="17">
        <v>3.0644</v>
      </c>
      <c r="H10" s="17">
        <v>3.0387</v>
      </c>
      <c r="I10" s="17">
        <v>2.0665</v>
      </c>
      <c r="J10" s="17">
        <v>2.5700000000000001E-2</v>
      </c>
      <c r="K10" s="17">
        <v>1.8920999999999999</v>
      </c>
      <c r="L10" s="17">
        <v>3.8460000000000001</v>
      </c>
      <c r="M10" s="17">
        <v>4.1557000000000004</v>
      </c>
      <c r="N10" s="17">
        <v>3.5647000000000002</v>
      </c>
      <c r="O10" s="17">
        <v>2.2675999999999998</v>
      </c>
      <c r="P10" s="17">
        <v>1.2047000000000001</v>
      </c>
      <c r="Q10" s="17">
        <v>4.8981000000000003</v>
      </c>
      <c r="R10" s="17">
        <v>5.5110999999999999</v>
      </c>
      <c r="S10" s="17">
        <v>5.1210000000000004</v>
      </c>
      <c r="T10" s="17">
        <v>4.3228999999999997</v>
      </c>
      <c r="U10" s="17">
        <v>9.9789999999999992</v>
      </c>
      <c r="V10" s="17">
        <v>3.4729000000000001</v>
      </c>
      <c r="W10" s="85">
        <v>2.5204</v>
      </c>
      <c r="X10" s="34">
        <v>7.2061999999999999</v>
      </c>
      <c r="Y10" s="17">
        <v>5.6087999999999996</v>
      </c>
      <c r="Z10" s="17">
        <v>5.4328000000000003</v>
      </c>
      <c r="AA10" s="17">
        <v>3.6560999999999999</v>
      </c>
      <c r="AB10" s="17">
        <v>3.1284999999999998</v>
      </c>
      <c r="AC10" s="17">
        <v>4.5724999999999998</v>
      </c>
      <c r="AD10" s="17">
        <v>2.0106000000000002</v>
      </c>
      <c r="AE10" s="17">
        <v>3.0331999999999999</v>
      </c>
      <c r="AF10" s="17">
        <v>3.4087999999999998</v>
      </c>
      <c r="AG10" s="17">
        <v>4.6440000000000001</v>
      </c>
      <c r="AH10" s="17">
        <v>3.004</v>
      </c>
      <c r="AI10" s="17">
        <v>6.9580000000000002</v>
      </c>
      <c r="AJ10" s="17">
        <v>5.5286</v>
      </c>
      <c r="AK10" s="17">
        <v>8.7217000000000002</v>
      </c>
      <c r="AL10" s="17">
        <v>3.5173000000000001</v>
      </c>
      <c r="AM10" s="17">
        <v>3.0001000000000002</v>
      </c>
      <c r="AN10" s="17">
        <v>2.5705</v>
      </c>
      <c r="AO10" s="17">
        <v>5.1966000000000001</v>
      </c>
      <c r="AP10" s="17">
        <v>2.8437000000000001</v>
      </c>
      <c r="AQ10" s="85">
        <v>4.5239000000000003</v>
      </c>
    </row>
    <row r="11" spans="1:43" x14ac:dyDescent="0.2">
      <c r="A11" s="34">
        <f t="shared" si="0"/>
        <v>4.5608730769230776</v>
      </c>
      <c r="B11" s="17">
        <v>109</v>
      </c>
      <c r="C11" s="17">
        <v>6</v>
      </c>
      <c r="D11" s="34">
        <v>7.1020000000000003</v>
      </c>
      <c r="E11" s="17">
        <v>8.6404999999999994</v>
      </c>
      <c r="F11" s="17">
        <v>5.5374999999999996</v>
      </c>
      <c r="G11" s="17">
        <v>3.0933000000000002</v>
      </c>
      <c r="H11" s="17">
        <v>3.2320000000000002</v>
      </c>
      <c r="I11" s="17">
        <v>4.0808</v>
      </c>
      <c r="J11" s="17">
        <v>2.7061999999999999</v>
      </c>
      <c r="K11" s="17">
        <v>5.5633999999999997</v>
      </c>
      <c r="L11" s="17">
        <v>0.63780000000000003</v>
      </c>
      <c r="M11" s="17">
        <v>9.7165999999999997</v>
      </c>
      <c r="N11" s="17">
        <v>3.6726000000000001</v>
      </c>
      <c r="O11" s="17">
        <v>6.8367000000000004</v>
      </c>
      <c r="P11" s="17">
        <v>3.2364000000000002</v>
      </c>
      <c r="Q11" s="17">
        <v>3.3502000000000001</v>
      </c>
      <c r="R11" s="17">
        <v>4.8185000000000002</v>
      </c>
      <c r="S11" s="17">
        <v>9.6022999999999996</v>
      </c>
      <c r="T11" s="17">
        <v>4.4672000000000001</v>
      </c>
      <c r="U11" s="17">
        <v>4.0510999999999999</v>
      </c>
      <c r="V11" s="17">
        <v>2.8266</v>
      </c>
      <c r="W11" s="85">
        <v>1.0797000000000001</v>
      </c>
      <c r="X11" s="34">
        <v>7.1490999999999998</v>
      </c>
      <c r="Y11" s="17">
        <v>3.1181999999999999</v>
      </c>
      <c r="Z11" s="17">
        <v>8.8983000000000008</v>
      </c>
      <c r="AA11" s="17">
        <v>3.7677999999999998</v>
      </c>
      <c r="AB11" s="17">
        <v>4.4016000000000002</v>
      </c>
      <c r="AC11" s="17">
        <v>3.8412000000000002</v>
      </c>
      <c r="AD11" s="17">
        <v>0.2571</v>
      </c>
      <c r="AE11" s="17">
        <v>9.6990999999999996</v>
      </c>
      <c r="AF11" s="17">
        <v>3.5529999999999999</v>
      </c>
      <c r="AG11" s="17">
        <v>13.1591</v>
      </c>
      <c r="AH11" s="17">
        <v>3.0581999999999998</v>
      </c>
      <c r="AI11" s="17">
        <v>5.6794000000000002</v>
      </c>
      <c r="AJ11" s="17">
        <v>4.5404999999999998</v>
      </c>
      <c r="AK11" s="17">
        <v>5.6479999999999997</v>
      </c>
      <c r="AL11" s="17">
        <v>7.5110999999999999</v>
      </c>
      <c r="AM11" s="17">
        <v>13.6488</v>
      </c>
      <c r="AN11" s="17">
        <v>2.62</v>
      </c>
      <c r="AO11" s="17">
        <v>9.3070000000000004</v>
      </c>
      <c r="AP11" s="17">
        <v>15.1853</v>
      </c>
      <c r="AQ11" s="85">
        <v>6.1784999999999997</v>
      </c>
    </row>
    <row r="12" spans="1:43" x14ac:dyDescent="0.2">
      <c r="A12" s="34">
        <f t="shared" si="0"/>
        <v>3.9435884615384613</v>
      </c>
      <c r="B12" s="17">
        <v>32</v>
      </c>
      <c r="C12" s="17">
        <v>7</v>
      </c>
      <c r="D12" s="34">
        <v>9.5728000000000009</v>
      </c>
      <c r="E12" s="17">
        <v>4.6280999999999999</v>
      </c>
      <c r="F12" s="17">
        <v>3.1615000000000002</v>
      </c>
      <c r="G12" s="17">
        <v>4.4099000000000004</v>
      </c>
      <c r="H12" s="17">
        <v>3.7785000000000002</v>
      </c>
      <c r="I12" s="17">
        <v>3.3559000000000001</v>
      </c>
      <c r="J12" s="17">
        <v>0.9153</v>
      </c>
      <c r="K12" s="17">
        <v>4.7183999999999999</v>
      </c>
      <c r="L12" s="17">
        <v>6.1308999999999996</v>
      </c>
      <c r="M12" s="17">
        <v>2.9813999999999998</v>
      </c>
      <c r="N12" s="17">
        <v>1.3253999999999999</v>
      </c>
      <c r="O12" s="17">
        <v>2.3935</v>
      </c>
      <c r="P12" s="17">
        <v>3.0876000000000001</v>
      </c>
      <c r="Q12" s="17">
        <v>0.94269999999999998</v>
      </c>
      <c r="R12" s="17">
        <v>5.4737999999999998</v>
      </c>
      <c r="S12" s="17">
        <v>10.745100000000001</v>
      </c>
      <c r="T12" s="17">
        <v>0.61280000000000001</v>
      </c>
      <c r="U12" s="17">
        <v>2.0872000000000002</v>
      </c>
      <c r="V12" s="17">
        <v>3.3317000000000001</v>
      </c>
      <c r="W12" s="85">
        <v>4.8289</v>
      </c>
      <c r="X12" s="34">
        <v>4.4157999999999999</v>
      </c>
      <c r="Y12" s="17">
        <v>5.0608000000000004</v>
      </c>
      <c r="Z12" s="17">
        <v>5.3388999999999998</v>
      </c>
      <c r="AA12" s="17">
        <v>9.6550999999999991</v>
      </c>
      <c r="AB12" s="17">
        <v>5.7537000000000003</v>
      </c>
      <c r="AC12" s="17">
        <v>1.1492</v>
      </c>
      <c r="AD12" s="17">
        <v>2.2511999999999999</v>
      </c>
      <c r="AE12" s="17">
        <v>4.0137999999999998</v>
      </c>
      <c r="AF12" s="17">
        <v>5.7350000000000003</v>
      </c>
      <c r="AG12" s="17">
        <v>3.0304000000000002</v>
      </c>
      <c r="AH12" s="17">
        <v>2.1579000000000002</v>
      </c>
      <c r="AI12" s="17">
        <v>4.7443999999999997</v>
      </c>
      <c r="AJ12" s="17">
        <v>7.6303000000000001</v>
      </c>
      <c r="AK12" s="17">
        <v>3.9340000000000002</v>
      </c>
      <c r="AL12" s="17">
        <v>8.0014000000000003</v>
      </c>
      <c r="AM12" s="17">
        <v>10.969799999999999</v>
      </c>
      <c r="AN12" s="17">
        <v>3.1074000000000002</v>
      </c>
      <c r="AO12" s="17">
        <v>0.74250000000000005</v>
      </c>
      <c r="AP12" s="17">
        <v>0.75129999999999997</v>
      </c>
      <c r="AQ12" s="85">
        <v>6.3554000000000004</v>
      </c>
    </row>
    <row r="13" spans="1:43" x14ac:dyDescent="0.2">
      <c r="A13" s="34">
        <f t="shared" si="0"/>
        <v>3.6958769230769226</v>
      </c>
      <c r="B13" s="17">
        <v>36</v>
      </c>
      <c r="C13" s="17">
        <v>8</v>
      </c>
      <c r="D13" s="34">
        <v>8.7510999999999992</v>
      </c>
      <c r="E13" s="17">
        <v>6.1380999999999997</v>
      </c>
      <c r="F13" s="17">
        <v>4.7E-2</v>
      </c>
      <c r="G13" s="17">
        <v>4.8575999999999997</v>
      </c>
      <c r="H13" s="17">
        <v>2.1200999999999999</v>
      </c>
      <c r="I13" s="17">
        <v>1.6736</v>
      </c>
      <c r="J13" s="17">
        <v>1.7746</v>
      </c>
      <c r="K13" s="17">
        <v>7.2641999999999998</v>
      </c>
      <c r="L13" s="17">
        <v>2.3957000000000002</v>
      </c>
      <c r="M13" s="17">
        <v>1.4198999999999999</v>
      </c>
      <c r="N13" s="17">
        <v>3.5081000000000002</v>
      </c>
      <c r="O13" s="17">
        <v>1.3682000000000001</v>
      </c>
      <c r="P13" s="17">
        <v>3.1536</v>
      </c>
      <c r="Q13" s="17">
        <v>3.8552</v>
      </c>
      <c r="R13" s="17">
        <v>5.2979000000000003</v>
      </c>
      <c r="S13" s="17">
        <v>0.58169999999999999</v>
      </c>
      <c r="T13" s="17">
        <v>1.3714</v>
      </c>
      <c r="U13" s="17">
        <v>1.3545</v>
      </c>
      <c r="V13" s="17">
        <v>6.1494</v>
      </c>
      <c r="W13" s="85">
        <v>5.2031000000000001</v>
      </c>
      <c r="X13" s="34">
        <v>3.7974999999999999</v>
      </c>
      <c r="Y13" s="17">
        <v>2.5465</v>
      </c>
      <c r="Z13" s="17">
        <v>1.7332000000000001</v>
      </c>
      <c r="AA13" s="17">
        <v>12.7887</v>
      </c>
      <c r="AB13" s="17">
        <v>3.5608</v>
      </c>
      <c r="AC13" s="17">
        <v>5.3197999999999999</v>
      </c>
      <c r="AD13" s="17">
        <v>6.8124000000000002</v>
      </c>
      <c r="AE13" s="17">
        <v>3.6478999999999999</v>
      </c>
      <c r="AF13" s="17">
        <v>2.3351999999999999</v>
      </c>
      <c r="AG13" s="17">
        <v>4.7481999999999998</v>
      </c>
      <c r="AH13" s="17">
        <v>5.2329999999999997</v>
      </c>
      <c r="AI13" s="17">
        <v>6.2946999999999997</v>
      </c>
      <c r="AJ13" s="17">
        <v>4.4359000000000002</v>
      </c>
      <c r="AK13" s="17">
        <v>5.1231</v>
      </c>
      <c r="AL13" s="17">
        <v>5.1783000000000001</v>
      </c>
      <c r="AM13" s="17">
        <v>2.5051000000000001</v>
      </c>
      <c r="AN13" s="17">
        <v>5.7111000000000001</v>
      </c>
      <c r="AO13" s="17">
        <v>5.8212999999999999</v>
      </c>
      <c r="AP13" s="17">
        <v>8.8364999999999991</v>
      </c>
      <c r="AQ13" s="85">
        <v>3.3498999999999999</v>
      </c>
    </row>
    <row r="14" spans="1:43" x14ac:dyDescent="0.2">
      <c r="A14" s="34">
        <f t="shared" si="0"/>
        <v>4.9595692307692314</v>
      </c>
      <c r="B14" s="17">
        <v>37</v>
      </c>
      <c r="C14" s="17">
        <v>9</v>
      </c>
      <c r="D14" s="34">
        <v>6.7769000000000004</v>
      </c>
      <c r="E14" s="17">
        <v>5.6622000000000003</v>
      </c>
      <c r="F14" s="17">
        <v>4.8952999999999998</v>
      </c>
      <c r="G14" s="17">
        <v>3.1797</v>
      </c>
      <c r="H14" s="17">
        <v>2.7654000000000001</v>
      </c>
      <c r="I14" s="17">
        <v>5.8331999999999997</v>
      </c>
      <c r="J14" s="17">
        <v>1.2423999999999999</v>
      </c>
      <c r="K14" s="17">
        <v>3.4203999999999999</v>
      </c>
      <c r="L14" s="17">
        <v>5.3837999999999999</v>
      </c>
      <c r="M14" s="17">
        <v>3.9542000000000002</v>
      </c>
      <c r="N14" s="17">
        <v>3.5482999999999998</v>
      </c>
      <c r="O14" s="17">
        <v>3.7404999999999999</v>
      </c>
      <c r="P14" s="17">
        <v>10.8574</v>
      </c>
      <c r="Q14" s="17">
        <v>3.9195000000000002</v>
      </c>
      <c r="R14" s="17">
        <v>5.2267999999999999</v>
      </c>
      <c r="S14" s="17">
        <v>5.1380999999999997</v>
      </c>
      <c r="T14" s="17">
        <v>2.6737000000000002</v>
      </c>
      <c r="U14" s="17">
        <v>4.7359</v>
      </c>
      <c r="V14" s="17">
        <v>3.0377999999999998</v>
      </c>
      <c r="W14" s="85">
        <v>3.7522000000000002</v>
      </c>
      <c r="X14" s="34">
        <v>6.9775</v>
      </c>
      <c r="Y14" s="17">
        <v>6.6181999999999999</v>
      </c>
      <c r="Z14" s="17">
        <v>5.0323000000000002</v>
      </c>
      <c r="AA14" s="17">
        <v>5.2184999999999997</v>
      </c>
      <c r="AB14" s="17">
        <v>8.4789999999999992</v>
      </c>
      <c r="AC14" s="17">
        <v>5.0552999999999999</v>
      </c>
      <c r="AD14" s="17">
        <v>8.6012000000000004</v>
      </c>
      <c r="AE14" s="17">
        <v>13.2637</v>
      </c>
      <c r="AF14" s="17">
        <v>3.6985000000000001</v>
      </c>
      <c r="AG14" s="17">
        <v>1.282</v>
      </c>
      <c r="AH14" s="17">
        <v>3.2208999999999999</v>
      </c>
      <c r="AI14" s="17">
        <v>0.57210000000000005</v>
      </c>
      <c r="AJ14" s="17">
        <v>3.9319000000000002</v>
      </c>
      <c r="AK14" s="17">
        <v>6.1481000000000003</v>
      </c>
      <c r="AL14" s="17">
        <v>5.3925000000000001</v>
      </c>
      <c r="AM14" s="17">
        <v>2.2128000000000001</v>
      </c>
      <c r="AN14" s="17">
        <v>8.4095999999999993</v>
      </c>
      <c r="AO14" s="17">
        <v>5.0618999999999996</v>
      </c>
      <c r="AP14" s="17">
        <v>5.0414000000000003</v>
      </c>
      <c r="AQ14" s="85">
        <v>6.5281000000000002</v>
      </c>
    </row>
    <row r="15" spans="1:43" x14ac:dyDescent="0.2">
      <c r="A15" s="34">
        <f t="shared" si="0"/>
        <v>3.6533961538461543</v>
      </c>
      <c r="B15" s="17">
        <v>99</v>
      </c>
      <c r="C15" s="17">
        <v>10</v>
      </c>
      <c r="D15" s="34">
        <v>6.6684999999999999</v>
      </c>
      <c r="E15" s="17">
        <v>1.9771000000000001</v>
      </c>
      <c r="F15" s="17">
        <v>6.7558999999999996</v>
      </c>
      <c r="G15" s="17">
        <v>4.2226999999999997</v>
      </c>
      <c r="H15" s="17">
        <v>0.71819999999999995</v>
      </c>
      <c r="I15" s="17">
        <v>5.8423999999999996</v>
      </c>
      <c r="J15" s="17">
        <v>2.8942999999999999</v>
      </c>
      <c r="K15" s="17">
        <v>2.9199000000000002</v>
      </c>
      <c r="L15" s="17">
        <v>2.4544999999999999</v>
      </c>
      <c r="M15" s="17">
        <v>0.15540000000000001</v>
      </c>
      <c r="N15" s="17">
        <v>1.5432999999999999</v>
      </c>
      <c r="O15" s="17">
        <v>1.7697000000000001</v>
      </c>
      <c r="P15" s="17">
        <v>0.93559999999999999</v>
      </c>
      <c r="Q15" s="17">
        <v>3.9836999999999998</v>
      </c>
      <c r="R15" s="17">
        <v>5.3903999999999996</v>
      </c>
      <c r="S15" s="17">
        <v>7.1238000000000001</v>
      </c>
      <c r="T15" s="17">
        <v>1.7001999999999999</v>
      </c>
      <c r="U15" s="17">
        <v>2.0535999999999999</v>
      </c>
      <c r="V15" s="17">
        <v>1.2624</v>
      </c>
      <c r="W15" s="85">
        <v>5.4463999999999997</v>
      </c>
      <c r="X15" s="34">
        <v>6.9203999999999999</v>
      </c>
      <c r="Y15" s="17">
        <v>10.520799999999999</v>
      </c>
      <c r="Z15" s="17">
        <v>3.9354</v>
      </c>
      <c r="AA15" s="17">
        <v>3.1778</v>
      </c>
      <c r="AB15" s="17">
        <v>1.9799</v>
      </c>
      <c r="AC15" s="17">
        <v>5.1760000000000002</v>
      </c>
      <c r="AD15" s="17">
        <v>4.1284999999999998</v>
      </c>
      <c r="AE15" s="17">
        <v>6.6562000000000001</v>
      </c>
      <c r="AF15" s="17">
        <v>2.6080000000000001</v>
      </c>
      <c r="AG15" s="17">
        <v>4.3452000000000002</v>
      </c>
      <c r="AH15" s="17">
        <v>3.1240000000000001</v>
      </c>
      <c r="AI15" s="17">
        <v>4.5157999999999996</v>
      </c>
      <c r="AJ15" s="17">
        <v>2.4925000000000002</v>
      </c>
      <c r="AK15" s="17">
        <v>8.2898999999999994</v>
      </c>
      <c r="AL15" s="17">
        <v>3.1764000000000001</v>
      </c>
      <c r="AM15" s="17">
        <v>5.4089</v>
      </c>
      <c r="AN15" s="17">
        <v>2.1818</v>
      </c>
      <c r="AO15" s="17">
        <v>5.0282</v>
      </c>
      <c r="AP15" s="17">
        <v>4.4942000000000002</v>
      </c>
      <c r="AQ15" s="85">
        <v>2.6246999999999998</v>
      </c>
    </row>
    <row r="16" spans="1:43" x14ac:dyDescent="0.2">
      <c r="A16" s="34">
        <f t="shared" si="0"/>
        <v>3.4024230769230779</v>
      </c>
      <c r="B16" s="17">
        <v>42</v>
      </c>
      <c r="C16" s="17">
        <v>11</v>
      </c>
      <c r="D16" s="34">
        <v>1.0986</v>
      </c>
      <c r="E16" s="17">
        <v>6.8841999999999999</v>
      </c>
      <c r="F16" s="17">
        <v>3.4521000000000002</v>
      </c>
      <c r="G16" s="17">
        <v>1.9952000000000001</v>
      </c>
      <c r="H16" s="17">
        <v>3.1474000000000002</v>
      </c>
      <c r="I16" s="17">
        <v>5.8516000000000004</v>
      </c>
      <c r="J16" s="17">
        <v>2.0501999999999998</v>
      </c>
      <c r="K16" s="17">
        <v>5.1071999999999997</v>
      </c>
      <c r="L16" s="17">
        <v>1.7753000000000001</v>
      </c>
      <c r="M16" s="17">
        <v>3.6052</v>
      </c>
      <c r="N16" s="17">
        <v>3.4948000000000001</v>
      </c>
      <c r="O16" s="17">
        <v>1.798</v>
      </c>
      <c r="P16" s="17">
        <v>0.53700000000000003</v>
      </c>
      <c r="Q16" s="17">
        <v>6.2577999999999996</v>
      </c>
      <c r="R16" s="17">
        <v>2.6956000000000002</v>
      </c>
      <c r="S16" s="17">
        <v>3.5204</v>
      </c>
      <c r="T16" s="17">
        <v>4.3033999999999999</v>
      </c>
      <c r="U16" s="17">
        <v>4.1692999999999998</v>
      </c>
      <c r="V16" s="17">
        <v>1.8246</v>
      </c>
      <c r="W16" s="85">
        <v>4.5469999999999997</v>
      </c>
      <c r="X16" s="34">
        <v>3.5177</v>
      </c>
      <c r="Y16" s="17">
        <v>1.6526000000000001</v>
      </c>
      <c r="Z16" s="17">
        <v>3.3780999999999999</v>
      </c>
      <c r="AA16" s="17">
        <v>2.3422000000000001</v>
      </c>
      <c r="AB16" s="17">
        <v>3.0093000000000001</v>
      </c>
      <c r="AC16" s="17">
        <v>5.2967000000000004</v>
      </c>
      <c r="AD16" s="17">
        <v>2.2501000000000002</v>
      </c>
      <c r="AE16" s="17">
        <v>4.3368000000000002</v>
      </c>
      <c r="AF16" s="17">
        <v>2.8408000000000002</v>
      </c>
      <c r="AG16" s="17">
        <v>1.9351</v>
      </c>
      <c r="AH16" s="17">
        <v>1.321</v>
      </c>
      <c r="AI16" s="17">
        <v>2.5165999999999999</v>
      </c>
      <c r="AJ16" s="17">
        <v>3.0160999999999998</v>
      </c>
      <c r="AK16" s="17">
        <v>2.2675000000000001</v>
      </c>
      <c r="AL16" s="17">
        <v>4.7515000000000001</v>
      </c>
      <c r="AM16" s="17">
        <v>5.12</v>
      </c>
      <c r="AN16" s="17">
        <v>4.7179000000000002</v>
      </c>
      <c r="AO16" s="17">
        <v>3.6417999999999999</v>
      </c>
      <c r="AP16" s="17">
        <v>2.5097</v>
      </c>
      <c r="AQ16" s="85">
        <v>5.7226999999999997</v>
      </c>
    </row>
    <row r="17" spans="1:43" x14ac:dyDescent="0.2">
      <c r="A17" s="34">
        <f t="shared" si="0"/>
        <v>4.9089307692307695</v>
      </c>
      <c r="B17" s="17">
        <v>46</v>
      </c>
      <c r="C17" s="17">
        <v>12</v>
      </c>
      <c r="D17" s="34">
        <v>6.4516999999999998</v>
      </c>
      <c r="E17" s="17">
        <v>4.9572000000000003</v>
      </c>
      <c r="F17" s="17">
        <v>4.8884999999999996</v>
      </c>
      <c r="G17" s="17">
        <v>3.4664999999999999</v>
      </c>
      <c r="H17" s="17">
        <v>3.3506</v>
      </c>
      <c r="I17" s="17">
        <v>5.8608000000000002</v>
      </c>
      <c r="J17" s="17">
        <v>5.9244000000000003</v>
      </c>
      <c r="K17" s="17">
        <v>9.9638000000000009</v>
      </c>
      <c r="L17" s="17">
        <v>7.7150999999999996</v>
      </c>
      <c r="M17" s="17">
        <v>4.6512000000000002</v>
      </c>
      <c r="N17" s="17">
        <v>2.6069</v>
      </c>
      <c r="O17" s="17">
        <v>4.6502999999999997</v>
      </c>
      <c r="P17" s="17">
        <v>2.7658</v>
      </c>
      <c r="Q17" s="17">
        <v>4.1121999999999996</v>
      </c>
      <c r="R17" s="17">
        <v>4.1201999999999996</v>
      </c>
      <c r="S17" s="17">
        <v>1.8708</v>
      </c>
      <c r="T17" s="17">
        <v>6.7731000000000003</v>
      </c>
      <c r="U17" s="17">
        <v>2.3664000000000001</v>
      </c>
      <c r="V17" s="17">
        <v>1.9634</v>
      </c>
      <c r="W17" s="85">
        <v>3.6972999999999998</v>
      </c>
      <c r="X17" s="34">
        <v>6.806</v>
      </c>
      <c r="Y17" s="17">
        <v>11.031700000000001</v>
      </c>
      <c r="Z17" s="17">
        <v>4.7319000000000004</v>
      </c>
      <c r="AA17" s="17">
        <v>6.3205</v>
      </c>
      <c r="AB17" s="17">
        <v>3.5066999999999999</v>
      </c>
      <c r="AC17" s="17">
        <v>5.4173999999999998</v>
      </c>
      <c r="AD17" s="17">
        <v>4.1135000000000002</v>
      </c>
      <c r="AE17" s="17">
        <v>15.148400000000001</v>
      </c>
      <c r="AF17" s="17">
        <v>0.76490000000000002</v>
      </c>
      <c r="AG17" s="17">
        <v>13.212</v>
      </c>
      <c r="AH17" s="17">
        <v>1.3027</v>
      </c>
      <c r="AI17" s="17">
        <v>2.1212</v>
      </c>
      <c r="AJ17" s="17">
        <v>3.7582</v>
      </c>
      <c r="AK17" s="17">
        <v>5.6085000000000003</v>
      </c>
      <c r="AL17" s="17">
        <v>4.3861999999999997</v>
      </c>
      <c r="AM17" s="17">
        <v>5.2221000000000002</v>
      </c>
      <c r="AN17" s="17">
        <v>3.9777</v>
      </c>
      <c r="AO17" s="17">
        <v>6.1013000000000002</v>
      </c>
      <c r="AP17" s="17">
        <v>7.4846000000000004</v>
      </c>
      <c r="AQ17" s="85">
        <v>4.452</v>
      </c>
    </row>
    <row r="18" spans="1:43" x14ac:dyDescent="0.2">
      <c r="A18" s="34">
        <f t="shared" si="0"/>
        <v>5.6335846153846161</v>
      </c>
      <c r="B18" s="17">
        <v>47</v>
      </c>
      <c r="C18" s="17">
        <v>13</v>
      </c>
      <c r="D18" s="34">
        <v>6.8235000000000001</v>
      </c>
      <c r="E18" s="17">
        <v>18.6905</v>
      </c>
      <c r="F18" s="17">
        <v>0.753</v>
      </c>
      <c r="G18" s="17">
        <v>4.7042999999999999</v>
      </c>
      <c r="H18" s="17">
        <v>3.4159999999999999</v>
      </c>
      <c r="I18" s="17">
        <v>6.8057999999999996</v>
      </c>
      <c r="J18" s="17">
        <v>8.5380000000000003</v>
      </c>
      <c r="K18" s="17">
        <v>2.2078000000000002</v>
      </c>
      <c r="L18" s="17">
        <v>3.5478999999999998</v>
      </c>
      <c r="M18" s="17">
        <v>1.2714000000000001</v>
      </c>
      <c r="N18" s="17">
        <v>4.3201000000000001</v>
      </c>
      <c r="O18" s="17">
        <v>3.8660999999999999</v>
      </c>
      <c r="P18" s="17">
        <v>3.4106999999999998</v>
      </c>
      <c r="Q18" s="17">
        <v>0.44440000000000002</v>
      </c>
      <c r="R18" s="17">
        <v>5.9084000000000003</v>
      </c>
      <c r="S18" s="17">
        <v>4.1123000000000003</v>
      </c>
      <c r="T18" s="17">
        <v>3.2785000000000002</v>
      </c>
      <c r="U18" s="17">
        <v>3.3298000000000001</v>
      </c>
      <c r="V18" s="17">
        <v>3.1208</v>
      </c>
      <c r="W18" s="85">
        <v>5.5357000000000003</v>
      </c>
      <c r="X18" s="34">
        <v>17.899799999999999</v>
      </c>
      <c r="Y18" s="17">
        <v>15.693300000000001</v>
      </c>
      <c r="Z18" s="17">
        <v>3.3321999999999998</v>
      </c>
      <c r="AA18" s="17">
        <v>7.7503000000000002</v>
      </c>
      <c r="AB18" s="17">
        <v>1.1256999999999999</v>
      </c>
      <c r="AC18" s="17">
        <v>10.3809</v>
      </c>
      <c r="AD18" s="17">
        <v>3.0295000000000001</v>
      </c>
      <c r="AE18" s="17">
        <v>9.6705000000000005</v>
      </c>
      <c r="AF18" s="17">
        <v>3.1852999999999998</v>
      </c>
      <c r="AG18" s="17">
        <v>5.5163000000000002</v>
      </c>
      <c r="AH18" s="17">
        <v>3.9207999999999998</v>
      </c>
      <c r="AI18" s="17">
        <v>4.7991000000000001</v>
      </c>
      <c r="AJ18" s="17">
        <v>12.6356</v>
      </c>
      <c r="AK18" s="17">
        <v>6.9950000000000001</v>
      </c>
      <c r="AL18" s="17">
        <v>9.2251999999999992</v>
      </c>
      <c r="AM18" s="17">
        <v>5.2693000000000003</v>
      </c>
      <c r="AN18" s="17">
        <v>6.3338000000000001</v>
      </c>
      <c r="AO18" s="17">
        <v>4.7968999999999999</v>
      </c>
      <c r="AP18" s="17">
        <v>13.346399999999999</v>
      </c>
      <c r="AQ18" s="85">
        <v>3.7311000000000001</v>
      </c>
    </row>
    <row r="19" spans="1:43" x14ac:dyDescent="0.2">
      <c r="A19" s="34">
        <f t="shared" si="0"/>
        <v>5.7494115384615387</v>
      </c>
      <c r="B19" s="17">
        <v>50</v>
      </c>
      <c r="C19" s="17">
        <v>14</v>
      </c>
      <c r="D19" s="34">
        <v>9.6599000000000004</v>
      </c>
      <c r="E19" s="17">
        <v>3.6717</v>
      </c>
      <c r="F19" s="17">
        <v>5.4428999999999998</v>
      </c>
      <c r="G19" s="17">
        <v>5.4488000000000003</v>
      </c>
      <c r="H19" s="17">
        <v>2.9779</v>
      </c>
      <c r="I19" s="17">
        <v>11.372199999999999</v>
      </c>
      <c r="J19" s="17">
        <v>3.5737999999999999</v>
      </c>
      <c r="K19" s="17">
        <v>8.1746999999999996</v>
      </c>
      <c r="L19" s="17">
        <v>1.6549</v>
      </c>
      <c r="M19" s="17">
        <v>7.7225000000000001</v>
      </c>
      <c r="N19" s="17">
        <v>6.8421000000000003</v>
      </c>
      <c r="O19" s="17">
        <v>5.6401000000000003</v>
      </c>
      <c r="P19" s="17">
        <v>2.597</v>
      </c>
      <c r="Q19" s="17">
        <v>3.5789</v>
      </c>
      <c r="R19" s="17">
        <v>4.8715000000000002</v>
      </c>
      <c r="S19" s="17">
        <v>14.467499999999999</v>
      </c>
      <c r="T19" s="17">
        <v>2.5238</v>
      </c>
      <c r="U19" s="17">
        <v>8.2885000000000009</v>
      </c>
      <c r="V19" s="17">
        <v>2.3936999999999999</v>
      </c>
      <c r="W19" s="85">
        <v>3.9232999999999998</v>
      </c>
      <c r="X19" s="34">
        <v>5.7607999999999997</v>
      </c>
      <c r="Y19" s="17">
        <v>10.241899999999999</v>
      </c>
      <c r="Z19" s="17">
        <v>3.7149000000000001</v>
      </c>
      <c r="AA19" s="17">
        <v>4.2576000000000001</v>
      </c>
      <c r="AB19" s="17">
        <v>6.1548999999999996</v>
      </c>
      <c r="AC19" s="17">
        <v>7.9042000000000003</v>
      </c>
      <c r="AD19" s="17">
        <v>6.2846000000000002</v>
      </c>
      <c r="AE19" s="17">
        <v>0.52749999999999997</v>
      </c>
      <c r="AF19" s="17">
        <v>2.9609999999999999</v>
      </c>
      <c r="AG19" s="17">
        <v>2.3163999999999998</v>
      </c>
      <c r="AH19" s="17">
        <v>6.3265000000000002</v>
      </c>
      <c r="AI19" s="17">
        <v>4.3887999999999998</v>
      </c>
      <c r="AJ19" s="17">
        <v>8.1920999999999999</v>
      </c>
      <c r="AK19" s="17">
        <v>7.7827999999999999</v>
      </c>
      <c r="AL19" s="17">
        <v>3.8757999999999999</v>
      </c>
      <c r="AM19" s="17">
        <v>4.4641000000000002</v>
      </c>
      <c r="AN19" s="17">
        <v>5.3524000000000003</v>
      </c>
      <c r="AO19" s="17">
        <v>8.0777000000000001</v>
      </c>
      <c r="AP19" s="17">
        <v>5.1409000000000002</v>
      </c>
      <c r="AQ19" s="85">
        <v>6.1776</v>
      </c>
    </row>
    <row r="20" spans="1:43" x14ac:dyDescent="0.2">
      <c r="A20" s="34">
        <f t="shared" si="0"/>
        <v>4.4910961538461542</v>
      </c>
      <c r="B20" s="17">
        <v>52</v>
      </c>
      <c r="C20" s="17">
        <v>15</v>
      </c>
      <c r="D20" s="34">
        <v>3.5354999999999999</v>
      </c>
      <c r="E20" s="17">
        <v>2.1928000000000001</v>
      </c>
      <c r="F20" s="17">
        <v>3.4876</v>
      </c>
      <c r="G20" s="17">
        <v>2.2113999999999998</v>
      </c>
      <c r="H20" s="17">
        <v>3.0204</v>
      </c>
      <c r="I20" s="17">
        <v>8.4944000000000006</v>
      </c>
      <c r="J20" s="17">
        <v>4.7655000000000003</v>
      </c>
      <c r="K20" s="17">
        <v>3.8411</v>
      </c>
      <c r="L20" s="17">
        <v>1.577</v>
      </c>
      <c r="M20" s="17">
        <v>5.0894000000000004</v>
      </c>
      <c r="N20" s="17">
        <v>6.8120000000000003</v>
      </c>
      <c r="O20" s="17">
        <v>3.7839</v>
      </c>
      <c r="P20" s="17">
        <v>5.6342999999999996</v>
      </c>
      <c r="Q20" s="17">
        <v>3.1044999999999998</v>
      </c>
      <c r="R20" s="17">
        <v>6.6824000000000003</v>
      </c>
      <c r="S20" s="17">
        <v>2.8681999999999999</v>
      </c>
      <c r="T20" s="17">
        <v>3.266</v>
      </c>
      <c r="U20" s="17">
        <v>4.0437000000000003</v>
      </c>
      <c r="V20" s="17">
        <v>0.86850000000000005</v>
      </c>
      <c r="W20" s="85">
        <v>4.6875999999999998</v>
      </c>
      <c r="X20" s="34">
        <v>18.175899999999999</v>
      </c>
      <c r="Y20" s="17">
        <v>2.5131000000000001</v>
      </c>
      <c r="Z20" s="17">
        <v>1.9467000000000001</v>
      </c>
      <c r="AA20" s="17">
        <v>5.6490999999999998</v>
      </c>
      <c r="AB20" s="17">
        <v>2.6240999999999999</v>
      </c>
      <c r="AC20" s="17">
        <v>4.8575999999999997</v>
      </c>
      <c r="AD20" s="17">
        <v>4.5712999999999999</v>
      </c>
      <c r="AE20" s="17">
        <v>12.561999999999999</v>
      </c>
      <c r="AF20" s="17">
        <v>5.0537999999999998</v>
      </c>
      <c r="AG20" s="17">
        <v>0.54879999999999995</v>
      </c>
      <c r="AH20" s="17">
        <v>2.7787999999999999</v>
      </c>
      <c r="AI20" s="17">
        <v>2.5716000000000001</v>
      </c>
      <c r="AJ20" s="17">
        <v>2.8435000000000001</v>
      </c>
      <c r="AK20" s="17">
        <v>2.5194000000000001</v>
      </c>
      <c r="AL20" s="17">
        <v>6.5746000000000002</v>
      </c>
      <c r="AM20" s="17">
        <v>4.4471999999999996</v>
      </c>
      <c r="AN20" s="17">
        <v>4.3143000000000002</v>
      </c>
      <c r="AO20" s="17">
        <v>3.3426</v>
      </c>
      <c r="AP20" s="17">
        <v>1.3795999999999999</v>
      </c>
      <c r="AQ20" s="85">
        <v>3.7048999999999999</v>
      </c>
    </row>
    <row r="21" spans="1:43" x14ac:dyDescent="0.2">
      <c r="A21" s="34">
        <f t="shared" si="0"/>
        <v>3.76331923076923</v>
      </c>
      <c r="B21" s="17">
        <v>54</v>
      </c>
      <c r="C21" s="17">
        <v>16</v>
      </c>
      <c r="D21" s="34">
        <v>3.8906999999999998</v>
      </c>
      <c r="E21" s="17">
        <v>3.8283999999999998</v>
      </c>
      <c r="F21" s="17">
        <v>2.6318000000000001</v>
      </c>
      <c r="G21" s="17">
        <v>1.1503000000000001</v>
      </c>
      <c r="H21" s="17">
        <v>4.7523999999999997</v>
      </c>
      <c r="I21" s="17">
        <v>2.3355999999999999</v>
      </c>
      <c r="J21" s="17">
        <v>3.0333000000000001</v>
      </c>
      <c r="K21" s="17">
        <v>5.5414000000000003</v>
      </c>
      <c r="L21" s="17">
        <v>5.2676999999999996</v>
      </c>
      <c r="M21" s="17">
        <v>0.59470000000000001</v>
      </c>
      <c r="N21" s="17">
        <v>2.9763000000000002</v>
      </c>
      <c r="O21" s="17">
        <v>5.2519999999999998</v>
      </c>
      <c r="P21" s="17">
        <v>3.2944</v>
      </c>
      <c r="Q21" s="17">
        <v>4.2401</v>
      </c>
      <c r="R21" s="17">
        <v>1.4077999999999999</v>
      </c>
      <c r="S21" s="17">
        <v>3.0478999999999998</v>
      </c>
      <c r="T21" s="17">
        <v>2.8837000000000002</v>
      </c>
      <c r="U21" s="17">
        <v>3.3125</v>
      </c>
      <c r="V21" s="17">
        <v>7.5644</v>
      </c>
      <c r="W21" s="85">
        <v>3.2294</v>
      </c>
      <c r="X21" s="34">
        <v>3.3704999999999998</v>
      </c>
      <c r="Y21" s="17">
        <v>6.2504999999999997</v>
      </c>
      <c r="Z21" s="17">
        <v>3.0526</v>
      </c>
      <c r="AA21" s="17">
        <v>4.7015000000000002</v>
      </c>
      <c r="AB21" s="17">
        <v>3.4051999999999998</v>
      </c>
      <c r="AC21" s="17">
        <v>5.9001999999999999</v>
      </c>
      <c r="AD21" s="17">
        <v>4.8216999999999999</v>
      </c>
      <c r="AE21" s="17">
        <v>5.7821999999999996</v>
      </c>
      <c r="AF21" s="17">
        <v>3.1522999999999999</v>
      </c>
      <c r="AG21" s="17">
        <v>1.8898999999999999</v>
      </c>
      <c r="AH21" s="17">
        <v>4.9806999999999997</v>
      </c>
      <c r="AI21" s="17">
        <v>3.6819000000000002</v>
      </c>
      <c r="AJ21" s="17">
        <v>4.0175000000000001</v>
      </c>
      <c r="AK21" s="17">
        <v>5.6393000000000004</v>
      </c>
      <c r="AL21" s="17">
        <v>4.4577</v>
      </c>
      <c r="AM21" s="17">
        <v>5.5678000000000001</v>
      </c>
      <c r="AN21" s="17">
        <v>2.3071999999999999</v>
      </c>
      <c r="AO21" s="17">
        <v>3.6602999999999999</v>
      </c>
      <c r="AP21" s="17">
        <v>1.8759999999999999</v>
      </c>
      <c r="AQ21" s="85">
        <v>2.5274999999999999</v>
      </c>
    </row>
    <row r="22" spans="1:43" x14ac:dyDescent="0.2">
      <c r="A22" s="34">
        <f t="shared" si="0"/>
        <v>5.0202923076923076</v>
      </c>
      <c r="B22" s="17">
        <v>56</v>
      </c>
      <c r="C22" s="17">
        <v>17</v>
      </c>
      <c r="D22" s="34">
        <v>5.9097999999999997</v>
      </c>
      <c r="E22" s="17">
        <v>10.283799999999999</v>
      </c>
      <c r="F22" s="17">
        <v>7.1772</v>
      </c>
      <c r="G22" s="17">
        <v>2.2949000000000002</v>
      </c>
      <c r="H22" s="17">
        <v>5.5598000000000001</v>
      </c>
      <c r="I22" s="17">
        <v>5.9066999999999998</v>
      </c>
      <c r="J22" s="17">
        <v>6.7497999999999996</v>
      </c>
      <c r="K22" s="17">
        <v>1.1334</v>
      </c>
      <c r="L22" s="17">
        <v>0.51470000000000005</v>
      </c>
      <c r="M22" s="17">
        <v>3.4531000000000001</v>
      </c>
      <c r="N22" s="17">
        <v>3.5154999999999998</v>
      </c>
      <c r="O22" s="17">
        <v>1.3758999999999999</v>
      </c>
      <c r="P22" s="17">
        <v>2.7810000000000001</v>
      </c>
      <c r="Q22" s="17">
        <v>4.4335000000000004</v>
      </c>
      <c r="R22" s="17">
        <v>2.6497999999999999</v>
      </c>
      <c r="S22" s="17">
        <v>7.7465000000000002</v>
      </c>
      <c r="T22" s="17">
        <v>2.2589999999999999</v>
      </c>
      <c r="U22" s="17">
        <v>4.9368999999999996</v>
      </c>
      <c r="V22" s="17">
        <v>3.6023000000000001</v>
      </c>
      <c r="W22" s="85">
        <v>4.0259</v>
      </c>
      <c r="X22" s="34">
        <v>6.5202</v>
      </c>
      <c r="Y22" s="17">
        <v>12.208600000000001</v>
      </c>
      <c r="Z22" s="17">
        <v>7.9326999999999996</v>
      </c>
      <c r="AA22" s="17">
        <v>6.1782000000000004</v>
      </c>
      <c r="AB22" s="17">
        <v>4.1340000000000003</v>
      </c>
      <c r="AC22" s="17">
        <v>6.0209999999999999</v>
      </c>
      <c r="AD22" s="17">
        <v>7.1332000000000004</v>
      </c>
      <c r="AE22" s="17">
        <v>4.1492000000000004</v>
      </c>
      <c r="AF22" s="17">
        <v>1.2750999999999999</v>
      </c>
      <c r="AG22" s="17">
        <v>3.6457000000000002</v>
      </c>
      <c r="AH22" s="17">
        <v>3.6545000000000001</v>
      </c>
      <c r="AI22" s="17">
        <v>6.7282999999999999</v>
      </c>
      <c r="AJ22" s="17">
        <v>3.9651999999999998</v>
      </c>
      <c r="AK22" s="17">
        <v>5.6470000000000002</v>
      </c>
      <c r="AL22" s="17">
        <v>13.738099999999999</v>
      </c>
      <c r="AM22" s="17">
        <v>4.0076999999999998</v>
      </c>
      <c r="AN22" s="17">
        <v>2.3694000000000002</v>
      </c>
      <c r="AO22" s="17">
        <v>9.9648000000000003</v>
      </c>
      <c r="AP22" s="17">
        <v>5.2005999999999997</v>
      </c>
      <c r="AQ22" s="85">
        <v>1.0003</v>
      </c>
    </row>
    <row r="23" spans="1:43" x14ac:dyDescent="0.2">
      <c r="A23" s="34">
        <f t="shared" si="0"/>
        <v>5.9415192307692326</v>
      </c>
      <c r="B23" s="17">
        <v>58</v>
      </c>
      <c r="C23" s="17">
        <v>18</v>
      </c>
      <c r="D23" s="34">
        <v>8.3081999999999994</v>
      </c>
      <c r="E23" s="17">
        <v>3.06</v>
      </c>
      <c r="F23" s="17">
        <v>6.1528999999999998</v>
      </c>
      <c r="G23" s="17">
        <v>7.3011999999999997</v>
      </c>
      <c r="H23" s="17">
        <v>2.3972000000000002</v>
      </c>
      <c r="I23" s="17">
        <v>20.877700000000001</v>
      </c>
      <c r="J23" s="17">
        <v>2.1126999999999998</v>
      </c>
      <c r="K23" s="17">
        <v>4.1356999999999999</v>
      </c>
      <c r="L23" s="17">
        <v>2.5348000000000002</v>
      </c>
      <c r="M23" s="17">
        <v>0.89129999999999998</v>
      </c>
      <c r="N23" s="17">
        <v>4.9981999999999998</v>
      </c>
      <c r="O23" s="17">
        <v>10.158200000000001</v>
      </c>
      <c r="P23" s="17">
        <v>1.6586000000000001</v>
      </c>
      <c r="Q23" s="17">
        <v>8.7523</v>
      </c>
      <c r="R23" s="17">
        <v>8.1472999999999995</v>
      </c>
      <c r="S23" s="17">
        <v>9.7414000000000005</v>
      </c>
      <c r="T23" s="17">
        <v>3.8773</v>
      </c>
      <c r="U23" s="17">
        <v>17.152799999999999</v>
      </c>
      <c r="V23" s="17">
        <v>7.2611999999999997</v>
      </c>
      <c r="W23" s="85">
        <v>8.3465000000000007</v>
      </c>
      <c r="X23" s="34">
        <v>5.6894999999999998</v>
      </c>
      <c r="Y23" s="17">
        <v>3.2263999999999999</v>
      </c>
      <c r="Z23" s="17">
        <v>4.9153000000000002</v>
      </c>
      <c r="AA23" s="17">
        <v>5.1623000000000001</v>
      </c>
      <c r="AB23" s="17">
        <v>1.71</v>
      </c>
      <c r="AC23" s="17">
        <v>3.7185000000000001</v>
      </c>
      <c r="AD23" s="17">
        <v>0.50019999999999998</v>
      </c>
      <c r="AE23" s="17">
        <v>10.143000000000001</v>
      </c>
      <c r="AF23" s="17">
        <v>2.6974999999999998</v>
      </c>
      <c r="AG23" s="17">
        <v>4.8559000000000001</v>
      </c>
      <c r="AH23" s="17">
        <v>3.7086999999999999</v>
      </c>
      <c r="AI23" s="17">
        <v>4.5115999999999996</v>
      </c>
      <c r="AJ23" s="17">
        <v>3.9129</v>
      </c>
      <c r="AK23" s="17">
        <v>13.0733</v>
      </c>
      <c r="AL23" s="17">
        <v>3.1844000000000001</v>
      </c>
      <c r="AM23" s="17">
        <v>6.5433000000000003</v>
      </c>
      <c r="AN23" s="17">
        <v>1.5670999999999999</v>
      </c>
      <c r="AO23" s="17">
        <v>1.5860000000000001</v>
      </c>
      <c r="AP23" s="17">
        <v>7.6818</v>
      </c>
      <c r="AQ23" s="85">
        <v>5.9246999999999996</v>
      </c>
    </row>
    <row r="24" spans="1:43" x14ac:dyDescent="0.2">
      <c r="A24" s="34">
        <f t="shared" si="0"/>
        <v>2.7006115384615388</v>
      </c>
      <c r="B24" s="17">
        <v>59</v>
      </c>
      <c r="C24" s="17">
        <v>19</v>
      </c>
      <c r="D24" s="34">
        <v>5.6929999999999996</v>
      </c>
      <c r="E24" s="17">
        <v>3.6511999999999998</v>
      </c>
      <c r="F24" s="17">
        <v>5.3628</v>
      </c>
      <c r="G24" s="17">
        <v>1.6467000000000001</v>
      </c>
      <c r="H24" s="17">
        <v>1.0310999999999999</v>
      </c>
      <c r="I24" s="17">
        <v>2.7309999999999999</v>
      </c>
      <c r="J24" s="17">
        <v>1.9198999999999999</v>
      </c>
      <c r="K24" s="17">
        <v>4.7526999999999999</v>
      </c>
      <c r="L24" s="17">
        <v>3.3243</v>
      </c>
      <c r="M24" s="17">
        <v>0.75639999999999996</v>
      </c>
      <c r="N24" s="17">
        <v>1.4076</v>
      </c>
      <c r="O24" s="17">
        <v>4.3406000000000002</v>
      </c>
      <c r="P24" s="17">
        <v>3.0388000000000002</v>
      </c>
      <c r="Q24" s="17">
        <v>4.5621</v>
      </c>
      <c r="R24" s="17">
        <v>4.2454999999999998</v>
      </c>
      <c r="S24" s="17">
        <v>2.6839</v>
      </c>
      <c r="T24" s="17">
        <v>2.1406000000000001</v>
      </c>
      <c r="U24" s="17">
        <v>4.9871999999999996</v>
      </c>
      <c r="V24" s="17">
        <v>1.712</v>
      </c>
      <c r="W24" s="85">
        <v>1.5584</v>
      </c>
      <c r="X24" s="34">
        <v>0.63680000000000003</v>
      </c>
      <c r="Y24" s="17">
        <v>3.3127</v>
      </c>
      <c r="Z24" s="17">
        <v>1.9109</v>
      </c>
      <c r="AA24" s="17">
        <v>1.9166000000000001</v>
      </c>
      <c r="AB24" s="17">
        <v>1.9224000000000001</v>
      </c>
      <c r="AC24" s="17">
        <v>1.5425</v>
      </c>
      <c r="AD24" s="17">
        <v>3.1212</v>
      </c>
      <c r="AE24" s="17">
        <v>5.2676999999999996</v>
      </c>
      <c r="AF24" s="17">
        <v>3.0823999999999998</v>
      </c>
      <c r="AG24" s="17">
        <v>4.8722000000000003</v>
      </c>
      <c r="AH24" s="17">
        <v>2.3925000000000001</v>
      </c>
      <c r="AI24" s="17">
        <v>4.4866999999999999</v>
      </c>
      <c r="AJ24" s="17">
        <v>0.71299999999999997</v>
      </c>
      <c r="AK24" s="17">
        <v>2.1404000000000001</v>
      </c>
      <c r="AL24" s="17">
        <v>5.4146000000000001</v>
      </c>
      <c r="AM24" s="17">
        <v>2.8553999999999999</v>
      </c>
      <c r="AN24" s="17">
        <v>5.2918000000000003</v>
      </c>
      <c r="AO24" s="17">
        <v>4.7248999999999999</v>
      </c>
      <c r="AP24" s="17">
        <v>5.2404000000000002</v>
      </c>
      <c r="AQ24" s="85">
        <v>3.9173</v>
      </c>
    </row>
    <row r="25" spans="1:43" x14ac:dyDescent="0.2">
      <c r="A25" s="34">
        <f t="shared" si="0"/>
        <v>3.8581961538461544</v>
      </c>
      <c r="B25" s="17">
        <v>61</v>
      </c>
      <c r="C25" s="17">
        <v>20</v>
      </c>
      <c r="D25" s="34">
        <v>3.3868</v>
      </c>
      <c r="E25" s="17">
        <v>2.6113</v>
      </c>
      <c r="F25" s="17">
        <v>6.8710000000000004</v>
      </c>
      <c r="G25" s="17">
        <v>3.8609</v>
      </c>
      <c r="H25" s="17">
        <v>0.70279999999999998</v>
      </c>
      <c r="I25" s="17">
        <v>7.6349</v>
      </c>
      <c r="J25" s="17">
        <v>3.4232999999999998</v>
      </c>
      <c r="K25" s="17">
        <v>2.0733999999999999</v>
      </c>
      <c r="L25" s="17">
        <v>4.2819000000000003</v>
      </c>
      <c r="M25" s="17">
        <v>0.1552</v>
      </c>
      <c r="N25" s="17">
        <v>4.1001000000000003</v>
      </c>
      <c r="O25" s="17">
        <v>0.35599999999999998</v>
      </c>
      <c r="P25" s="17">
        <v>3.7025000000000001</v>
      </c>
      <c r="Q25" s="17">
        <v>8.5327000000000002</v>
      </c>
      <c r="R25" s="17">
        <v>6.5952000000000002</v>
      </c>
      <c r="S25" s="17">
        <v>3.0829</v>
      </c>
      <c r="T25" s="17">
        <v>2.3468</v>
      </c>
      <c r="U25" s="17">
        <v>5.0122999999999998</v>
      </c>
      <c r="V25" s="17">
        <v>2.3660000000000001</v>
      </c>
      <c r="W25" s="85">
        <v>3.1265999999999998</v>
      </c>
      <c r="X25" s="34">
        <v>4.9946000000000002</v>
      </c>
      <c r="Y25" s="17">
        <v>5.5031999999999996</v>
      </c>
      <c r="Z25" s="17">
        <v>7.4109999999999996</v>
      </c>
      <c r="AA25" s="17">
        <v>2.0297999999999998</v>
      </c>
      <c r="AB25" s="17">
        <v>3.2122999999999999</v>
      </c>
      <c r="AC25" s="17">
        <v>3.1135999999999999</v>
      </c>
      <c r="AD25" s="17">
        <v>3.2128000000000001</v>
      </c>
      <c r="AE25" s="17">
        <v>5.7986000000000004</v>
      </c>
      <c r="AF25" s="17">
        <v>3.0590999999999999</v>
      </c>
      <c r="AG25" s="17">
        <v>8.1789000000000005</v>
      </c>
      <c r="AH25" s="17">
        <v>7.2990000000000004</v>
      </c>
      <c r="AI25" s="17">
        <v>3.1440000000000001</v>
      </c>
      <c r="AJ25" s="17">
        <v>0.4294</v>
      </c>
      <c r="AK25" s="17">
        <v>2.7722000000000002</v>
      </c>
      <c r="AL25" s="17">
        <v>8.3244000000000007</v>
      </c>
      <c r="AM25" s="17">
        <v>5.9134000000000002</v>
      </c>
      <c r="AN25" s="17">
        <v>4.0347</v>
      </c>
      <c r="AO25" s="17">
        <v>4.6912000000000003</v>
      </c>
      <c r="AP25" s="17">
        <v>3.9701</v>
      </c>
      <c r="AQ25" s="85">
        <v>3.9738000000000002</v>
      </c>
    </row>
    <row r="26" spans="1:43" x14ac:dyDescent="0.2">
      <c r="A26" s="34">
        <f t="shared" si="0"/>
        <v>4.2184769230769241</v>
      </c>
      <c r="B26" s="17">
        <v>63</v>
      </c>
      <c r="C26" s="17">
        <v>21</v>
      </c>
      <c r="D26" s="34">
        <v>5.4762000000000004</v>
      </c>
      <c r="E26" s="17">
        <v>6.4062000000000001</v>
      </c>
      <c r="F26" s="17">
        <v>5.8902000000000001</v>
      </c>
      <c r="G26" s="17">
        <v>1.6045</v>
      </c>
      <c r="H26" s="17">
        <v>0.84909999999999997</v>
      </c>
      <c r="I26" s="17">
        <v>6.7733999999999996</v>
      </c>
      <c r="J26" s="17">
        <v>1.9702999999999999</v>
      </c>
      <c r="K26" s="17">
        <v>3.0979000000000001</v>
      </c>
      <c r="L26" s="17">
        <v>0.29749999999999999</v>
      </c>
      <c r="M26" s="17">
        <v>0.8004</v>
      </c>
      <c r="N26" s="17">
        <v>1.0712999999999999</v>
      </c>
      <c r="O26" s="17">
        <v>6.3947000000000003</v>
      </c>
      <c r="P26" s="17">
        <v>1.3045</v>
      </c>
      <c r="Q26" s="17">
        <v>3.0305</v>
      </c>
      <c r="R26" s="17">
        <v>4.3739999999999997</v>
      </c>
      <c r="S26" s="17">
        <v>5.9233000000000002</v>
      </c>
      <c r="T26" s="17">
        <v>12.11</v>
      </c>
      <c r="U26" s="17">
        <v>4.1451000000000002</v>
      </c>
      <c r="V26" s="17">
        <v>0.1046</v>
      </c>
      <c r="W26" s="85">
        <v>8.6121999999999996</v>
      </c>
      <c r="X26" s="34">
        <v>8.8694000000000006</v>
      </c>
      <c r="Y26" s="17">
        <v>5.6353</v>
      </c>
      <c r="Z26" s="17">
        <v>1.8748</v>
      </c>
      <c r="AA26" s="17">
        <v>3.3618000000000001</v>
      </c>
      <c r="AB26" s="17">
        <v>4.5045000000000002</v>
      </c>
      <c r="AC26" s="17">
        <v>1.5128999999999999</v>
      </c>
      <c r="AD26" s="17">
        <v>9.1620000000000008</v>
      </c>
      <c r="AE26" s="17">
        <v>4.5389999999999997</v>
      </c>
      <c r="AF26" s="17">
        <v>1.6556999999999999</v>
      </c>
      <c r="AG26" s="17">
        <v>5.3948</v>
      </c>
      <c r="AH26" s="17">
        <v>6.0827</v>
      </c>
      <c r="AI26" s="17">
        <v>6.0069999999999997</v>
      </c>
      <c r="AJ26" s="17">
        <v>3.7559999999999998</v>
      </c>
      <c r="AK26" s="17">
        <v>10.395099999999999</v>
      </c>
      <c r="AL26" s="17">
        <v>8.9979999999999993</v>
      </c>
      <c r="AM26" s="17">
        <v>5.1767000000000003</v>
      </c>
      <c r="AN26" s="17">
        <v>7.7202000000000002</v>
      </c>
      <c r="AO26" s="17">
        <v>4.6574999999999998</v>
      </c>
      <c r="AP26" s="17">
        <v>1.4729000000000001</v>
      </c>
      <c r="AQ26" s="85">
        <v>2.5627</v>
      </c>
    </row>
    <row r="27" spans="1:43" x14ac:dyDescent="0.2">
      <c r="A27" s="34">
        <f t="shared" si="0"/>
        <v>4.2669461538461544</v>
      </c>
      <c r="B27" s="17">
        <v>65</v>
      </c>
      <c r="C27" s="17">
        <v>22</v>
      </c>
      <c r="D27" s="34">
        <v>9.6897000000000002</v>
      </c>
      <c r="E27" s="17">
        <v>3.1850000000000001</v>
      </c>
      <c r="F27" s="17">
        <v>2.9247999999999998</v>
      </c>
      <c r="G27" s="17">
        <v>1.6514</v>
      </c>
      <c r="H27" s="17">
        <v>7.3048000000000002</v>
      </c>
      <c r="I27" s="17">
        <v>5.9526000000000003</v>
      </c>
      <c r="J27" s="17">
        <v>1.6388</v>
      </c>
      <c r="K27" s="17">
        <v>1.8342000000000001</v>
      </c>
      <c r="L27" s="17">
        <v>5.0876000000000001</v>
      </c>
      <c r="M27" s="17">
        <v>4.6788999999999996</v>
      </c>
      <c r="N27" s="17">
        <v>5.8169000000000004</v>
      </c>
      <c r="O27" s="17">
        <v>5.7969999999999997</v>
      </c>
      <c r="P27" s="17">
        <v>0.50609999999999999</v>
      </c>
      <c r="Q27" s="17">
        <v>7.5004</v>
      </c>
      <c r="R27" s="17">
        <v>4.3029000000000002</v>
      </c>
      <c r="S27" s="17">
        <v>7.7572000000000001</v>
      </c>
      <c r="T27" s="17">
        <v>0.69199999999999995</v>
      </c>
      <c r="U27" s="17">
        <v>7.5359999999999996</v>
      </c>
      <c r="V27" s="17">
        <v>2.0004</v>
      </c>
      <c r="W27" s="85">
        <v>9.1265999999999998</v>
      </c>
      <c r="X27" s="34">
        <v>6.2343000000000002</v>
      </c>
      <c r="Y27" s="17">
        <v>3.3571</v>
      </c>
      <c r="Z27" s="17">
        <v>3.7307000000000001</v>
      </c>
      <c r="AA27" s="17">
        <v>2.1038999999999999</v>
      </c>
      <c r="AB27" s="17">
        <v>1.6095999999999999</v>
      </c>
      <c r="AC27" s="17">
        <v>6.6245000000000003</v>
      </c>
      <c r="AD27" s="17">
        <v>1.9869000000000001</v>
      </c>
      <c r="AE27" s="17">
        <v>1.4470000000000001</v>
      </c>
      <c r="AF27" s="17">
        <v>3.0125000000000002</v>
      </c>
      <c r="AG27" s="17">
        <v>2.7865000000000002</v>
      </c>
      <c r="AH27" s="17">
        <v>8.0725999999999996</v>
      </c>
      <c r="AI27" s="17">
        <v>3.5211999999999999</v>
      </c>
      <c r="AJ27" s="17">
        <v>3.7037</v>
      </c>
      <c r="AK27" s="17">
        <v>3.0217999999999998</v>
      </c>
      <c r="AL27" s="17">
        <v>5.4212999999999996</v>
      </c>
      <c r="AM27" s="17">
        <v>8.2972999999999999</v>
      </c>
      <c r="AN27" s="17">
        <v>1.0788</v>
      </c>
      <c r="AO27" s="17">
        <v>5.7477</v>
      </c>
      <c r="AP27" s="17">
        <v>3.2437999999999998</v>
      </c>
      <c r="AQ27" s="85">
        <v>4.5053000000000001</v>
      </c>
    </row>
    <row r="28" spans="1:43" x14ac:dyDescent="0.2">
      <c r="A28" s="34">
        <f t="shared" si="0"/>
        <v>3.7873499999999996</v>
      </c>
      <c r="B28" s="17">
        <v>67</v>
      </c>
      <c r="C28" s="17">
        <v>23</v>
      </c>
      <c r="D28" s="34">
        <v>5.0229999999999997</v>
      </c>
      <c r="E28" s="17">
        <v>8.4384999999999994</v>
      </c>
      <c r="F28" s="17">
        <v>3.1886000000000001</v>
      </c>
      <c r="G28" s="17">
        <v>2.0825</v>
      </c>
      <c r="H28" s="17">
        <v>2.9047000000000001</v>
      </c>
      <c r="I28" s="17">
        <v>5.9617000000000004</v>
      </c>
      <c r="J28" s="17">
        <v>2.7625999999999999</v>
      </c>
      <c r="K28" s="17">
        <v>3.4083999999999999</v>
      </c>
      <c r="L28" s="17">
        <v>3.1751999999999998</v>
      </c>
      <c r="M28" s="17">
        <v>1.5689</v>
      </c>
      <c r="N28" s="17">
        <v>1.7484999999999999</v>
      </c>
      <c r="O28" s="17">
        <v>0.49230000000000002</v>
      </c>
      <c r="P28" s="17">
        <v>2.5326</v>
      </c>
      <c r="Q28" s="17">
        <v>1.9415</v>
      </c>
      <c r="R28" s="17">
        <v>0.33660000000000001</v>
      </c>
      <c r="S28" s="17">
        <v>5.1981000000000002</v>
      </c>
      <c r="T28" s="17">
        <v>4.9635999999999996</v>
      </c>
      <c r="U28" s="17">
        <v>4.5259</v>
      </c>
      <c r="V28" s="17">
        <v>5.5273000000000003</v>
      </c>
      <c r="W28" s="85">
        <v>2.9849000000000001</v>
      </c>
      <c r="X28" s="34">
        <v>6.1771000000000003</v>
      </c>
      <c r="Y28" s="17">
        <v>7.47</v>
      </c>
      <c r="Z28" s="17">
        <v>0.48149999999999998</v>
      </c>
      <c r="AA28" s="17">
        <v>4.5477999999999996</v>
      </c>
      <c r="AB28" s="17">
        <v>3.0547</v>
      </c>
      <c r="AC28" s="17">
        <v>6.7451999999999996</v>
      </c>
      <c r="AD28" s="17">
        <v>6.2523999999999997</v>
      </c>
      <c r="AE28" s="17">
        <v>4.5225</v>
      </c>
      <c r="AF28" s="17">
        <v>2.7927</v>
      </c>
      <c r="AG28" s="17">
        <v>5.3497000000000003</v>
      </c>
      <c r="AH28" s="17">
        <v>2.1804000000000001</v>
      </c>
      <c r="AI28" s="17">
        <v>4.0172999999999996</v>
      </c>
      <c r="AJ28" s="17">
        <v>3.5874999999999999</v>
      </c>
      <c r="AK28" s="17">
        <v>5.6932999999999998</v>
      </c>
      <c r="AL28" s="17">
        <v>3.1042000000000001</v>
      </c>
      <c r="AM28" s="17">
        <v>2.7839999999999998</v>
      </c>
      <c r="AN28" s="17">
        <v>7.0225999999999997</v>
      </c>
      <c r="AO28" s="17">
        <v>4.5900999999999996</v>
      </c>
      <c r="AP28" s="17">
        <v>9.3839000000000006</v>
      </c>
      <c r="AQ28" s="85">
        <v>11.0684</v>
      </c>
    </row>
    <row r="29" spans="1:43" x14ac:dyDescent="0.2">
      <c r="A29" s="34">
        <f t="shared" si="0"/>
        <v>3.7447615384615385</v>
      </c>
      <c r="B29" s="17">
        <v>69</v>
      </c>
      <c r="C29" s="17">
        <v>24</v>
      </c>
      <c r="D29" s="34">
        <v>3.0203000000000002</v>
      </c>
      <c r="E29" s="17">
        <v>3.2829000000000002</v>
      </c>
      <c r="F29" s="17">
        <v>3.9272</v>
      </c>
      <c r="G29" s="17">
        <v>6.1113</v>
      </c>
      <c r="H29" s="17">
        <v>2.7416999999999998</v>
      </c>
      <c r="I29" s="17">
        <v>4.3787000000000003</v>
      </c>
      <c r="J29" s="17">
        <v>0.81369999999999998</v>
      </c>
      <c r="K29" s="17">
        <v>0.746</v>
      </c>
      <c r="L29" s="17">
        <v>3.9712000000000001</v>
      </c>
      <c r="M29" s="17">
        <v>6.1718999999999999</v>
      </c>
      <c r="N29" s="17">
        <v>3.6873</v>
      </c>
      <c r="O29" s="17">
        <v>4.7161999999999997</v>
      </c>
      <c r="P29" s="17">
        <v>2.4912000000000001</v>
      </c>
      <c r="Q29" s="17">
        <v>3.0756000000000001</v>
      </c>
      <c r="R29" s="17">
        <v>4.9036999999999997</v>
      </c>
      <c r="S29" s="17">
        <v>5.2925000000000004</v>
      </c>
      <c r="T29" s="17">
        <v>1.3789</v>
      </c>
      <c r="U29" s="17">
        <v>4.5107999999999997</v>
      </c>
      <c r="V29" s="17">
        <v>0.55959999999999999</v>
      </c>
      <c r="W29" s="85">
        <v>1.3479000000000001</v>
      </c>
      <c r="X29" s="34">
        <v>7.4463999999999997</v>
      </c>
      <c r="Y29" s="17">
        <v>5.1565000000000003</v>
      </c>
      <c r="Z29" s="17">
        <v>3.9348000000000001</v>
      </c>
      <c r="AA29" s="17">
        <v>3.0964999999999998</v>
      </c>
      <c r="AB29" s="17">
        <v>5.0673000000000004</v>
      </c>
      <c r="AC29" s="17">
        <v>8.5540000000000003</v>
      </c>
      <c r="AD29" s="17">
        <v>0</v>
      </c>
      <c r="AE29" s="17">
        <v>4.1460999999999997</v>
      </c>
      <c r="AF29" s="17">
        <v>2.9658000000000002</v>
      </c>
      <c r="AG29" s="17">
        <v>2.5488</v>
      </c>
      <c r="AH29" s="17">
        <v>2.2082000000000002</v>
      </c>
      <c r="AI29" s="17">
        <v>4.6513999999999998</v>
      </c>
      <c r="AJ29" s="17">
        <v>3.5990000000000002</v>
      </c>
      <c r="AK29" s="17">
        <v>4.8653000000000004</v>
      </c>
      <c r="AL29" s="17">
        <v>4.1958000000000002</v>
      </c>
      <c r="AM29" s="17">
        <v>1.3214999999999999</v>
      </c>
      <c r="AN29" s="17">
        <v>1.8234999999999999</v>
      </c>
      <c r="AO29" s="17">
        <v>0.74080000000000001</v>
      </c>
      <c r="AP29" s="17">
        <v>0.12</v>
      </c>
      <c r="AQ29" s="85">
        <v>0.27079999999999999</v>
      </c>
    </row>
    <row r="30" spans="1:43" x14ac:dyDescent="0.2">
      <c r="A30" s="34">
        <f t="shared" si="0"/>
        <v>2.9161884615384612</v>
      </c>
      <c r="B30" s="17">
        <v>6</v>
      </c>
      <c r="C30" s="17">
        <v>25</v>
      </c>
      <c r="D30" s="34">
        <v>5.0426000000000002</v>
      </c>
      <c r="E30" s="17">
        <v>1.115</v>
      </c>
      <c r="F30" s="17">
        <v>0.65590000000000004</v>
      </c>
      <c r="G30" s="17">
        <v>3.3628</v>
      </c>
      <c r="H30" s="17">
        <v>3.2241</v>
      </c>
      <c r="I30" s="17">
        <v>2.6444999999999999</v>
      </c>
      <c r="J30" s="17">
        <v>1.5190999999999999</v>
      </c>
      <c r="K30" s="17">
        <v>1.7986</v>
      </c>
      <c r="L30" s="17">
        <v>3.1006999999999998</v>
      </c>
      <c r="M30" s="17">
        <v>0.57679999999999998</v>
      </c>
      <c r="N30" s="17">
        <v>1.0851999999999999</v>
      </c>
      <c r="O30" s="17">
        <v>4.1463999999999999</v>
      </c>
      <c r="P30" s="17">
        <v>0.84689999999999999</v>
      </c>
      <c r="Q30" s="17">
        <v>3.3536000000000001</v>
      </c>
      <c r="R30" s="17">
        <v>3.9</v>
      </c>
      <c r="S30" s="17">
        <v>5.2066999999999997</v>
      </c>
      <c r="T30" s="17">
        <v>0.41799999999999998</v>
      </c>
      <c r="U30" s="17">
        <v>0.95289999999999997</v>
      </c>
      <c r="V30" s="17">
        <v>1.9902</v>
      </c>
      <c r="W30" s="85">
        <v>8.2466000000000008</v>
      </c>
      <c r="X30" s="34">
        <v>6.0628000000000002</v>
      </c>
      <c r="Y30" s="17">
        <v>5.5438999999999998</v>
      </c>
      <c r="Z30" s="17">
        <v>3.4302999999999999</v>
      </c>
      <c r="AA30" s="17">
        <v>2.2863000000000002</v>
      </c>
      <c r="AB30" s="17">
        <v>1.8929</v>
      </c>
      <c r="AC30" s="17">
        <v>6.9866000000000001</v>
      </c>
      <c r="AD30" s="17">
        <v>1.4741</v>
      </c>
      <c r="AE30" s="17">
        <v>3.6831999999999998</v>
      </c>
      <c r="AF30" s="17">
        <v>2.9424999999999999</v>
      </c>
      <c r="AG30" s="17">
        <v>6.4570999999999996</v>
      </c>
      <c r="AH30" s="17">
        <v>4.0881999999999996</v>
      </c>
      <c r="AI30" s="17">
        <v>2.8675000000000002</v>
      </c>
      <c r="AJ30" s="17">
        <v>0.78700000000000003</v>
      </c>
      <c r="AK30" s="17">
        <v>5.7087000000000003</v>
      </c>
      <c r="AL30" s="17">
        <v>2.5055000000000001</v>
      </c>
      <c r="AM30" s="17">
        <v>6.3453999999999997</v>
      </c>
      <c r="AN30" s="17">
        <v>1.5296000000000001</v>
      </c>
      <c r="AO30" s="17">
        <v>4.5228000000000002</v>
      </c>
      <c r="AP30" s="17">
        <v>8.4080999999999992</v>
      </c>
      <c r="AQ30" s="85">
        <v>1.3285</v>
      </c>
    </row>
    <row r="31" spans="1:43" x14ac:dyDescent="0.2">
      <c r="A31" s="34">
        <f t="shared" si="0"/>
        <v>5.7892076923076941</v>
      </c>
      <c r="B31" s="17">
        <v>70</v>
      </c>
      <c r="C31" s="17">
        <v>26</v>
      </c>
      <c r="D31" s="34">
        <v>4.9343000000000004</v>
      </c>
      <c r="E31" s="17">
        <v>7.7127999999999997</v>
      </c>
      <c r="F31" s="17">
        <v>10.026400000000001</v>
      </c>
      <c r="G31" s="17">
        <v>3.6697000000000002</v>
      </c>
      <c r="H31" s="17">
        <v>3.5213999999999999</v>
      </c>
      <c r="I31" s="17">
        <v>5.9893000000000001</v>
      </c>
      <c r="J31" s="17">
        <v>12.185600000000001</v>
      </c>
      <c r="K31" s="17">
        <v>3.6554000000000002</v>
      </c>
      <c r="L31" s="17">
        <v>3.0634000000000001</v>
      </c>
      <c r="M31" s="17">
        <v>4.0225999999999997</v>
      </c>
      <c r="N31" s="17">
        <v>1.7843</v>
      </c>
      <c r="O31" s="17">
        <v>9.9596</v>
      </c>
      <c r="P31" s="17">
        <v>5.0579000000000001</v>
      </c>
      <c r="Q31" s="17">
        <v>6.9561000000000002</v>
      </c>
      <c r="R31" s="17">
        <v>3.2538999999999998</v>
      </c>
      <c r="S31" s="17">
        <v>5.1566999999999998</v>
      </c>
      <c r="T31" s="17">
        <v>4.8220999999999998</v>
      </c>
      <c r="U31" s="17">
        <v>2.9954999999999998</v>
      </c>
      <c r="V31" s="17">
        <v>7.0021000000000004</v>
      </c>
      <c r="W31" s="85">
        <v>0.21329999999999999</v>
      </c>
      <c r="X31" s="34">
        <v>11.4655</v>
      </c>
      <c r="Y31" s="17">
        <v>5.7252999999999998</v>
      </c>
      <c r="Z31" s="17">
        <v>1.4941</v>
      </c>
      <c r="AA31" s="17">
        <v>8.8585999999999991</v>
      </c>
      <c r="AB31" s="17">
        <v>8.4446999999999992</v>
      </c>
      <c r="AC31" s="17">
        <v>9.4745000000000008</v>
      </c>
      <c r="AD31" s="17">
        <v>4.0086000000000004</v>
      </c>
      <c r="AE31" s="17">
        <v>5.5231000000000003</v>
      </c>
      <c r="AF31" s="17">
        <v>3.3386</v>
      </c>
      <c r="AG31" s="17">
        <v>9.8284000000000002</v>
      </c>
      <c r="AH31" s="17">
        <v>2.4367000000000001</v>
      </c>
      <c r="AI31" s="17">
        <v>13.677</v>
      </c>
      <c r="AJ31" s="17">
        <v>9.61</v>
      </c>
      <c r="AK31" s="17">
        <v>3.9573</v>
      </c>
      <c r="AL31" s="17">
        <v>7.7930000000000001</v>
      </c>
      <c r="AM31" s="17">
        <v>21.52</v>
      </c>
      <c r="AN31" s="17">
        <v>10.091100000000001</v>
      </c>
      <c r="AO31" s="17">
        <v>5.3438999999999997</v>
      </c>
      <c r="AP31" s="17">
        <v>8.0489999999999995</v>
      </c>
      <c r="AQ31" s="85">
        <v>6.0086000000000004</v>
      </c>
    </row>
    <row r="32" spans="1:43" x14ac:dyDescent="0.2">
      <c r="A32" s="34">
        <f t="shared" si="0"/>
        <v>3.3240846153846157</v>
      </c>
      <c r="B32" s="17">
        <v>72</v>
      </c>
      <c r="C32" s="17">
        <v>27</v>
      </c>
      <c r="D32" s="34">
        <v>1.1065</v>
      </c>
      <c r="E32" s="17">
        <v>4.2008000000000001</v>
      </c>
      <c r="F32" s="17">
        <v>3.3359000000000001</v>
      </c>
      <c r="G32" s="17">
        <v>1.1837</v>
      </c>
      <c r="H32" s="17">
        <v>4.9962</v>
      </c>
      <c r="I32" s="17">
        <v>2.1581999999999999</v>
      </c>
      <c r="J32" s="17">
        <v>1.0484</v>
      </c>
      <c r="K32" s="17">
        <v>2.5070000000000001</v>
      </c>
      <c r="L32" s="17">
        <v>2.4272</v>
      </c>
      <c r="M32" s="17">
        <v>3.75</v>
      </c>
      <c r="N32" s="17">
        <v>3.0779000000000001</v>
      </c>
      <c r="O32" s="17">
        <v>3.9687000000000001</v>
      </c>
      <c r="P32" s="17">
        <v>2.5630000000000002</v>
      </c>
      <c r="Q32" s="17">
        <v>3.3508</v>
      </c>
      <c r="R32" s="17">
        <v>0.49259999999999998</v>
      </c>
      <c r="S32" s="17">
        <v>5.4092000000000002</v>
      </c>
      <c r="T32" s="17">
        <v>3.0182000000000002</v>
      </c>
      <c r="U32" s="17">
        <v>2.5465</v>
      </c>
      <c r="V32" s="17">
        <v>1.3706</v>
      </c>
      <c r="W32" s="85">
        <v>0.51490000000000002</v>
      </c>
      <c r="X32" s="34">
        <v>5.3376999999999999</v>
      </c>
      <c r="Y32" s="17">
        <v>8.3323</v>
      </c>
      <c r="Z32" s="17">
        <v>3.5815999999999999</v>
      </c>
      <c r="AA32" s="17">
        <v>2.9049999999999998</v>
      </c>
      <c r="AB32" s="17">
        <v>7.3578000000000001</v>
      </c>
      <c r="AC32" s="17">
        <v>3.9182000000000001</v>
      </c>
      <c r="AD32" s="17">
        <v>3.0737999999999999</v>
      </c>
      <c r="AE32" s="17">
        <v>3.1819000000000002</v>
      </c>
      <c r="AF32" s="17">
        <v>2.8959000000000001</v>
      </c>
      <c r="AG32" s="17">
        <v>5.2317999999999998</v>
      </c>
      <c r="AH32" s="17">
        <v>2.4645000000000001</v>
      </c>
      <c r="AI32" s="17">
        <v>3.6109</v>
      </c>
      <c r="AJ32" s="17">
        <v>6.0765000000000002</v>
      </c>
      <c r="AK32" s="17">
        <v>5.4436</v>
      </c>
      <c r="AL32" s="17">
        <v>0.63970000000000005</v>
      </c>
      <c r="AM32" s="17">
        <v>3.4384999999999999</v>
      </c>
      <c r="AN32" s="17">
        <v>5.6098999999999997</v>
      </c>
      <c r="AO32" s="17">
        <v>3.4807000000000001</v>
      </c>
      <c r="AP32" s="17">
        <v>3.3512</v>
      </c>
      <c r="AQ32" s="85">
        <v>3.7088000000000001</v>
      </c>
    </row>
    <row r="33" spans="1:43" x14ac:dyDescent="0.2">
      <c r="A33" s="34">
        <f t="shared" si="0"/>
        <v>4.5115230769230754</v>
      </c>
      <c r="B33" s="17">
        <v>74</v>
      </c>
      <c r="C33" s="17">
        <v>28</v>
      </c>
      <c r="D33" s="34">
        <v>2.1739000000000002</v>
      </c>
      <c r="E33" s="17">
        <v>4.4336000000000002</v>
      </c>
      <c r="F33" s="17">
        <v>6.2416999999999998</v>
      </c>
      <c r="G33" s="17">
        <v>1.3169</v>
      </c>
      <c r="H33" s="17">
        <v>4.9469000000000003</v>
      </c>
      <c r="I33" s="17">
        <v>6.0076000000000001</v>
      </c>
      <c r="J33" s="17">
        <v>3.8757000000000001</v>
      </c>
      <c r="K33" s="17">
        <v>1.5049999999999999</v>
      </c>
      <c r="L33" s="17">
        <v>6.3715999999999999</v>
      </c>
      <c r="M33" s="17">
        <v>9.7622</v>
      </c>
      <c r="N33" s="17">
        <v>2.6413000000000002</v>
      </c>
      <c r="O33" s="17">
        <v>4.5655000000000001</v>
      </c>
      <c r="P33" s="17">
        <v>0.49990000000000001</v>
      </c>
      <c r="Q33" s="17">
        <v>1.3702000000000001</v>
      </c>
      <c r="R33" s="17">
        <v>2.6947000000000001</v>
      </c>
      <c r="S33" s="17">
        <v>4.6894</v>
      </c>
      <c r="T33" s="17">
        <v>6.3804999999999996</v>
      </c>
      <c r="U33" s="17">
        <v>7.5168999999999997</v>
      </c>
      <c r="V33" s="17">
        <v>4.9736000000000002</v>
      </c>
      <c r="W33" s="85">
        <v>3.6932999999999998</v>
      </c>
      <c r="X33" s="34">
        <v>3.8912</v>
      </c>
      <c r="Y33" s="17">
        <v>9.5657999999999994</v>
      </c>
      <c r="Z33" s="17">
        <v>0.82289999999999996</v>
      </c>
      <c r="AA33" s="17">
        <v>3.4891000000000001</v>
      </c>
      <c r="AB33" s="17">
        <v>3.6745000000000001</v>
      </c>
      <c r="AC33" s="17">
        <v>7.3487</v>
      </c>
      <c r="AD33" s="17">
        <v>5.0209000000000001</v>
      </c>
      <c r="AE33" s="17">
        <v>4.0595999999999997</v>
      </c>
      <c r="AF33" s="17">
        <v>1.9809000000000001</v>
      </c>
      <c r="AG33" s="17">
        <v>1.7462</v>
      </c>
      <c r="AH33" s="17">
        <v>2.1482999999999999</v>
      </c>
      <c r="AI33" s="17">
        <v>4.7832999999999997</v>
      </c>
      <c r="AJ33" s="17">
        <v>1.1536</v>
      </c>
      <c r="AK33" s="17">
        <v>2.2321</v>
      </c>
      <c r="AL33" s="17">
        <v>2.8683999999999998</v>
      </c>
      <c r="AM33" s="17">
        <v>2.044</v>
      </c>
      <c r="AN33" s="17">
        <v>3.3466</v>
      </c>
      <c r="AO33" s="17">
        <v>1.9692000000000001</v>
      </c>
      <c r="AP33" s="17">
        <v>3.3026</v>
      </c>
      <c r="AQ33" s="85">
        <v>6.9793000000000003</v>
      </c>
    </row>
    <row r="34" spans="1:43" x14ac:dyDescent="0.2">
      <c r="A34" s="34">
        <f t="shared" si="0"/>
        <v>5.6434576923076918</v>
      </c>
      <c r="B34" s="17">
        <v>75</v>
      </c>
      <c r="C34" s="17">
        <v>29</v>
      </c>
      <c r="D34" s="34">
        <v>13.6091</v>
      </c>
      <c r="E34" s="17">
        <v>2.6774</v>
      </c>
      <c r="F34" s="17">
        <v>4.8498999999999999</v>
      </c>
      <c r="G34" s="17">
        <v>4.0719000000000003</v>
      </c>
      <c r="H34" s="17">
        <v>1.4298</v>
      </c>
      <c r="I34" s="17">
        <v>3.3077000000000001</v>
      </c>
      <c r="J34" s="17">
        <v>7.7630999999999997</v>
      </c>
      <c r="K34" s="17">
        <v>3.6048</v>
      </c>
      <c r="L34" s="17">
        <v>5.1890000000000001</v>
      </c>
      <c r="M34" s="17">
        <v>4.1951000000000001</v>
      </c>
      <c r="N34" s="17">
        <v>10.719200000000001</v>
      </c>
      <c r="O34" s="17">
        <v>1.7585999999999999</v>
      </c>
      <c r="P34" s="17">
        <v>0.71809999999999996</v>
      </c>
      <c r="Q34" s="17">
        <v>9.3215000000000003</v>
      </c>
      <c r="R34" s="17">
        <v>2.8780999999999999</v>
      </c>
      <c r="S34" s="17">
        <v>3.2259000000000002</v>
      </c>
      <c r="T34" s="17">
        <v>1.6291</v>
      </c>
      <c r="U34" s="17">
        <v>8.9670000000000005</v>
      </c>
      <c r="V34" s="17">
        <v>3.4529000000000001</v>
      </c>
      <c r="W34" s="85">
        <v>6.6295999999999999</v>
      </c>
      <c r="X34" s="34">
        <v>12.6675</v>
      </c>
      <c r="Y34" s="17">
        <v>4.7337999999999996</v>
      </c>
      <c r="Z34" s="17">
        <v>3.0297999999999998</v>
      </c>
      <c r="AA34" s="17">
        <v>13.5502</v>
      </c>
      <c r="AB34" s="17">
        <v>3.6621000000000001</v>
      </c>
      <c r="AC34" s="17">
        <v>20.217099999999999</v>
      </c>
      <c r="AD34" s="17">
        <v>2.4807000000000001</v>
      </c>
      <c r="AE34" s="17">
        <v>13.8588</v>
      </c>
      <c r="AF34" s="17">
        <v>7.5124000000000004</v>
      </c>
      <c r="AG34" s="17">
        <v>13.443199999999999</v>
      </c>
      <c r="AH34" s="17">
        <v>4.3049999999999997</v>
      </c>
      <c r="AI34" s="17">
        <v>1.8858999999999999</v>
      </c>
      <c r="AJ34" s="17">
        <v>2.8641000000000001</v>
      </c>
      <c r="AK34" s="17">
        <v>3.0943000000000001</v>
      </c>
      <c r="AL34" s="17">
        <v>5.4367000000000001</v>
      </c>
      <c r="AM34" s="17">
        <v>15.356299999999999</v>
      </c>
      <c r="AN34" s="17">
        <v>8.0074000000000005</v>
      </c>
      <c r="AO34" s="17">
        <v>3.2521</v>
      </c>
      <c r="AP34" s="17">
        <v>8.6377000000000006</v>
      </c>
      <c r="AQ34" s="85">
        <v>6.2087000000000003</v>
      </c>
    </row>
    <row r="35" spans="1:43" x14ac:dyDescent="0.2">
      <c r="A35" s="34">
        <f t="shared" si="0"/>
        <v>4.8998730769230763</v>
      </c>
      <c r="B35" s="17">
        <v>78</v>
      </c>
      <c r="C35" s="17">
        <v>30</v>
      </c>
      <c r="D35" s="34">
        <v>14.738200000000001</v>
      </c>
      <c r="E35" s="17">
        <v>8.0868000000000002</v>
      </c>
      <c r="F35" s="17">
        <v>2.0169999999999999</v>
      </c>
      <c r="G35" s="17">
        <v>3.5724</v>
      </c>
      <c r="H35" s="17">
        <v>3.6583000000000001</v>
      </c>
      <c r="I35" s="17">
        <v>9.2493999999999996</v>
      </c>
      <c r="J35" s="17">
        <v>2.0954999999999999</v>
      </c>
      <c r="K35" s="17">
        <v>0.26840000000000003</v>
      </c>
      <c r="L35" s="17">
        <v>7.2213000000000003</v>
      </c>
      <c r="M35" s="17">
        <v>5.0331000000000001</v>
      </c>
      <c r="N35" s="17">
        <v>3.4621</v>
      </c>
      <c r="O35" s="17">
        <v>3.2899999999999999E-2</v>
      </c>
      <c r="P35" s="17">
        <v>4.8224999999999998</v>
      </c>
      <c r="Q35" s="17">
        <v>7.6844000000000001</v>
      </c>
      <c r="R35" s="17">
        <v>1.5852999999999999</v>
      </c>
      <c r="S35" s="17">
        <v>10.505000000000001</v>
      </c>
      <c r="T35" s="17">
        <v>7.9348999999999998</v>
      </c>
      <c r="U35" s="17">
        <v>5.4207999999999998</v>
      </c>
      <c r="V35" s="17">
        <v>5.5058999999999996</v>
      </c>
      <c r="W35" s="85">
        <v>3.4439000000000002</v>
      </c>
      <c r="X35" s="34">
        <v>6.1443000000000003</v>
      </c>
      <c r="Y35" s="17">
        <v>4.2939999999999996</v>
      </c>
      <c r="Z35" s="17">
        <v>5.4481000000000002</v>
      </c>
      <c r="AA35" s="17">
        <v>2.0825999999999998</v>
      </c>
      <c r="AB35" s="17">
        <v>4.9851000000000001</v>
      </c>
      <c r="AC35" s="17">
        <v>7.5900999999999996</v>
      </c>
      <c r="AD35" s="17">
        <v>5.2526000000000002</v>
      </c>
      <c r="AE35" s="17">
        <v>6.7927999999999997</v>
      </c>
      <c r="AF35" s="17">
        <v>2.5762999999999998</v>
      </c>
      <c r="AG35" s="17">
        <v>5.9793000000000003</v>
      </c>
      <c r="AH35" s="17">
        <v>5.5045000000000002</v>
      </c>
      <c r="AI35" s="17">
        <v>2.7324000000000002</v>
      </c>
      <c r="AJ35" s="17">
        <v>7.7805</v>
      </c>
      <c r="AK35" s="17">
        <v>6.2811000000000003</v>
      </c>
      <c r="AL35" s="17">
        <v>7.4001999999999999</v>
      </c>
      <c r="AM35" s="17">
        <v>6.3243999999999998</v>
      </c>
      <c r="AN35" s="17">
        <v>6.8243999999999998</v>
      </c>
      <c r="AO35" s="17">
        <v>5.1436999999999999</v>
      </c>
      <c r="AP35" s="17">
        <v>2.8582999999999998</v>
      </c>
      <c r="AQ35" s="85">
        <v>4.7361000000000004</v>
      </c>
    </row>
    <row r="36" spans="1:43" x14ac:dyDescent="0.2">
      <c r="A36" s="34">
        <f t="shared" si="0"/>
        <v>3.4558192307692304</v>
      </c>
      <c r="B36" s="17">
        <v>80</v>
      </c>
      <c r="C36" s="17">
        <v>31</v>
      </c>
      <c r="D36" s="34">
        <v>3.2884000000000002</v>
      </c>
      <c r="E36" s="17">
        <v>2.2456</v>
      </c>
      <c r="F36" s="17">
        <v>2.6295000000000002</v>
      </c>
      <c r="G36" s="17">
        <v>3.5270000000000001</v>
      </c>
      <c r="H36" s="17">
        <v>4.0231000000000003</v>
      </c>
      <c r="I36" s="17">
        <v>3.9379</v>
      </c>
      <c r="J36" s="17">
        <v>6.0853999999999999</v>
      </c>
      <c r="K36" s="17">
        <v>3.5710000000000002</v>
      </c>
      <c r="L36" s="17">
        <v>0.90820000000000001</v>
      </c>
      <c r="M36" s="17">
        <v>3.7370999999999999</v>
      </c>
      <c r="N36" s="17">
        <v>3.4580000000000002</v>
      </c>
      <c r="O36" s="17">
        <v>2.1486000000000001</v>
      </c>
      <c r="P36" s="17">
        <v>1.0981000000000001</v>
      </c>
      <c r="Q36" s="17">
        <v>5.4931999999999999</v>
      </c>
      <c r="R36" s="17">
        <v>3.2675999999999998</v>
      </c>
      <c r="S36" s="17">
        <v>7.1708999999999996</v>
      </c>
      <c r="T36" s="17">
        <v>3.1663000000000001</v>
      </c>
      <c r="U36" s="17">
        <v>0.97060000000000002</v>
      </c>
      <c r="V36" s="17">
        <v>3.4944000000000002</v>
      </c>
      <c r="W36" s="85">
        <v>0.99880000000000002</v>
      </c>
      <c r="X36" s="34">
        <v>1.5607</v>
      </c>
      <c r="Y36" s="17">
        <v>6.1856</v>
      </c>
      <c r="Z36" s="17">
        <v>1.4251</v>
      </c>
      <c r="AA36" s="17">
        <v>2.6604999999999999</v>
      </c>
      <c r="AB36" s="17">
        <v>3.9514999999999998</v>
      </c>
      <c r="AC36" s="17">
        <v>7.1845999999999997</v>
      </c>
      <c r="AD36" s="17">
        <v>4.952</v>
      </c>
      <c r="AE36" s="17">
        <v>12.303800000000001</v>
      </c>
      <c r="AF36" s="17">
        <v>7.7934000000000001</v>
      </c>
      <c r="AG36" s="17">
        <v>8.3508999999999993</v>
      </c>
      <c r="AH36" s="17">
        <v>4.4135</v>
      </c>
      <c r="AI36" s="17">
        <v>8.4298999999999999</v>
      </c>
      <c r="AJ36" s="17">
        <v>5.0732999999999997</v>
      </c>
      <c r="AK36" s="17">
        <v>5.7549999999999999</v>
      </c>
      <c r="AL36" s="17">
        <v>15.7921</v>
      </c>
      <c r="AM36" s="17">
        <v>5.4218999999999999</v>
      </c>
      <c r="AN36" s="17">
        <v>4.4591000000000003</v>
      </c>
      <c r="AO36" s="17">
        <v>4.3205999999999998</v>
      </c>
      <c r="AP36" s="17">
        <v>1.6253</v>
      </c>
      <c r="AQ36" s="85">
        <v>4.0773000000000001</v>
      </c>
    </row>
    <row r="37" spans="1:43" x14ac:dyDescent="0.2">
      <c r="A37" s="34">
        <f t="shared" si="0"/>
        <v>3.7228884615384619</v>
      </c>
      <c r="B37" s="17">
        <v>82</v>
      </c>
      <c r="C37" s="17">
        <v>32</v>
      </c>
      <c r="D37" s="34">
        <v>3.8376999999999999</v>
      </c>
      <c r="E37" s="17">
        <v>3.2130000000000001</v>
      </c>
      <c r="F37" s="17">
        <v>2.2439</v>
      </c>
      <c r="G37" s="17">
        <v>7.4059999999999997</v>
      </c>
      <c r="H37" s="17">
        <v>1.7743</v>
      </c>
      <c r="I37" s="17">
        <v>3.6861999999999999</v>
      </c>
      <c r="J37" s="17">
        <v>2.3677000000000001</v>
      </c>
      <c r="K37" s="17">
        <v>2.9952999999999999</v>
      </c>
      <c r="L37" s="17">
        <v>2.8397999999999999</v>
      </c>
      <c r="M37" s="17">
        <v>1.9518</v>
      </c>
      <c r="N37" s="17">
        <v>2.6259000000000001</v>
      </c>
      <c r="O37" s="17">
        <v>7.444</v>
      </c>
      <c r="P37" s="17">
        <v>1.8015000000000001</v>
      </c>
      <c r="Q37" s="17">
        <v>2.6074999999999999</v>
      </c>
      <c r="R37" s="17">
        <v>4.8563000000000001</v>
      </c>
      <c r="S37" s="17">
        <v>2.1267</v>
      </c>
      <c r="T37" s="17">
        <v>1.1057999999999999</v>
      </c>
      <c r="U37" s="17">
        <v>7.6955999999999998</v>
      </c>
      <c r="V37" s="17">
        <v>0.67689999999999995</v>
      </c>
      <c r="W37" s="85">
        <v>6.4752999999999998</v>
      </c>
      <c r="X37" s="34">
        <v>4.2518000000000002</v>
      </c>
      <c r="Y37" s="17">
        <v>6.2085999999999997</v>
      </c>
      <c r="Z37" s="17">
        <v>2.2071999999999998</v>
      </c>
      <c r="AA37" s="17">
        <v>3.3125</v>
      </c>
      <c r="AB37" s="17">
        <v>3.9434</v>
      </c>
      <c r="AC37" s="17">
        <v>8.5913000000000004</v>
      </c>
      <c r="AD37" s="17">
        <v>2.3868</v>
      </c>
      <c r="AE37" s="17">
        <v>1.5089999999999999</v>
      </c>
      <c r="AF37" s="17">
        <v>2.7793000000000001</v>
      </c>
      <c r="AG37" s="17">
        <v>6.7426000000000004</v>
      </c>
      <c r="AH37" s="17">
        <v>2.9773000000000001</v>
      </c>
      <c r="AI37" s="17">
        <v>4.3007</v>
      </c>
      <c r="AJ37" s="17">
        <v>0.58420000000000005</v>
      </c>
      <c r="AK37" s="17">
        <v>3.5817999999999999</v>
      </c>
      <c r="AL37" s="17">
        <v>6.2767999999999997</v>
      </c>
      <c r="AM37" s="17">
        <v>7.2487000000000004</v>
      </c>
      <c r="AN37" s="17">
        <v>1.897</v>
      </c>
      <c r="AO37" s="17">
        <v>6.4432</v>
      </c>
      <c r="AP37" s="17">
        <v>4.3643999999999998</v>
      </c>
      <c r="AQ37" s="85">
        <v>8.4343000000000004</v>
      </c>
    </row>
    <row r="38" spans="1:43" x14ac:dyDescent="0.2">
      <c r="A38" s="34">
        <f t="shared" si="0"/>
        <v>3.4088423076923076</v>
      </c>
      <c r="B38" s="17">
        <v>84</v>
      </c>
      <c r="C38" s="17">
        <v>33</v>
      </c>
      <c r="D38" s="34">
        <v>3.3107000000000002</v>
      </c>
      <c r="E38" s="17">
        <v>2.2054999999999998</v>
      </c>
      <c r="F38" s="17">
        <v>3.6263000000000001</v>
      </c>
      <c r="G38" s="17">
        <v>0.37369999999999998</v>
      </c>
      <c r="H38" s="17">
        <v>2.5486</v>
      </c>
      <c r="I38" s="17">
        <v>2.5259</v>
      </c>
      <c r="J38" s="17">
        <v>0.90200000000000002</v>
      </c>
      <c r="K38" s="17">
        <v>3.4502999999999999</v>
      </c>
      <c r="L38" s="17">
        <v>2.8025000000000002</v>
      </c>
      <c r="M38" s="17">
        <v>1.9677</v>
      </c>
      <c r="N38" s="17">
        <v>1.268</v>
      </c>
      <c r="O38" s="17">
        <v>2.7949999999999999</v>
      </c>
      <c r="P38" s="17">
        <v>1.1634</v>
      </c>
      <c r="Q38" s="17">
        <v>7.6942000000000004</v>
      </c>
      <c r="R38" s="17">
        <v>3.7671999999999999</v>
      </c>
      <c r="S38" s="17">
        <v>10.0876</v>
      </c>
      <c r="T38" s="17">
        <v>0.22819999999999999</v>
      </c>
      <c r="U38" s="17">
        <v>3.9542999999999999</v>
      </c>
      <c r="V38" s="17">
        <v>3.9992000000000001</v>
      </c>
      <c r="W38" s="85">
        <v>1.3279000000000001</v>
      </c>
      <c r="X38" s="34">
        <v>5.6054000000000004</v>
      </c>
      <c r="Y38" s="17">
        <v>3.3995000000000002</v>
      </c>
      <c r="Z38" s="17">
        <v>4.0236000000000001</v>
      </c>
      <c r="AA38" s="17">
        <v>5.0688000000000004</v>
      </c>
      <c r="AB38" s="17">
        <v>3.9134000000000002</v>
      </c>
      <c r="AC38" s="17">
        <v>9.2005999999999997</v>
      </c>
      <c r="AD38" s="17">
        <v>0.73109999999999997</v>
      </c>
      <c r="AE38" s="17">
        <v>1.9702999999999999</v>
      </c>
      <c r="AF38" s="17">
        <v>1.6346000000000001</v>
      </c>
      <c r="AG38" s="17">
        <v>6.2590000000000003</v>
      </c>
      <c r="AH38" s="17">
        <v>3.4098000000000002</v>
      </c>
      <c r="AI38" s="17">
        <v>5.3731</v>
      </c>
      <c r="AJ38" s="17">
        <v>1.3673</v>
      </c>
      <c r="AK38" s="17">
        <v>1.3486</v>
      </c>
      <c r="AL38" s="17">
        <v>1.2119</v>
      </c>
      <c r="AM38" s="17">
        <v>2.9285000000000001</v>
      </c>
      <c r="AN38" s="17">
        <v>1.6863999999999999</v>
      </c>
      <c r="AO38" s="17">
        <v>4.4413</v>
      </c>
      <c r="AP38" s="17">
        <v>2.9337</v>
      </c>
      <c r="AQ38" s="85">
        <v>1.4693000000000001</v>
      </c>
    </row>
    <row r="39" spans="1:43" x14ac:dyDescent="0.2">
      <c r="A39" s="34">
        <f t="shared" si="0"/>
        <v>4.4619192307692312</v>
      </c>
      <c r="B39" s="17">
        <v>85</v>
      </c>
      <c r="C39" s="17">
        <v>34</v>
      </c>
      <c r="D39" s="34">
        <v>4.0670999999999999</v>
      </c>
      <c r="E39" s="17">
        <v>5.0701999999999998</v>
      </c>
      <c r="F39" s="17">
        <v>12.273400000000001</v>
      </c>
      <c r="G39" s="17">
        <v>3.7437999999999998</v>
      </c>
      <c r="H39" s="17">
        <v>2.3456999999999999</v>
      </c>
      <c r="I39" s="17">
        <v>6.4397000000000002</v>
      </c>
      <c r="J39" s="17">
        <v>2.6886000000000001</v>
      </c>
      <c r="K39" s="17">
        <v>3.7645</v>
      </c>
      <c r="L39" s="17">
        <v>2.7652999999999999</v>
      </c>
      <c r="M39" s="17">
        <v>3.0093000000000001</v>
      </c>
      <c r="N39" s="17">
        <v>5.8567</v>
      </c>
      <c r="O39" s="17">
        <v>5.8960999999999997</v>
      </c>
      <c r="P39" s="17">
        <v>3.0110000000000001</v>
      </c>
      <c r="Q39" s="17">
        <v>1.304</v>
      </c>
      <c r="R39" s="17">
        <v>0.96679999999999999</v>
      </c>
      <c r="S39" s="17">
        <v>2.4927000000000001</v>
      </c>
      <c r="T39" s="17">
        <v>4.0777000000000001</v>
      </c>
      <c r="U39" s="17">
        <v>4.9938000000000002</v>
      </c>
      <c r="V39" s="17">
        <v>8.2650000000000006</v>
      </c>
      <c r="W39" s="85">
        <v>4.6075999999999997</v>
      </c>
      <c r="X39" s="34">
        <v>5.5481999999999996</v>
      </c>
      <c r="Y39" s="17">
        <v>5.3052000000000001</v>
      </c>
      <c r="Z39" s="17">
        <v>2.5291999999999999</v>
      </c>
      <c r="AA39" s="17">
        <v>3.6751999999999998</v>
      </c>
      <c r="AB39" s="17">
        <v>2.6760999999999999</v>
      </c>
      <c r="AC39" s="17">
        <v>12.3368</v>
      </c>
      <c r="AD39" s="17">
        <v>0.36730000000000002</v>
      </c>
      <c r="AE39" s="17">
        <v>2.2583000000000002</v>
      </c>
      <c r="AF39" s="17">
        <v>1.2500000000000001E-2</v>
      </c>
      <c r="AG39" s="17">
        <v>2.5893999999999999</v>
      </c>
      <c r="AH39" s="17">
        <v>6.6272000000000002</v>
      </c>
      <c r="AI39" s="17">
        <v>3.7610000000000001</v>
      </c>
      <c r="AJ39" s="17">
        <v>0.45390000000000003</v>
      </c>
      <c r="AK39" s="17">
        <v>4.8643000000000001</v>
      </c>
      <c r="AL39" s="17">
        <v>5.3529</v>
      </c>
      <c r="AM39" s="17">
        <v>7.1231</v>
      </c>
      <c r="AN39" s="17">
        <v>7.7827999999999999</v>
      </c>
      <c r="AO39" s="17">
        <v>6.3365999999999998</v>
      </c>
      <c r="AP39" s="17">
        <v>2.5017</v>
      </c>
      <c r="AQ39" s="85">
        <v>0.98009999999999997</v>
      </c>
    </row>
    <row r="40" spans="1:43" x14ac:dyDescent="0.2">
      <c r="A40" s="34">
        <f t="shared" si="0"/>
        <v>4.1725769230769236</v>
      </c>
      <c r="B40" s="17">
        <v>86</v>
      </c>
      <c r="C40" s="17">
        <v>35</v>
      </c>
      <c r="D40" s="34">
        <v>2.5964</v>
      </c>
      <c r="E40" s="17">
        <v>6.8274999999999997</v>
      </c>
      <c r="F40" s="17">
        <v>4.8362999999999996</v>
      </c>
      <c r="G40" s="17">
        <v>5.1616999999999997</v>
      </c>
      <c r="H40" s="17">
        <v>1.0634999999999999</v>
      </c>
      <c r="I40" s="17">
        <v>6.0719000000000003</v>
      </c>
      <c r="J40" s="17">
        <v>3.8227000000000002</v>
      </c>
      <c r="K40" s="17">
        <v>0.78390000000000004</v>
      </c>
      <c r="L40" s="17">
        <v>3.9182999999999999</v>
      </c>
      <c r="M40" s="17">
        <v>2.6446000000000001</v>
      </c>
      <c r="N40" s="17">
        <v>1.9952000000000001</v>
      </c>
      <c r="O40" s="17">
        <v>5.1063000000000001</v>
      </c>
      <c r="P40" s="17">
        <v>0.87509999999999999</v>
      </c>
      <c r="Q40" s="17">
        <v>5.5902000000000003</v>
      </c>
      <c r="R40" s="17">
        <v>3.3791000000000002</v>
      </c>
      <c r="S40" s="17">
        <v>10.367100000000001</v>
      </c>
      <c r="T40" s="17">
        <v>1.6720999999999999</v>
      </c>
      <c r="U40" s="17">
        <v>5.3891</v>
      </c>
      <c r="V40" s="17">
        <v>3.5773999999999999</v>
      </c>
      <c r="W40" s="85">
        <v>3.113</v>
      </c>
      <c r="X40" s="34">
        <v>2.3948</v>
      </c>
      <c r="Y40" s="17">
        <v>3.8332000000000002</v>
      </c>
      <c r="Z40" s="17">
        <v>2.4291</v>
      </c>
      <c r="AA40" s="17">
        <v>5.0563000000000002</v>
      </c>
      <c r="AB40" s="17">
        <v>5.5841000000000003</v>
      </c>
      <c r="AC40" s="17">
        <v>8.1936999999999998</v>
      </c>
      <c r="AD40" s="17">
        <v>4.8007999999999997</v>
      </c>
      <c r="AE40" s="17">
        <v>5.33E-2</v>
      </c>
      <c r="AF40" s="17">
        <v>3.1551</v>
      </c>
      <c r="AG40" s="17">
        <v>12.285299999999999</v>
      </c>
      <c r="AH40" s="17">
        <v>0.80059999999999998</v>
      </c>
      <c r="AI40" s="17">
        <v>4.7285000000000004</v>
      </c>
      <c r="AJ40" s="17">
        <v>4.3475999999999999</v>
      </c>
      <c r="AK40" s="17">
        <v>7.7519</v>
      </c>
      <c r="AL40" s="17">
        <v>0.1321</v>
      </c>
      <c r="AM40" s="17">
        <v>2.7848000000000002</v>
      </c>
      <c r="AN40" s="17">
        <v>1.1489</v>
      </c>
      <c r="AO40" s="17">
        <v>4.1858000000000004</v>
      </c>
      <c r="AP40" s="17">
        <v>8.0883000000000003</v>
      </c>
      <c r="AQ40" s="85">
        <v>4.2708000000000004</v>
      </c>
    </row>
    <row r="41" spans="1:43" x14ac:dyDescent="0.2">
      <c r="A41" s="34">
        <f t="shared" si="0"/>
        <v>5.0269615384615367</v>
      </c>
      <c r="B41" s="17">
        <v>87</v>
      </c>
      <c r="C41" s="17">
        <v>36</v>
      </c>
      <c r="D41" s="34">
        <v>1.3395999999999999</v>
      </c>
      <c r="E41" s="17">
        <v>4.6215999999999999</v>
      </c>
      <c r="F41" s="17">
        <v>7.9866000000000001</v>
      </c>
      <c r="G41" s="17">
        <v>7.1719999999999997</v>
      </c>
      <c r="H41" s="17">
        <v>5.9230999999999998</v>
      </c>
      <c r="I41" s="17">
        <v>15.073499999999999</v>
      </c>
      <c r="J41" s="17">
        <v>0.79949999999999999</v>
      </c>
      <c r="K41" s="17">
        <v>3.6789000000000001</v>
      </c>
      <c r="L41" s="17">
        <v>1.1800999999999999</v>
      </c>
      <c r="M41" s="17">
        <v>3.2755000000000001</v>
      </c>
      <c r="N41" s="17">
        <v>1.1001000000000001</v>
      </c>
      <c r="O41" s="17">
        <v>3.9727999999999999</v>
      </c>
      <c r="P41" s="17">
        <v>4.2099999999999999E-2</v>
      </c>
      <c r="Q41" s="17">
        <v>7.5087999999999999</v>
      </c>
      <c r="R41" s="17">
        <v>3.5160999999999998</v>
      </c>
      <c r="S41" s="17">
        <v>4.4653</v>
      </c>
      <c r="T41" s="17">
        <v>2.3957999999999999</v>
      </c>
      <c r="U41" s="17">
        <v>2.0806</v>
      </c>
      <c r="V41" s="17">
        <v>3.0362</v>
      </c>
      <c r="W41" s="85">
        <v>7.6184000000000003</v>
      </c>
      <c r="X41" s="34">
        <v>9.7072000000000003</v>
      </c>
      <c r="Y41" s="17">
        <v>0.9355</v>
      </c>
      <c r="Z41" s="17">
        <v>3.8769999999999998</v>
      </c>
      <c r="AA41" s="17">
        <v>13.4833</v>
      </c>
      <c r="AB41" s="17">
        <v>4.5871000000000004</v>
      </c>
      <c r="AC41" s="17">
        <v>6.5743999999999998</v>
      </c>
      <c r="AD41" s="17">
        <v>6.0895000000000001</v>
      </c>
      <c r="AE41" s="17">
        <v>7.4250999999999996</v>
      </c>
      <c r="AF41" s="17">
        <v>1.7309000000000001</v>
      </c>
      <c r="AG41" s="17">
        <v>6.2009999999999996</v>
      </c>
      <c r="AH41" s="17">
        <v>3.3816000000000002</v>
      </c>
      <c r="AI41" s="17">
        <v>4.7628000000000004</v>
      </c>
      <c r="AJ41" s="17">
        <v>2.7084000000000001</v>
      </c>
      <c r="AK41" s="17">
        <v>7.0107999999999997</v>
      </c>
      <c r="AL41" s="17">
        <v>5.9459999999999997</v>
      </c>
      <c r="AM41" s="17">
        <v>3.6095999999999999</v>
      </c>
      <c r="AN41" s="17">
        <v>6.1828000000000003</v>
      </c>
      <c r="AO41" s="17">
        <v>4.6466000000000003</v>
      </c>
      <c r="AP41" s="17">
        <v>3.9994999999999998</v>
      </c>
      <c r="AQ41" s="85">
        <v>4.4901</v>
      </c>
    </row>
    <row r="42" spans="1:43" x14ac:dyDescent="0.2">
      <c r="A42" s="34">
        <f t="shared" si="0"/>
        <v>3.7891692307692302</v>
      </c>
      <c r="B42" s="17">
        <v>88</v>
      </c>
      <c r="C42" s="17">
        <v>37</v>
      </c>
      <c r="D42" s="34">
        <v>2.8660000000000001</v>
      </c>
      <c r="E42" s="17">
        <v>3.0375999999999999</v>
      </c>
      <c r="F42" s="17">
        <v>1.8964000000000001</v>
      </c>
      <c r="G42" s="17">
        <v>4.9097999999999997</v>
      </c>
      <c r="H42" s="17">
        <v>3.9554</v>
      </c>
      <c r="I42" s="17">
        <v>0.58030000000000004</v>
      </c>
      <c r="J42" s="17">
        <v>3.5857999999999999</v>
      </c>
      <c r="K42" s="17">
        <v>8.2949999999999999</v>
      </c>
      <c r="L42" s="17">
        <v>2.4531000000000001</v>
      </c>
      <c r="M42" s="17">
        <v>0.86250000000000004</v>
      </c>
      <c r="N42" s="17">
        <v>1.8951</v>
      </c>
      <c r="O42" s="17">
        <v>2.4851000000000001</v>
      </c>
      <c r="P42" s="17">
        <v>0.94220000000000004</v>
      </c>
      <c r="Q42" s="17">
        <v>2.5769000000000002</v>
      </c>
      <c r="R42" s="17">
        <v>1.4057999999999999</v>
      </c>
      <c r="S42" s="17">
        <v>5.2580999999999998</v>
      </c>
      <c r="T42" s="17">
        <v>2.5893999999999999</v>
      </c>
      <c r="U42" s="17">
        <v>6.0694999999999997</v>
      </c>
      <c r="V42" s="17">
        <v>5.0411000000000001</v>
      </c>
      <c r="W42" s="85">
        <v>4.7103000000000002</v>
      </c>
      <c r="X42" s="34">
        <v>2.4651999999999998</v>
      </c>
      <c r="Y42" s="17">
        <v>8.7218999999999998</v>
      </c>
      <c r="Z42" s="17">
        <v>1.5484</v>
      </c>
      <c r="AA42" s="17">
        <v>9.5919000000000008</v>
      </c>
      <c r="AB42" s="17">
        <v>3.5114999999999998</v>
      </c>
      <c r="AC42" s="17">
        <v>6.2039</v>
      </c>
      <c r="AD42" s="17">
        <v>3.9262000000000001</v>
      </c>
      <c r="AE42" s="17">
        <v>2.1251000000000002</v>
      </c>
      <c r="AF42" s="17">
        <v>1.3452</v>
      </c>
      <c r="AG42" s="17">
        <v>2.5733000000000001</v>
      </c>
      <c r="AH42" s="17">
        <v>3.5710999999999999</v>
      </c>
      <c r="AI42" s="17">
        <v>5.0797999999999996</v>
      </c>
      <c r="AJ42" s="17">
        <v>2.0722</v>
      </c>
      <c r="AK42" s="17">
        <v>3.3369</v>
      </c>
      <c r="AL42" s="17">
        <v>1.4314</v>
      </c>
      <c r="AM42" s="17">
        <v>14.106199999999999</v>
      </c>
      <c r="AN42" s="17">
        <v>0.81879999999999997</v>
      </c>
      <c r="AO42" s="17">
        <v>2.8832</v>
      </c>
      <c r="AP42" s="17">
        <v>7.0251000000000001</v>
      </c>
      <c r="AQ42" s="85">
        <v>4.4889999999999999</v>
      </c>
    </row>
    <row r="43" spans="1:43" x14ac:dyDescent="0.2">
      <c r="A43" s="34">
        <f t="shared" si="0"/>
        <v>2.6943384615384618</v>
      </c>
      <c r="B43" s="17">
        <v>89</v>
      </c>
      <c r="C43" s="17">
        <v>38</v>
      </c>
      <c r="D43" s="34">
        <v>2.8216000000000001</v>
      </c>
      <c r="E43" s="17">
        <v>3.0009999999999999</v>
      </c>
      <c r="F43" s="17">
        <v>4.8295000000000003</v>
      </c>
      <c r="G43" s="17">
        <v>3.968</v>
      </c>
      <c r="H43" s="17">
        <v>2.1061999999999999</v>
      </c>
      <c r="I43" s="17">
        <v>1.6252</v>
      </c>
      <c r="J43" s="17">
        <v>0.50029999999999997</v>
      </c>
      <c r="K43" s="17">
        <v>3.8378999999999999</v>
      </c>
      <c r="L43" s="17">
        <v>0.64949999999999997</v>
      </c>
      <c r="M43" s="17">
        <v>2.4935</v>
      </c>
      <c r="N43" s="17">
        <v>0.91620000000000001</v>
      </c>
      <c r="O43" s="17">
        <v>1.5875999999999999</v>
      </c>
      <c r="P43" s="17">
        <v>1.2519</v>
      </c>
      <c r="Q43" s="17">
        <v>2.7204999999999999</v>
      </c>
      <c r="R43" s="17">
        <v>4.8308</v>
      </c>
      <c r="S43" s="17">
        <v>2.0284</v>
      </c>
      <c r="T43" s="17">
        <v>4.7758000000000003</v>
      </c>
      <c r="U43" s="17">
        <v>3.3188</v>
      </c>
      <c r="V43" s="17">
        <v>2.1613000000000002</v>
      </c>
      <c r="W43" s="85">
        <v>2.2189000000000001</v>
      </c>
      <c r="X43" s="34">
        <v>3.2416999999999998</v>
      </c>
      <c r="Y43" s="17">
        <v>5.2834000000000003</v>
      </c>
      <c r="Z43" s="17">
        <v>2.1286999999999998</v>
      </c>
      <c r="AA43" s="17">
        <v>4.4984000000000002</v>
      </c>
      <c r="AB43" s="17">
        <v>0.5504</v>
      </c>
      <c r="AC43" s="17">
        <v>3.9992000000000001</v>
      </c>
      <c r="AD43" s="17">
        <v>1.5297000000000001</v>
      </c>
      <c r="AE43" s="17">
        <v>4.1134000000000004</v>
      </c>
      <c r="AF43" s="17">
        <v>0.18920000000000001</v>
      </c>
      <c r="AG43" s="17">
        <v>1.3584000000000001</v>
      </c>
      <c r="AH43" s="17">
        <v>4.7929000000000004</v>
      </c>
      <c r="AI43" s="17">
        <v>4.0358000000000001</v>
      </c>
      <c r="AJ43" s="17">
        <v>2.5194000000000001</v>
      </c>
      <c r="AK43" s="17">
        <v>11.6302</v>
      </c>
      <c r="AL43" s="17">
        <v>3.0127000000000002</v>
      </c>
      <c r="AM43" s="17">
        <v>7.4687000000000001</v>
      </c>
      <c r="AN43" s="17">
        <v>6.4913999999999996</v>
      </c>
      <c r="AO43" s="17">
        <v>1.8159000000000001</v>
      </c>
      <c r="AP43" s="17">
        <v>1.3653</v>
      </c>
      <c r="AQ43" s="85">
        <v>1.4503999999999999</v>
      </c>
    </row>
    <row r="44" spans="1:43" x14ac:dyDescent="0.2">
      <c r="A44" s="34">
        <f t="shared" si="0"/>
        <v>4.7328730769230765</v>
      </c>
      <c r="B44" s="17">
        <v>8</v>
      </c>
      <c r="C44" s="17">
        <v>39</v>
      </c>
      <c r="D44" s="34">
        <v>3.0249999999999999</v>
      </c>
      <c r="E44" s="17">
        <v>10.0448</v>
      </c>
      <c r="F44" s="17">
        <v>4.6619999999999999</v>
      </c>
      <c r="G44" s="17">
        <v>4.6100000000000003</v>
      </c>
      <c r="H44" s="17">
        <v>2.3917999999999999</v>
      </c>
      <c r="I44" s="17">
        <v>8.5434999999999999</v>
      </c>
      <c r="J44" s="17">
        <v>3.6371000000000002</v>
      </c>
      <c r="K44" s="17">
        <v>10.693300000000001</v>
      </c>
      <c r="L44" s="17">
        <v>0.47149999999999997</v>
      </c>
      <c r="M44" s="17">
        <v>2.4432</v>
      </c>
      <c r="N44" s="17">
        <v>3.3382000000000001</v>
      </c>
      <c r="O44" s="17">
        <v>3.9573</v>
      </c>
      <c r="P44" s="17">
        <v>0.52439999999999998</v>
      </c>
      <c r="Q44" s="17">
        <v>8.0734999999999992</v>
      </c>
      <c r="R44" s="17">
        <v>1.9094</v>
      </c>
      <c r="S44" s="17">
        <v>1.7649999999999999</v>
      </c>
      <c r="T44" s="17">
        <v>1.341</v>
      </c>
      <c r="U44" s="17">
        <v>2.7648999999999999</v>
      </c>
      <c r="V44" s="17">
        <v>2.2240000000000002</v>
      </c>
      <c r="W44" s="85">
        <v>12.0977</v>
      </c>
      <c r="X44" s="34">
        <v>5.9656000000000002</v>
      </c>
      <c r="Y44" s="17">
        <v>6.1844999999999999</v>
      </c>
      <c r="Z44" s="17">
        <v>6.4013999999999998</v>
      </c>
      <c r="AA44" s="17">
        <v>2.6113</v>
      </c>
      <c r="AB44" s="17">
        <v>0.99160000000000004</v>
      </c>
      <c r="AC44" s="17">
        <v>9.1280999999999999</v>
      </c>
      <c r="AD44" s="17">
        <v>6.2796000000000003</v>
      </c>
      <c r="AE44" s="17">
        <v>14.107900000000001</v>
      </c>
      <c r="AF44" s="17">
        <v>1.2097</v>
      </c>
      <c r="AG44" s="17">
        <v>5.1981999999999999</v>
      </c>
      <c r="AH44" s="17">
        <v>3.7909999999999999</v>
      </c>
      <c r="AI44" s="17">
        <v>7.0788000000000002</v>
      </c>
      <c r="AJ44" s="17">
        <v>2.3466</v>
      </c>
      <c r="AK44" s="17">
        <v>4.4534000000000002</v>
      </c>
      <c r="AL44" s="17">
        <v>3.9582999999999999</v>
      </c>
      <c r="AM44" s="17">
        <v>15.636799999999999</v>
      </c>
      <c r="AN44" s="17">
        <v>0.99760000000000004</v>
      </c>
      <c r="AO44" s="17">
        <v>9.7881</v>
      </c>
      <c r="AP44" s="17">
        <v>5.6382000000000003</v>
      </c>
      <c r="AQ44" s="85">
        <v>8.3163999999999998</v>
      </c>
    </row>
    <row r="45" spans="1:43" x14ac:dyDescent="0.2">
      <c r="A45" s="34">
        <f t="shared" si="0"/>
        <v>3.658773076923076</v>
      </c>
      <c r="B45" s="17">
        <v>91</v>
      </c>
      <c r="C45" s="17">
        <v>40</v>
      </c>
      <c r="D45" s="34">
        <v>0.67600000000000005</v>
      </c>
      <c r="E45" s="17">
        <v>3.7528000000000001</v>
      </c>
      <c r="F45" s="17">
        <v>4.8250000000000002</v>
      </c>
      <c r="G45" s="17">
        <v>2.2025000000000001</v>
      </c>
      <c r="H45" s="17">
        <v>2.0785</v>
      </c>
      <c r="I45" s="17">
        <v>6.1177999999999999</v>
      </c>
      <c r="J45" s="17">
        <v>1.0457000000000001</v>
      </c>
      <c r="K45" s="17">
        <v>1.2526999999999999</v>
      </c>
      <c r="L45" s="17">
        <v>2.9590999999999998</v>
      </c>
      <c r="M45" s="17">
        <v>1.5498000000000001</v>
      </c>
      <c r="N45" s="17">
        <v>5.9249000000000001</v>
      </c>
      <c r="O45" s="17">
        <v>2.8957000000000002</v>
      </c>
      <c r="P45" s="17">
        <v>0.58960000000000001</v>
      </c>
      <c r="Q45" s="17">
        <v>4.5907</v>
      </c>
      <c r="R45" s="17">
        <v>3.3035000000000001</v>
      </c>
      <c r="S45" s="17">
        <v>5.2709000000000001</v>
      </c>
      <c r="T45" s="17">
        <v>3.8319000000000001</v>
      </c>
      <c r="U45" s="17">
        <v>7.4659000000000004</v>
      </c>
      <c r="V45" s="17">
        <v>2.4003999999999999</v>
      </c>
      <c r="W45" s="85">
        <v>3.9308999999999998</v>
      </c>
      <c r="X45" s="34">
        <v>2.8502999999999998</v>
      </c>
      <c r="Y45" s="17">
        <v>5.3987999999999996</v>
      </c>
      <c r="Z45" s="17">
        <v>0.93820000000000003</v>
      </c>
      <c r="AA45" s="17">
        <v>5.1243999999999996</v>
      </c>
      <c r="AB45" s="17">
        <v>1.2887</v>
      </c>
      <c r="AC45" s="17">
        <v>8.7972000000000001</v>
      </c>
      <c r="AD45" s="17">
        <v>4.7422000000000004</v>
      </c>
      <c r="AE45" s="17">
        <v>5.1604000000000001</v>
      </c>
      <c r="AF45" s="17">
        <v>0.61770000000000003</v>
      </c>
      <c r="AG45" s="17">
        <v>2.8538000000000001</v>
      </c>
      <c r="AH45" s="17">
        <v>6.2481</v>
      </c>
      <c r="AI45" s="17">
        <v>6.4706999999999999</v>
      </c>
      <c r="AJ45" s="17">
        <v>0.17560000000000001</v>
      </c>
      <c r="AK45" s="17">
        <v>7.1460999999999997</v>
      </c>
      <c r="AL45" s="17">
        <v>11.495799999999999</v>
      </c>
      <c r="AM45" s="17">
        <v>3.2063999999999999</v>
      </c>
      <c r="AN45" s="17">
        <v>1.4123000000000001</v>
      </c>
      <c r="AO45" s="17">
        <v>0.51780000000000004</v>
      </c>
      <c r="AP45" s="17">
        <v>15.0482</v>
      </c>
      <c r="AQ45" s="85">
        <v>0.27760000000000001</v>
      </c>
    </row>
    <row r="46" spans="1:43" x14ac:dyDescent="0.2">
      <c r="A46" s="34">
        <f t="shared" si="0"/>
        <v>5.6020730769230767</v>
      </c>
      <c r="B46" s="17">
        <v>93</v>
      </c>
      <c r="C46" s="17">
        <v>41</v>
      </c>
      <c r="D46" s="34">
        <v>3.3083999999999998</v>
      </c>
      <c r="E46" s="17">
        <v>8.3337000000000003</v>
      </c>
      <c r="F46" s="17">
        <v>5.2343999999999999</v>
      </c>
      <c r="G46" s="17">
        <v>8.6046999999999993</v>
      </c>
      <c r="H46" s="17">
        <v>4.1254</v>
      </c>
      <c r="I46" s="17">
        <v>7.6797000000000004</v>
      </c>
      <c r="J46" s="17">
        <v>5.9031000000000002</v>
      </c>
      <c r="K46" s="17">
        <v>1.8973</v>
      </c>
      <c r="L46" s="17">
        <v>3.1164000000000001</v>
      </c>
      <c r="M46" s="17">
        <v>2.7776999999999998</v>
      </c>
      <c r="N46" s="17">
        <v>6.6513999999999998</v>
      </c>
      <c r="O46" s="17">
        <v>2.7633999999999999</v>
      </c>
      <c r="P46" s="17">
        <v>4.5624000000000002</v>
      </c>
      <c r="Q46" s="17">
        <v>12.1821</v>
      </c>
      <c r="R46" s="17">
        <v>6.9043000000000001</v>
      </c>
      <c r="S46" s="17">
        <v>8.4192999999999998</v>
      </c>
      <c r="T46" s="17">
        <v>3.0838999999999999</v>
      </c>
      <c r="U46" s="17">
        <v>5.5397999999999996</v>
      </c>
      <c r="V46" s="17">
        <v>3.702</v>
      </c>
      <c r="W46" s="85">
        <v>8.0649999999999995</v>
      </c>
      <c r="X46" s="34">
        <v>5.1479999999999997</v>
      </c>
      <c r="Y46" s="17">
        <v>4.3395000000000001</v>
      </c>
      <c r="Z46" s="17">
        <v>2.1953</v>
      </c>
      <c r="AA46" s="17">
        <v>2.4735999999999998</v>
      </c>
      <c r="AB46" s="17">
        <v>4.1055999999999999</v>
      </c>
      <c r="AC46" s="17">
        <v>8.9178999999999995</v>
      </c>
      <c r="AD46" s="17">
        <v>8.9280000000000008</v>
      </c>
      <c r="AE46" s="17">
        <v>5.1345000000000001</v>
      </c>
      <c r="AF46" s="17">
        <v>5.8818999999999999</v>
      </c>
      <c r="AG46" s="17">
        <v>2.6162000000000001</v>
      </c>
      <c r="AH46" s="17">
        <v>3.8071999999999999</v>
      </c>
      <c r="AI46" s="17">
        <v>4.673</v>
      </c>
      <c r="AJ46" s="17">
        <v>0.42980000000000002</v>
      </c>
      <c r="AK46" s="17">
        <v>8.3867999999999991</v>
      </c>
      <c r="AL46" s="17">
        <v>3.8555999999999999</v>
      </c>
      <c r="AM46" s="17">
        <v>8.9883000000000006</v>
      </c>
      <c r="AN46" s="17">
        <v>3.8203</v>
      </c>
      <c r="AO46" s="17">
        <v>3.9836</v>
      </c>
      <c r="AP46" s="17">
        <v>12.477499999999999</v>
      </c>
      <c r="AQ46" s="85">
        <v>12.8155</v>
      </c>
    </row>
    <row r="47" spans="1:43" x14ac:dyDescent="0.2">
      <c r="A47" s="34">
        <f t="shared" si="0"/>
        <v>4.2942038461538461</v>
      </c>
      <c r="B47" s="17">
        <v>94</v>
      </c>
      <c r="C47" s="17">
        <v>42</v>
      </c>
      <c r="D47" s="34">
        <v>3.2</v>
      </c>
      <c r="E47" s="17">
        <v>4.4545000000000003</v>
      </c>
      <c r="F47" s="17">
        <v>4.8204000000000002</v>
      </c>
      <c r="G47" s="17">
        <v>4.1307999999999998</v>
      </c>
      <c r="H47" s="17">
        <v>4.1679000000000004</v>
      </c>
      <c r="I47" s="17">
        <v>4.9370000000000003</v>
      </c>
      <c r="J47" s="17">
        <v>4.1412000000000004</v>
      </c>
      <c r="K47" s="17">
        <v>3.3854000000000002</v>
      </c>
      <c r="L47" s="17">
        <v>2.4670999999999998</v>
      </c>
      <c r="M47" s="17">
        <v>1.3789</v>
      </c>
      <c r="N47" s="17">
        <v>4.7198000000000002</v>
      </c>
      <c r="O47" s="17">
        <v>3.9790000000000001</v>
      </c>
      <c r="P47" s="17">
        <v>1.746</v>
      </c>
      <c r="Q47" s="17">
        <v>6.0400999999999998</v>
      </c>
      <c r="R47" s="17">
        <v>3.4603999999999999</v>
      </c>
      <c r="S47" s="17">
        <v>5.2794999999999996</v>
      </c>
      <c r="T47" s="17">
        <v>3.7505999999999999</v>
      </c>
      <c r="U47" s="17">
        <v>10.581099999999999</v>
      </c>
      <c r="V47" s="17">
        <v>6.8426999999999998</v>
      </c>
      <c r="W47" s="85">
        <v>1.3660000000000001</v>
      </c>
      <c r="X47" s="34">
        <v>5.0907999999999998</v>
      </c>
      <c r="Y47" s="17">
        <v>4.5987</v>
      </c>
      <c r="Z47" s="17">
        <v>1.7282999999999999</v>
      </c>
      <c r="AA47" s="17">
        <v>4.8270999999999997</v>
      </c>
      <c r="AB47" s="17">
        <v>3.0895999999999999</v>
      </c>
      <c r="AC47" s="17">
        <v>5.3074000000000003</v>
      </c>
      <c r="AD47" s="17">
        <v>5.359</v>
      </c>
      <c r="AE47" s="17">
        <v>5.1086</v>
      </c>
      <c r="AF47" s="17">
        <v>5.6483999999999996</v>
      </c>
      <c r="AG47" s="17">
        <v>5.1757</v>
      </c>
      <c r="AH47" s="17">
        <v>5.0098000000000003</v>
      </c>
      <c r="AI47" s="17">
        <v>2.9695999999999998</v>
      </c>
      <c r="AJ47" s="17">
        <v>5.1681999999999997</v>
      </c>
      <c r="AK47" s="17">
        <v>5.8398000000000003</v>
      </c>
      <c r="AL47" s="17">
        <v>5.4654999999999996</v>
      </c>
      <c r="AM47" s="17">
        <v>7.8143000000000002</v>
      </c>
      <c r="AN47" s="17">
        <v>4.5587</v>
      </c>
      <c r="AO47" s="17">
        <v>3.6541000000000001</v>
      </c>
      <c r="AP47" s="17">
        <v>1.3217000000000001</v>
      </c>
      <c r="AQ47" s="85">
        <v>1.9152</v>
      </c>
    </row>
    <row r="48" spans="1:43" x14ac:dyDescent="0.2">
      <c r="A48" s="34">
        <f t="shared" si="0"/>
        <v>3.9962384615384616</v>
      </c>
      <c r="B48" s="17">
        <v>95</v>
      </c>
      <c r="C48" s="17">
        <v>43</v>
      </c>
      <c r="D48" s="34">
        <v>3.0916000000000001</v>
      </c>
      <c r="E48" s="17">
        <v>4.8571</v>
      </c>
      <c r="F48" s="17">
        <v>4.8182</v>
      </c>
      <c r="G48" s="17">
        <v>1.8646</v>
      </c>
      <c r="H48" s="17">
        <v>6.1997999999999998</v>
      </c>
      <c r="I48" s="17">
        <v>6.1452999999999998</v>
      </c>
      <c r="J48" s="17">
        <v>3.7395</v>
      </c>
      <c r="K48" s="17">
        <v>5.1787999999999998</v>
      </c>
      <c r="L48" s="17">
        <v>2.0198</v>
      </c>
      <c r="M48" s="17">
        <v>2.2094</v>
      </c>
      <c r="N48" s="17">
        <v>3.4087999999999998</v>
      </c>
      <c r="O48" s="17">
        <v>1.7839</v>
      </c>
      <c r="P48" s="17">
        <v>1.7045999999999999</v>
      </c>
      <c r="Q48" s="17">
        <v>6.1043000000000003</v>
      </c>
      <c r="R48" s="17">
        <v>2.8106</v>
      </c>
      <c r="S48" s="17">
        <v>5.625</v>
      </c>
      <c r="T48" s="17">
        <v>3.6257999999999999</v>
      </c>
      <c r="U48" s="17">
        <v>3.431</v>
      </c>
      <c r="V48" s="17">
        <v>3.7435</v>
      </c>
      <c r="W48" s="85">
        <v>4.1589999999999998</v>
      </c>
      <c r="X48" s="34">
        <v>5.0336999999999996</v>
      </c>
      <c r="Y48" s="17">
        <v>4.8324999999999996</v>
      </c>
      <c r="Z48" s="17">
        <v>1.6281000000000001</v>
      </c>
      <c r="AA48" s="17">
        <v>2.2818000000000001</v>
      </c>
      <c r="AB48" s="17">
        <v>3.6566000000000001</v>
      </c>
      <c r="AC48" s="17">
        <v>9.1593</v>
      </c>
      <c r="AD48" s="17">
        <v>3.8812000000000002</v>
      </c>
      <c r="AE48" s="17">
        <v>2.3828</v>
      </c>
      <c r="AF48" s="17">
        <v>2.5228999999999999</v>
      </c>
      <c r="AG48" s="17">
        <v>4.7026000000000003</v>
      </c>
      <c r="AH48" s="17">
        <v>9.3236000000000008</v>
      </c>
      <c r="AI48" s="17">
        <v>5.2278000000000002</v>
      </c>
      <c r="AJ48" s="17">
        <v>2.6052</v>
      </c>
      <c r="AK48" s="17">
        <v>5.8475000000000001</v>
      </c>
      <c r="AL48" s="17">
        <v>10.935600000000001</v>
      </c>
      <c r="AM48" s="17">
        <v>5.7263999999999999</v>
      </c>
      <c r="AN48" s="17">
        <v>8.0512999999999995</v>
      </c>
      <c r="AO48" s="17">
        <v>4.4973000000000001</v>
      </c>
      <c r="AP48" s="17">
        <v>5.7178000000000004</v>
      </c>
      <c r="AQ48" s="85">
        <v>4.4824999999999999</v>
      </c>
    </row>
    <row r="49" spans="1:43" x14ac:dyDescent="0.2">
      <c r="A49" s="34">
        <f t="shared" si="0"/>
        <v>5.0945346153846165</v>
      </c>
      <c r="B49" s="17">
        <v>96</v>
      </c>
      <c r="C49" s="17">
        <v>44</v>
      </c>
      <c r="D49" s="34">
        <v>3.7772999999999999</v>
      </c>
      <c r="E49" s="17">
        <v>10.397399999999999</v>
      </c>
      <c r="F49" s="17">
        <v>4.8159000000000001</v>
      </c>
      <c r="G49" s="17">
        <v>3.9119000000000002</v>
      </c>
      <c r="H49" s="17">
        <v>9.0650999999999993</v>
      </c>
      <c r="I49" s="17">
        <v>9.4190000000000005</v>
      </c>
      <c r="J49" s="17">
        <v>7.1109</v>
      </c>
      <c r="K49" s="17">
        <v>2.3283</v>
      </c>
      <c r="L49" s="17">
        <v>2.3925999999999998</v>
      </c>
      <c r="M49" s="17">
        <v>0.80559999999999998</v>
      </c>
      <c r="N49" s="17">
        <v>2.7323</v>
      </c>
      <c r="O49" s="17">
        <v>4.3692000000000002</v>
      </c>
      <c r="P49" s="17">
        <v>1.2609999999999999</v>
      </c>
      <c r="Q49" s="17">
        <v>7.2279</v>
      </c>
      <c r="R49" s="17">
        <v>4.3780999999999999</v>
      </c>
      <c r="S49" s="17">
        <v>0.90669999999999995</v>
      </c>
      <c r="T49" s="17">
        <v>3.3361999999999998</v>
      </c>
      <c r="U49" s="17">
        <v>11.715400000000001</v>
      </c>
      <c r="V49" s="17">
        <v>1.8402000000000001</v>
      </c>
      <c r="W49" s="85">
        <v>7.0298999999999996</v>
      </c>
      <c r="X49" s="34">
        <v>4.9764999999999997</v>
      </c>
      <c r="Y49" s="17">
        <v>1.2138</v>
      </c>
      <c r="Z49" s="17">
        <v>1.528</v>
      </c>
      <c r="AA49" s="17">
        <v>9.9168000000000003</v>
      </c>
      <c r="AB49" s="17">
        <v>4.3274999999999997</v>
      </c>
      <c r="AC49" s="17">
        <v>11.8445</v>
      </c>
      <c r="AD49" s="17">
        <v>3.6072000000000002</v>
      </c>
      <c r="AE49" s="17">
        <v>6.2864000000000004</v>
      </c>
      <c r="AF49" s="17">
        <v>1.6328</v>
      </c>
      <c r="AG49" s="17">
        <v>6.0567000000000002</v>
      </c>
      <c r="AH49" s="17">
        <v>7.6962000000000002</v>
      </c>
      <c r="AI49" s="17">
        <v>9.7157</v>
      </c>
      <c r="AJ49" s="17">
        <v>4.1425999999999998</v>
      </c>
      <c r="AK49" s="17">
        <v>8.6720000000000006</v>
      </c>
      <c r="AL49" s="17">
        <v>4.2333999999999996</v>
      </c>
      <c r="AM49" s="17">
        <v>11.293900000000001</v>
      </c>
      <c r="AN49" s="17">
        <v>6.4147999999999996</v>
      </c>
      <c r="AO49" s="17">
        <v>5.2050000000000001</v>
      </c>
      <c r="AP49" s="17">
        <v>7.8335999999999997</v>
      </c>
      <c r="AQ49" s="85">
        <v>3.8313000000000001</v>
      </c>
    </row>
    <row r="50" spans="1:43" x14ac:dyDescent="0.2">
      <c r="A50" s="86">
        <f t="shared" si="0"/>
        <v>3.8759423076923083</v>
      </c>
      <c r="B50" s="87">
        <v>9</v>
      </c>
      <c r="C50" s="87">
        <v>45</v>
      </c>
      <c r="D50" s="86">
        <v>2.8748999999999998</v>
      </c>
      <c r="E50" s="87">
        <v>2.6629</v>
      </c>
      <c r="F50" s="87">
        <v>6.2374000000000001</v>
      </c>
      <c r="G50" s="87">
        <v>3.2597999999999998</v>
      </c>
      <c r="H50" s="87">
        <v>6.4579000000000004</v>
      </c>
      <c r="I50" s="87">
        <v>5.3357999999999999</v>
      </c>
      <c r="J50" s="87">
        <v>1.9779</v>
      </c>
      <c r="K50" s="87">
        <v>3.1743000000000001</v>
      </c>
      <c r="L50" s="87">
        <v>2.1147</v>
      </c>
      <c r="M50" s="87">
        <v>3.8172000000000001</v>
      </c>
      <c r="N50" s="87">
        <v>2.4780000000000002</v>
      </c>
      <c r="O50" s="87">
        <v>6.6167999999999996</v>
      </c>
      <c r="P50" s="87">
        <v>6.3402000000000003</v>
      </c>
      <c r="Q50" s="87">
        <v>4.6242000000000001</v>
      </c>
      <c r="R50" s="87">
        <v>4.6132999999999997</v>
      </c>
      <c r="S50" s="87">
        <v>3.4276</v>
      </c>
      <c r="T50" s="87">
        <v>1.1282000000000001</v>
      </c>
      <c r="U50" s="87">
        <v>2.2286000000000001</v>
      </c>
      <c r="V50" s="87">
        <v>3.0884999999999998</v>
      </c>
      <c r="W50" s="88">
        <v>1.8110999999999999</v>
      </c>
      <c r="X50" s="86">
        <v>4.9192999999999998</v>
      </c>
      <c r="Y50" s="87">
        <v>6.1397000000000004</v>
      </c>
      <c r="Z50" s="87">
        <v>0.53269999999999995</v>
      </c>
      <c r="AA50" s="87">
        <v>4.2249999999999996</v>
      </c>
      <c r="AB50" s="87">
        <v>2.2362000000000002</v>
      </c>
      <c r="AC50" s="87">
        <v>9.4008000000000003</v>
      </c>
      <c r="AD50" s="87">
        <v>1.9263999999999999</v>
      </c>
      <c r="AE50" s="87">
        <v>2.8458000000000001</v>
      </c>
      <c r="AF50" s="87">
        <v>2.4763000000000002</v>
      </c>
      <c r="AG50" s="87">
        <v>1.0649999999999999</v>
      </c>
      <c r="AH50" s="87">
        <v>4.7378999999999998</v>
      </c>
      <c r="AI50" s="87">
        <v>1.8291999999999999</v>
      </c>
      <c r="AJ50" s="87">
        <v>2.5629</v>
      </c>
      <c r="AK50" s="87">
        <v>4.6740000000000004</v>
      </c>
      <c r="AL50" s="87">
        <v>3.4925999999999999</v>
      </c>
      <c r="AM50" s="87">
        <v>3.1800999999999999</v>
      </c>
      <c r="AN50" s="87">
        <v>5.8048000000000002</v>
      </c>
      <c r="AO50" s="87">
        <v>2.4195000000000002</v>
      </c>
      <c r="AP50" s="87">
        <v>4.0537999999999998</v>
      </c>
      <c r="AQ50" s="88">
        <v>4.8696999999999999</v>
      </c>
    </row>
    <row r="52" spans="1:43" ht="15.75" x14ac:dyDescent="0.2">
      <c r="A52" s="342" t="s">
        <v>135</v>
      </c>
      <c r="B52" s="343"/>
      <c r="C52" s="343"/>
      <c r="D52" s="344" t="s">
        <v>137</v>
      </c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5"/>
      <c r="X52" s="344" t="s">
        <v>138</v>
      </c>
      <c r="Y52" s="344"/>
      <c r="Z52" s="344"/>
      <c r="AA52" s="344"/>
      <c r="AB52" s="344"/>
      <c r="AC52" s="344"/>
      <c r="AD52" s="344"/>
      <c r="AE52" s="344"/>
      <c r="AF52" s="344"/>
      <c r="AG52" s="344"/>
      <c r="AH52" s="344"/>
      <c r="AI52" s="344"/>
      <c r="AJ52" s="344"/>
      <c r="AK52" s="344"/>
      <c r="AL52" s="344"/>
      <c r="AM52" s="344"/>
      <c r="AN52" s="344"/>
      <c r="AO52" s="344"/>
      <c r="AP52" s="344"/>
      <c r="AQ52" s="345"/>
    </row>
    <row r="53" spans="1:43" ht="15.75" x14ac:dyDescent="0.2">
      <c r="A53" s="89" t="s">
        <v>97</v>
      </c>
      <c r="B53" s="92"/>
      <c r="C53" s="9" t="s">
        <v>46</v>
      </c>
      <c r="D53" s="10">
        <v>2</v>
      </c>
      <c r="E53" s="10">
        <v>11</v>
      </c>
      <c r="F53" s="10">
        <v>12</v>
      </c>
      <c r="G53" s="10">
        <v>18</v>
      </c>
      <c r="H53" s="10">
        <v>15</v>
      </c>
      <c r="I53" s="10">
        <v>3</v>
      </c>
      <c r="J53" s="10">
        <v>20</v>
      </c>
      <c r="K53" s="10">
        <v>19</v>
      </c>
      <c r="L53" s="10">
        <v>7</v>
      </c>
      <c r="M53" s="10">
        <v>8</v>
      </c>
      <c r="N53" s="10">
        <v>1</v>
      </c>
      <c r="O53" s="10">
        <v>16</v>
      </c>
      <c r="P53" s="10">
        <v>9</v>
      </c>
      <c r="Q53" s="10">
        <v>4</v>
      </c>
      <c r="R53" s="10">
        <v>5</v>
      </c>
      <c r="S53" s="10">
        <v>13</v>
      </c>
      <c r="T53" s="10">
        <v>17</v>
      </c>
      <c r="U53" s="10">
        <v>14</v>
      </c>
      <c r="V53" s="10">
        <v>10</v>
      </c>
      <c r="W53" s="10">
        <v>6</v>
      </c>
      <c r="X53" s="33">
        <v>2</v>
      </c>
      <c r="Y53" s="10">
        <v>11</v>
      </c>
      <c r="Z53" s="10">
        <v>12</v>
      </c>
      <c r="AA53" s="10">
        <v>18</v>
      </c>
      <c r="AB53" s="10">
        <v>15</v>
      </c>
      <c r="AC53" s="10">
        <v>3</v>
      </c>
      <c r="AD53" s="10">
        <v>20</v>
      </c>
      <c r="AE53" s="10">
        <v>19</v>
      </c>
      <c r="AF53" s="10">
        <v>7</v>
      </c>
      <c r="AG53" s="10">
        <v>8</v>
      </c>
      <c r="AH53" s="10">
        <v>1</v>
      </c>
      <c r="AI53" s="10">
        <v>16</v>
      </c>
      <c r="AJ53" s="10">
        <v>9</v>
      </c>
      <c r="AK53" s="10">
        <v>4</v>
      </c>
      <c r="AL53" s="10">
        <v>5</v>
      </c>
      <c r="AM53" s="10">
        <v>13</v>
      </c>
      <c r="AN53" s="10">
        <v>17</v>
      </c>
      <c r="AO53" s="10">
        <v>14</v>
      </c>
      <c r="AP53" s="10">
        <v>10</v>
      </c>
      <c r="AQ53" s="90">
        <v>6</v>
      </c>
    </row>
    <row r="54" spans="1:43" ht="15.75" x14ac:dyDescent="0.2">
      <c r="A54" s="89"/>
      <c r="B54" s="92"/>
      <c r="C54" s="9" t="s">
        <v>47</v>
      </c>
      <c r="D54" s="10">
        <v>1</v>
      </c>
      <c r="E54" s="11">
        <v>2</v>
      </c>
      <c r="F54" s="11">
        <v>3</v>
      </c>
      <c r="G54" s="12">
        <v>4</v>
      </c>
      <c r="H54" s="13">
        <v>5</v>
      </c>
      <c r="I54" s="14">
        <v>6</v>
      </c>
      <c r="J54" s="10">
        <v>7</v>
      </c>
      <c r="K54" s="12">
        <v>8</v>
      </c>
      <c r="L54" s="15">
        <v>9</v>
      </c>
      <c r="M54" s="15">
        <v>10</v>
      </c>
      <c r="N54" s="16">
        <v>11</v>
      </c>
      <c r="O54" s="13">
        <v>12</v>
      </c>
      <c r="P54" s="15">
        <v>13</v>
      </c>
      <c r="Q54" s="14">
        <v>14</v>
      </c>
      <c r="R54" s="14">
        <v>15</v>
      </c>
      <c r="S54" s="11">
        <v>16</v>
      </c>
      <c r="T54" s="13">
        <v>17</v>
      </c>
      <c r="U54" s="11">
        <v>18</v>
      </c>
      <c r="V54" s="15">
        <v>19</v>
      </c>
      <c r="W54" s="14">
        <v>20</v>
      </c>
      <c r="X54" s="33">
        <v>1</v>
      </c>
      <c r="Y54" s="11">
        <v>2</v>
      </c>
      <c r="Z54" s="11">
        <v>3</v>
      </c>
      <c r="AA54" s="12">
        <v>4</v>
      </c>
      <c r="AB54" s="13">
        <v>5</v>
      </c>
      <c r="AC54" s="14">
        <v>6</v>
      </c>
      <c r="AD54" s="10">
        <v>7</v>
      </c>
      <c r="AE54" s="12">
        <v>8</v>
      </c>
      <c r="AF54" s="15">
        <v>9</v>
      </c>
      <c r="AG54" s="15">
        <v>10</v>
      </c>
      <c r="AH54" s="16">
        <v>11</v>
      </c>
      <c r="AI54" s="13">
        <v>12</v>
      </c>
      <c r="AJ54" s="15">
        <v>13</v>
      </c>
      <c r="AK54" s="14">
        <v>14</v>
      </c>
      <c r="AL54" s="14">
        <v>15</v>
      </c>
      <c r="AM54" s="11">
        <v>16</v>
      </c>
      <c r="AN54" s="13">
        <v>17</v>
      </c>
      <c r="AO54" s="11">
        <v>18</v>
      </c>
      <c r="AP54" s="15">
        <v>19</v>
      </c>
      <c r="AQ54" s="91">
        <v>20</v>
      </c>
    </row>
    <row r="55" spans="1:43" ht="15.75" x14ac:dyDescent="0.2">
      <c r="A55" s="89"/>
      <c r="B55" s="92"/>
      <c r="C55" s="9"/>
      <c r="D55" s="10" t="s">
        <v>0</v>
      </c>
      <c r="E55" s="11" t="s">
        <v>2</v>
      </c>
      <c r="F55" s="11" t="s">
        <v>4</v>
      </c>
      <c r="G55" s="12" t="s">
        <v>6</v>
      </c>
      <c r="H55" s="13" t="s">
        <v>8</v>
      </c>
      <c r="I55" s="14" t="s">
        <v>10</v>
      </c>
      <c r="J55" s="10" t="s">
        <v>12</v>
      </c>
      <c r="K55" s="12" t="s">
        <v>14</v>
      </c>
      <c r="L55" s="15" t="s">
        <v>16</v>
      </c>
      <c r="M55" s="15" t="s">
        <v>18</v>
      </c>
      <c r="N55" s="16" t="s">
        <v>20</v>
      </c>
      <c r="O55" s="13" t="s">
        <v>22</v>
      </c>
      <c r="P55" s="15" t="s">
        <v>24</v>
      </c>
      <c r="Q55" s="14" t="s">
        <v>26</v>
      </c>
      <c r="R55" s="14" t="s">
        <v>28</v>
      </c>
      <c r="S55" s="11" t="s">
        <v>30</v>
      </c>
      <c r="T55" s="13" t="s">
        <v>32</v>
      </c>
      <c r="U55" s="11" t="s">
        <v>34</v>
      </c>
      <c r="V55" s="15" t="s">
        <v>36</v>
      </c>
      <c r="W55" s="14" t="s">
        <v>38</v>
      </c>
      <c r="X55" s="33" t="s">
        <v>0</v>
      </c>
      <c r="Y55" s="11" t="s">
        <v>2</v>
      </c>
      <c r="Z55" s="11" t="s">
        <v>4</v>
      </c>
      <c r="AA55" s="12" t="s">
        <v>6</v>
      </c>
      <c r="AB55" s="13" t="s">
        <v>8</v>
      </c>
      <c r="AC55" s="14" t="s">
        <v>10</v>
      </c>
      <c r="AD55" s="10" t="s">
        <v>12</v>
      </c>
      <c r="AE55" s="12" t="s">
        <v>14</v>
      </c>
      <c r="AF55" s="15" t="s">
        <v>16</v>
      </c>
      <c r="AG55" s="15" t="s">
        <v>18</v>
      </c>
      <c r="AH55" s="16" t="s">
        <v>20</v>
      </c>
      <c r="AI55" s="13" t="s">
        <v>22</v>
      </c>
      <c r="AJ55" s="15" t="s">
        <v>24</v>
      </c>
      <c r="AK55" s="14" t="s">
        <v>26</v>
      </c>
      <c r="AL55" s="14" t="s">
        <v>28</v>
      </c>
      <c r="AM55" s="11" t="s">
        <v>30</v>
      </c>
      <c r="AN55" s="13" t="s">
        <v>32</v>
      </c>
      <c r="AO55" s="11" t="s">
        <v>34</v>
      </c>
      <c r="AP55" s="15" t="s">
        <v>36</v>
      </c>
      <c r="AQ55" s="91" t="s">
        <v>38</v>
      </c>
    </row>
    <row r="56" spans="1:43" ht="22.5" x14ac:dyDescent="0.2">
      <c r="A56" s="89" t="s">
        <v>94</v>
      </c>
      <c r="B56" s="9" t="s">
        <v>58</v>
      </c>
      <c r="C56" s="17" t="s">
        <v>45</v>
      </c>
      <c r="D56" s="10" t="s">
        <v>1</v>
      </c>
      <c r="E56" s="11" t="s">
        <v>3</v>
      </c>
      <c r="F56" s="11" t="s">
        <v>5</v>
      </c>
      <c r="G56" s="12" t="s">
        <v>7</v>
      </c>
      <c r="H56" s="13" t="s">
        <v>9</v>
      </c>
      <c r="I56" s="14" t="s">
        <v>11</v>
      </c>
      <c r="J56" s="10" t="s">
        <v>13</v>
      </c>
      <c r="K56" s="12" t="s">
        <v>15</v>
      </c>
      <c r="L56" s="15" t="s">
        <v>17</v>
      </c>
      <c r="M56" s="15" t="s">
        <v>19</v>
      </c>
      <c r="N56" s="16" t="s">
        <v>21</v>
      </c>
      <c r="O56" s="13" t="s">
        <v>23</v>
      </c>
      <c r="P56" s="15" t="s">
        <v>25</v>
      </c>
      <c r="Q56" s="14" t="s">
        <v>27</v>
      </c>
      <c r="R56" s="14" t="s">
        <v>29</v>
      </c>
      <c r="S56" s="11" t="s">
        <v>31</v>
      </c>
      <c r="T56" s="13" t="s">
        <v>33</v>
      </c>
      <c r="U56" s="11" t="s">
        <v>35</v>
      </c>
      <c r="V56" s="15" t="s">
        <v>37</v>
      </c>
      <c r="W56" s="14" t="s">
        <v>39</v>
      </c>
      <c r="X56" s="33" t="s">
        <v>1</v>
      </c>
      <c r="Y56" s="11" t="s">
        <v>3</v>
      </c>
      <c r="Z56" s="11" t="s">
        <v>5</v>
      </c>
      <c r="AA56" s="12" t="s">
        <v>7</v>
      </c>
      <c r="AB56" s="13" t="s">
        <v>9</v>
      </c>
      <c r="AC56" s="14" t="s">
        <v>11</v>
      </c>
      <c r="AD56" s="10" t="s">
        <v>13</v>
      </c>
      <c r="AE56" s="12" t="s">
        <v>15</v>
      </c>
      <c r="AF56" s="15" t="s">
        <v>17</v>
      </c>
      <c r="AG56" s="15" t="s">
        <v>19</v>
      </c>
      <c r="AH56" s="16" t="s">
        <v>21</v>
      </c>
      <c r="AI56" s="13" t="s">
        <v>23</v>
      </c>
      <c r="AJ56" s="15" t="s">
        <v>25</v>
      </c>
      <c r="AK56" s="14" t="s">
        <v>27</v>
      </c>
      <c r="AL56" s="14" t="s">
        <v>29</v>
      </c>
      <c r="AM56" s="11" t="s">
        <v>31</v>
      </c>
      <c r="AN56" s="13" t="s">
        <v>33</v>
      </c>
      <c r="AO56" s="11" t="s">
        <v>35</v>
      </c>
      <c r="AP56" s="15" t="s">
        <v>37</v>
      </c>
      <c r="AQ56" s="91" t="s">
        <v>39</v>
      </c>
    </row>
    <row r="57" spans="1:43" x14ac:dyDescent="0.2">
      <c r="A57" s="34">
        <f>AVERAGE(E57:AD57)</f>
        <v>3.4697999999999998</v>
      </c>
      <c r="B57" s="17">
        <v>100</v>
      </c>
      <c r="C57" s="17">
        <v>1</v>
      </c>
      <c r="D57" s="82">
        <v>5.7706999999999997</v>
      </c>
      <c r="E57" s="83">
        <v>2.2263999999999999</v>
      </c>
      <c r="F57" s="83">
        <v>4.258</v>
      </c>
      <c r="G57" s="83">
        <v>5.7615999999999996</v>
      </c>
      <c r="H57" s="83">
        <v>1.5909</v>
      </c>
      <c r="I57" s="83">
        <v>4.8663999999999996</v>
      </c>
      <c r="J57" s="83">
        <v>5.3449</v>
      </c>
      <c r="K57" s="83">
        <v>8.7240000000000002</v>
      </c>
      <c r="L57" s="83">
        <v>6.7767999999999997</v>
      </c>
      <c r="M57" s="83">
        <v>1.5233000000000001</v>
      </c>
      <c r="N57" s="83">
        <v>1.5262</v>
      </c>
      <c r="O57" s="83">
        <v>6.8141999999999996</v>
      </c>
      <c r="P57" s="83">
        <v>1.1768000000000001</v>
      </c>
      <c r="Q57" s="83">
        <v>3.1631999999999998</v>
      </c>
      <c r="R57" s="83">
        <v>2.9354</v>
      </c>
      <c r="S57" s="83">
        <v>3.2031999999999998</v>
      </c>
      <c r="T57" s="83">
        <v>1.3895</v>
      </c>
      <c r="U57" s="83">
        <v>4.7834000000000003</v>
      </c>
      <c r="V57" s="83">
        <v>1.1151</v>
      </c>
      <c r="W57" s="83">
        <v>4.4847999999999999</v>
      </c>
      <c r="X57" s="82">
        <v>4.9020000000000001</v>
      </c>
      <c r="Y57" s="83">
        <v>3.4906999999999999</v>
      </c>
      <c r="Z57" s="83">
        <v>0.39910000000000001</v>
      </c>
      <c r="AA57" s="83">
        <v>1.2027000000000001</v>
      </c>
      <c r="AB57" s="83">
        <v>1.5373000000000001</v>
      </c>
      <c r="AC57" s="83">
        <v>4.7386999999999997</v>
      </c>
      <c r="AD57" s="83">
        <v>2.2801999999999998</v>
      </c>
      <c r="AE57" s="83">
        <v>8.3005999999999993</v>
      </c>
      <c r="AF57" s="83">
        <v>3.7341000000000002</v>
      </c>
      <c r="AG57" s="83">
        <v>2.0779999999999998</v>
      </c>
      <c r="AH57" s="83">
        <v>1.8202</v>
      </c>
      <c r="AI57" s="83">
        <v>1.8752</v>
      </c>
      <c r="AJ57" s="83">
        <v>6.4699999999999994E-2</v>
      </c>
      <c r="AK57" s="83">
        <v>1.1680999999999999</v>
      </c>
      <c r="AL57" s="83">
        <v>2.9455</v>
      </c>
      <c r="AM57" s="83">
        <v>1.8013999999999999</v>
      </c>
      <c r="AN57" s="83">
        <v>1.2629999999999999</v>
      </c>
      <c r="AO57" s="83">
        <v>0.75229999999999997</v>
      </c>
      <c r="AP57" s="83">
        <v>3.7075999999999998</v>
      </c>
      <c r="AQ57" s="84">
        <v>3.2852000000000001</v>
      </c>
    </row>
    <row r="58" spans="1:43" x14ac:dyDescent="0.2">
      <c r="A58" s="34">
        <f t="shared" ref="A58:A95" si="1">AVERAGE(E58:AD58)</f>
        <v>3.9269769230769236</v>
      </c>
      <c r="B58" s="17">
        <v>103</v>
      </c>
      <c r="C58" s="17">
        <v>2</v>
      </c>
      <c r="D58" s="34">
        <v>5.7523</v>
      </c>
      <c r="E58" s="17">
        <v>5.6509999999999998</v>
      </c>
      <c r="F58" s="17">
        <v>2.6362000000000001</v>
      </c>
      <c r="G58" s="17">
        <v>3.4184000000000001</v>
      </c>
      <c r="H58" s="17">
        <v>2.6859000000000002</v>
      </c>
      <c r="I58" s="17">
        <v>4.9020000000000001</v>
      </c>
      <c r="J58" s="17">
        <v>2.9813999999999998</v>
      </c>
      <c r="K58" s="17">
        <v>4.2556000000000003</v>
      </c>
      <c r="L58" s="17">
        <v>3.1534</v>
      </c>
      <c r="M58" s="17">
        <v>2.3748</v>
      </c>
      <c r="N58" s="17">
        <v>2.2439</v>
      </c>
      <c r="O58" s="17">
        <v>4.1638000000000002</v>
      </c>
      <c r="P58" s="17">
        <v>3.5632999999999999</v>
      </c>
      <c r="Q58" s="17">
        <v>3.6566999999999998</v>
      </c>
      <c r="R58" s="17">
        <v>6.1688999999999998</v>
      </c>
      <c r="S58" s="17">
        <v>3.5217000000000001</v>
      </c>
      <c r="T58" s="17">
        <v>4.6458000000000004</v>
      </c>
      <c r="U58" s="17">
        <v>6.0533999999999999</v>
      </c>
      <c r="V58" s="17">
        <v>2.0057</v>
      </c>
      <c r="W58" s="17">
        <v>3.0737000000000001</v>
      </c>
      <c r="X58" s="34">
        <v>16.384899999999998</v>
      </c>
      <c r="Y58" s="17">
        <v>1.24</v>
      </c>
      <c r="Z58" s="17">
        <v>2.8553999999999999</v>
      </c>
      <c r="AA58" s="17">
        <v>0.55210000000000004</v>
      </c>
      <c r="AB58" s="17">
        <v>3.1602000000000001</v>
      </c>
      <c r="AC58" s="17">
        <v>4.7816999999999998</v>
      </c>
      <c r="AD58" s="17">
        <v>1.9715</v>
      </c>
      <c r="AE58" s="17">
        <v>2.0318000000000001</v>
      </c>
      <c r="AF58" s="17">
        <v>2.1362999999999999</v>
      </c>
      <c r="AG58" s="17">
        <v>5.9939</v>
      </c>
      <c r="AH58" s="17">
        <v>21.058199999999999</v>
      </c>
      <c r="AI58" s="17">
        <v>3.9535</v>
      </c>
      <c r="AJ58" s="17">
        <v>1.8711</v>
      </c>
      <c r="AK58" s="17">
        <v>7.3289</v>
      </c>
      <c r="AL58" s="17">
        <v>9.4475999999999996</v>
      </c>
      <c r="AM58" s="17">
        <v>3.9887000000000001</v>
      </c>
      <c r="AN58" s="17">
        <v>7.4783999999999997</v>
      </c>
      <c r="AO58" s="17">
        <v>3.5916000000000001</v>
      </c>
      <c r="AP58" s="17">
        <v>4.0698999999999996</v>
      </c>
      <c r="AQ58" s="85">
        <v>2.7498999999999998</v>
      </c>
    </row>
    <row r="59" spans="1:43" x14ac:dyDescent="0.2">
      <c r="A59" s="34">
        <f t="shared" si="1"/>
        <v>4.2794038461538459</v>
      </c>
      <c r="B59" s="17">
        <v>105</v>
      </c>
      <c r="C59" s="17">
        <v>3</v>
      </c>
      <c r="D59" s="34">
        <v>5.8930999999999996</v>
      </c>
      <c r="E59" s="17">
        <v>5.6330999999999998</v>
      </c>
      <c r="F59" s="17">
        <v>2.7078000000000002</v>
      </c>
      <c r="G59" s="17">
        <v>3.7515000000000001</v>
      </c>
      <c r="H59" s="17">
        <v>5.1475</v>
      </c>
      <c r="I59" s="17">
        <v>4.9377000000000004</v>
      </c>
      <c r="J59" s="17">
        <v>2.702</v>
      </c>
      <c r="K59" s="17">
        <v>2.6438000000000001</v>
      </c>
      <c r="L59" s="17">
        <v>4.0903</v>
      </c>
      <c r="M59" s="17">
        <v>6.2069999999999999</v>
      </c>
      <c r="N59" s="17">
        <v>2.3069000000000002</v>
      </c>
      <c r="O59" s="17">
        <v>1.3868</v>
      </c>
      <c r="P59" s="17">
        <v>3.9939</v>
      </c>
      <c r="Q59" s="17">
        <v>7.0563000000000002</v>
      </c>
      <c r="R59" s="17">
        <v>6.8322000000000003</v>
      </c>
      <c r="S59" s="17">
        <v>6.1707999999999998</v>
      </c>
      <c r="T59" s="17">
        <v>4.0658000000000003</v>
      </c>
      <c r="U59" s="17">
        <v>10.294600000000001</v>
      </c>
      <c r="V59" s="17">
        <v>3.3961000000000001</v>
      </c>
      <c r="W59" s="17">
        <v>1.6901999999999999</v>
      </c>
      <c r="X59" s="34">
        <v>7.1687000000000003</v>
      </c>
      <c r="Y59" s="17">
        <v>3.4184999999999999</v>
      </c>
      <c r="Z59" s="17">
        <v>3.2690000000000001</v>
      </c>
      <c r="AA59" s="17">
        <v>2.9809999999999999</v>
      </c>
      <c r="AB59" s="17">
        <v>3.2875999999999999</v>
      </c>
      <c r="AC59" s="17">
        <v>4.8246000000000002</v>
      </c>
      <c r="AD59" s="17">
        <v>1.3008</v>
      </c>
      <c r="AE59" s="17">
        <v>1.6304000000000001</v>
      </c>
      <c r="AF59" s="17">
        <v>1.9674</v>
      </c>
      <c r="AG59" s="17">
        <v>6.7638999999999996</v>
      </c>
      <c r="AH59" s="17">
        <v>8.0652000000000008</v>
      </c>
      <c r="AI59" s="17">
        <v>2.7345999999999999</v>
      </c>
      <c r="AJ59" s="17">
        <v>1.9114</v>
      </c>
      <c r="AK59" s="17">
        <v>7.4733000000000001</v>
      </c>
      <c r="AL59" s="17">
        <v>6.1723999999999997</v>
      </c>
      <c r="AM59" s="17">
        <v>4.4561000000000002</v>
      </c>
      <c r="AN59" s="17">
        <v>0.70850000000000002</v>
      </c>
      <c r="AO59" s="17">
        <v>3.0745</v>
      </c>
      <c r="AP59" s="17">
        <v>1.3304</v>
      </c>
      <c r="AQ59" s="85">
        <v>2.7961999999999998</v>
      </c>
    </row>
    <row r="60" spans="1:43" x14ac:dyDescent="0.2">
      <c r="A60" s="34">
        <f t="shared" si="1"/>
        <v>3.7555115384615387</v>
      </c>
      <c r="B60" s="17">
        <v>107</v>
      </c>
      <c r="C60" s="17">
        <v>4</v>
      </c>
      <c r="D60" s="34">
        <v>5.7153999999999998</v>
      </c>
      <c r="E60" s="17">
        <v>6.7119999999999997</v>
      </c>
      <c r="F60" s="17">
        <v>1.8708</v>
      </c>
      <c r="G60" s="17">
        <v>6.8471000000000002</v>
      </c>
      <c r="H60" s="17">
        <v>3.3159000000000001</v>
      </c>
      <c r="I60" s="17">
        <v>3.1956000000000002</v>
      </c>
      <c r="J60" s="17">
        <v>1.3391999999999999</v>
      </c>
      <c r="K60" s="17">
        <v>3.1448999999999998</v>
      </c>
      <c r="L60" s="17">
        <v>1.0499000000000001</v>
      </c>
      <c r="M60" s="17">
        <v>3.7530000000000001</v>
      </c>
      <c r="N60" s="17">
        <v>2.3698999999999999</v>
      </c>
      <c r="O60" s="17">
        <v>6.2121000000000004</v>
      </c>
      <c r="P60" s="17">
        <v>3.0743</v>
      </c>
      <c r="Q60" s="17">
        <v>5.7874999999999996</v>
      </c>
      <c r="R60" s="17">
        <v>3.0384000000000002</v>
      </c>
      <c r="S60" s="17">
        <v>4.1893000000000002</v>
      </c>
      <c r="T60" s="17">
        <v>2.5291000000000001</v>
      </c>
      <c r="U60" s="17">
        <v>4.0865</v>
      </c>
      <c r="V60" s="17">
        <v>1.7675000000000001</v>
      </c>
      <c r="W60" s="17">
        <v>4.0301999999999998</v>
      </c>
      <c r="X60" s="34">
        <v>4.9183000000000003</v>
      </c>
      <c r="Y60" s="17">
        <v>1.6611</v>
      </c>
      <c r="Z60" s="17">
        <v>4.0102000000000002</v>
      </c>
      <c r="AA60" s="17">
        <v>5.1228999999999996</v>
      </c>
      <c r="AB60" s="17">
        <v>1.8236000000000001</v>
      </c>
      <c r="AC60" s="17">
        <v>9.2113999999999994</v>
      </c>
      <c r="AD60" s="17">
        <v>2.5825999999999998</v>
      </c>
      <c r="AE60" s="17">
        <v>6.7808999999999999</v>
      </c>
      <c r="AF60" s="17">
        <v>2.7463000000000002</v>
      </c>
      <c r="AG60" s="17">
        <v>4.2141999999999999</v>
      </c>
      <c r="AH60" s="17">
        <v>7.7945000000000002</v>
      </c>
      <c r="AI60" s="17">
        <v>4.4867999999999997</v>
      </c>
      <c r="AJ60" s="17">
        <v>2.1920000000000002</v>
      </c>
      <c r="AK60" s="17">
        <v>6.9638999999999998</v>
      </c>
      <c r="AL60" s="17">
        <v>0.92620000000000002</v>
      </c>
      <c r="AM60" s="17">
        <v>3.6467999999999998</v>
      </c>
      <c r="AN60" s="17">
        <v>1.4581999999999999</v>
      </c>
      <c r="AO60" s="17">
        <v>3.0354999999999999</v>
      </c>
      <c r="AP60" s="17">
        <v>4.3803999999999998</v>
      </c>
      <c r="AQ60" s="85">
        <v>3.3936999999999999</v>
      </c>
    </row>
    <row r="61" spans="1:43" x14ac:dyDescent="0.2">
      <c r="A61" s="34">
        <f t="shared" si="1"/>
        <v>4.526126923076923</v>
      </c>
      <c r="B61" s="17">
        <v>10</v>
      </c>
      <c r="C61" s="17">
        <v>5</v>
      </c>
      <c r="D61" s="34">
        <v>6.2465999999999999</v>
      </c>
      <c r="E61" s="17">
        <v>9.3725000000000005</v>
      </c>
      <c r="F61" s="17">
        <v>4.3798000000000004</v>
      </c>
      <c r="G61" s="17">
        <v>5.7255000000000003</v>
      </c>
      <c r="H61" s="17">
        <v>0.96120000000000005</v>
      </c>
      <c r="I61" s="17">
        <v>5.8724999999999996</v>
      </c>
      <c r="J61" s="17">
        <v>4.5792999999999999</v>
      </c>
      <c r="K61" s="17">
        <v>6.0132000000000003</v>
      </c>
      <c r="L61" s="17">
        <v>2.9689000000000001</v>
      </c>
      <c r="M61" s="17">
        <v>0.3483</v>
      </c>
      <c r="N61" s="17">
        <v>7.3044000000000002</v>
      </c>
      <c r="O61" s="17">
        <v>3.3727999999999998</v>
      </c>
      <c r="P61" s="17">
        <v>3.9821</v>
      </c>
      <c r="Q61" s="17">
        <v>4.1820000000000004</v>
      </c>
      <c r="R61" s="17">
        <v>1.6425000000000001</v>
      </c>
      <c r="S61" s="17">
        <v>5.4965000000000002</v>
      </c>
      <c r="T61" s="17">
        <v>2.7625000000000002</v>
      </c>
      <c r="U61" s="17">
        <v>8.6846999999999994</v>
      </c>
      <c r="V61" s="17">
        <v>0.125</v>
      </c>
      <c r="W61" s="17">
        <v>8.8567999999999998</v>
      </c>
      <c r="X61" s="34">
        <v>0.76219999999999999</v>
      </c>
      <c r="Y61" s="17">
        <v>4.4962</v>
      </c>
      <c r="Z61" s="17">
        <v>3.7336</v>
      </c>
      <c r="AA61" s="17">
        <v>4.1124999999999998</v>
      </c>
      <c r="AB61" s="17">
        <v>5.1809000000000003</v>
      </c>
      <c r="AC61" s="17">
        <v>4.8483000000000001</v>
      </c>
      <c r="AD61" s="17">
        <v>7.9150999999999998</v>
      </c>
      <c r="AE61" s="17">
        <v>1.9755</v>
      </c>
      <c r="AF61" s="17">
        <v>2.8517000000000001</v>
      </c>
      <c r="AG61" s="17">
        <v>10.110900000000001</v>
      </c>
      <c r="AH61" s="17">
        <v>4.7666000000000004</v>
      </c>
      <c r="AI61" s="17">
        <v>2.3624999999999998</v>
      </c>
      <c r="AJ61" s="17">
        <v>1.6930000000000001</v>
      </c>
      <c r="AK61" s="17">
        <v>1.2787999999999999</v>
      </c>
      <c r="AL61" s="17">
        <v>4.5507999999999997</v>
      </c>
      <c r="AM61" s="17">
        <v>4.8693999999999997</v>
      </c>
      <c r="AN61" s="17">
        <v>7.9878</v>
      </c>
      <c r="AO61" s="17">
        <v>4.8204000000000002</v>
      </c>
      <c r="AP61" s="17">
        <v>0.80800000000000005</v>
      </c>
      <c r="AQ61" s="85">
        <v>7.8182</v>
      </c>
    </row>
    <row r="62" spans="1:43" x14ac:dyDescent="0.2">
      <c r="A62" s="34">
        <f t="shared" si="1"/>
        <v>3.3405038461538461</v>
      </c>
      <c r="B62" s="17">
        <v>13</v>
      </c>
      <c r="C62" s="17">
        <v>6</v>
      </c>
      <c r="D62" s="34">
        <v>3.6427</v>
      </c>
      <c r="E62" s="17">
        <v>2.0331999999999999</v>
      </c>
      <c r="F62" s="17">
        <v>1.9026000000000001</v>
      </c>
      <c r="G62" s="17">
        <v>4.0711000000000004</v>
      </c>
      <c r="H62" s="17">
        <v>2.2437</v>
      </c>
      <c r="I62" s="17">
        <v>6.3055000000000003</v>
      </c>
      <c r="J62" s="17">
        <v>1.8853</v>
      </c>
      <c r="K62" s="17">
        <v>6.3463000000000003</v>
      </c>
      <c r="L62" s="17">
        <v>4.9558999999999997</v>
      </c>
      <c r="M62" s="17">
        <v>4.0170000000000003</v>
      </c>
      <c r="N62" s="17">
        <v>2.0217000000000001</v>
      </c>
      <c r="O62" s="17">
        <v>5.0637999999999996</v>
      </c>
      <c r="P62" s="17">
        <v>1.5246999999999999</v>
      </c>
      <c r="Q62" s="17">
        <v>2.7183999999999999</v>
      </c>
      <c r="R62" s="17">
        <v>10.2912</v>
      </c>
      <c r="S62" s="17">
        <v>0.77969999999999995</v>
      </c>
      <c r="T62" s="17">
        <v>0.86360000000000003</v>
      </c>
      <c r="U62" s="17">
        <v>2.9087000000000001</v>
      </c>
      <c r="V62" s="17">
        <v>1.2396</v>
      </c>
      <c r="W62" s="17">
        <v>0.73409999999999997</v>
      </c>
      <c r="X62" s="34">
        <v>5.4634</v>
      </c>
      <c r="Y62" s="17">
        <v>1.3708</v>
      </c>
      <c r="Z62" s="17">
        <v>1.5615000000000001</v>
      </c>
      <c r="AA62" s="17">
        <v>6.4741999999999997</v>
      </c>
      <c r="AB62" s="17">
        <v>4.0876000000000001</v>
      </c>
      <c r="AC62" s="17">
        <v>3.3698000000000001</v>
      </c>
      <c r="AD62" s="17">
        <v>2.6196999999999999</v>
      </c>
      <c r="AE62" s="17">
        <v>5.5460000000000003</v>
      </c>
      <c r="AF62" s="17">
        <v>3.3227000000000002</v>
      </c>
      <c r="AG62" s="17">
        <v>2.8029999999999999</v>
      </c>
      <c r="AH62" s="17">
        <v>2.0722999999999998</v>
      </c>
      <c r="AI62" s="17">
        <v>2.9121999999999999</v>
      </c>
      <c r="AJ62" s="17">
        <v>1.4328000000000001</v>
      </c>
      <c r="AK62" s="17">
        <v>3.0356000000000001</v>
      </c>
      <c r="AL62" s="17">
        <v>3.4089</v>
      </c>
      <c r="AM62" s="17">
        <v>4.4214000000000002</v>
      </c>
      <c r="AN62" s="17">
        <v>3.5514999999999999</v>
      </c>
      <c r="AO62" s="17">
        <v>2.6509999999999998</v>
      </c>
      <c r="AP62" s="17">
        <v>1.2156</v>
      </c>
      <c r="AQ62" s="85">
        <v>0.60840000000000005</v>
      </c>
    </row>
    <row r="63" spans="1:43" x14ac:dyDescent="0.2">
      <c r="A63" s="34">
        <f t="shared" si="1"/>
        <v>4.6916384615384619</v>
      </c>
      <c r="B63" s="17">
        <v>14</v>
      </c>
      <c r="C63" s="17">
        <v>7</v>
      </c>
      <c r="D63" s="34">
        <v>12.0213</v>
      </c>
      <c r="E63" s="17">
        <v>11.3352</v>
      </c>
      <c r="F63" s="17">
        <v>2.9944999999999999</v>
      </c>
      <c r="G63" s="17">
        <v>5.1612999999999998</v>
      </c>
      <c r="H63" s="17">
        <v>3.9965999999999999</v>
      </c>
      <c r="I63" s="17">
        <v>1.2847</v>
      </c>
      <c r="J63" s="17">
        <v>3.8506</v>
      </c>
      <c r="K63" s="17">
        <v>2.3997000000000002</v>
      </c>
      <c r="L63" s="17">
        <v>1.083</v>
      </c>
      <c r="M63" s="17">
        <v>2.9066999999999998</v>
      </c>
      <c r="N63" s="17">
        <v>2.5590000000000002</v>
      </c>
      <c r="O63" s="17">
        <v>4.3259999999999996</v>
      </c>
      <c r="P63" s="17">
        <v>10.683299999999999</v>
      </c>
      <c r="Q63" s="17">
        <v>5.0891999999999999</v>
      </c>
      <c r="R63" s="17">
        <v>12.620200000000001</v>
      </c>
      <c r="S63" s="17">
        <v>0.21249999999999999</v>
      </c>
      <c r="T63" s="17">
        <v>5.4692999999999996</v>
      </c>
      <c r="U63" s="17">
        <v>6.7233000000000001</v>
      </c>
      <c r="V63" s="17">
        <v>3.3978000000000002</v>
      </c>
      <c r="W63" s="17">
        <v>4.5743</v>
      </c>
      <c r="X63" s="34">
        <v>3.3351000000000002</v>
      </c>
      <c r="Y63" s="17">
        <v>9.9037000000000006</v>
      </c>
      <c r="Z63" s="17">
        <v>0.4718</v>
      </c>
      <c r="AA63" s="17">
        <v>6.5491000000000001</v>
      </c>
      <c r="AB63" s="17">
        <v>2.9337</v>
      </c>
      <c r="AC63" s="17">
        <v>6.4461000000000004</v>
      </c>
      <c r="AD63" s="17">
        <v>1.6758999999999999</v>
      </c>
      <c r="AE63" s="17">
        <v>6.8011999999999997</v>
      </c>
      <c r="AF63" s="17">
        <v>2.0615000000000001</v>
      </c>
      <c r="AG63" s="17">
        <v>4.3739999999999997</v>
      </c>
      <c r="AH63" s="17">
        <v>4.8342999999999998</v>
      </c>
      <c r="AI63" s="17">
        <v>3.9062000000000001</v>
      </c>
      <c r="AJ63" s="17">
        <v>2.0722999999999998</v>
      </c>
      <c r="AK63" s="17">
        <v>1.9686999999999999</v>
      </c>
      <c r="AL63" s="17">
        <v>4.5532000000000004</v>
      </c>
      <c r="AM63" s="17">
        <v>8.5505999999999993</v>
      </c>
      <c r="AN63" s="17">
        <v>3.1989999999999998</v>
      </c>
      <c r="AO63" s="17">
        <v>0.34389999999999998</v>
      </c>
      <c r="AP63" s="17">
        <v>4.1433</v>
      </c>
      <c r="AQ63" s="85">
        <v>3.6598000000000002</v>
      </c>
    </row>
    <row r="64" spans="1:43" x14ac:dyDescent="0.2">
      <c r="A64" s="34">
        <f t="shared" si="1"/>
        <v>2.9072461538461534</v>
      </c>
      <c r="B64" s="17">
        <v>19</v>
      </c>
      <c r="C64" s="17">
        <v>8</v>
      </c>
      <c r="D64" s="34">
        <v>2.8269000000000002</v>
      </c>
      <c r="E64" s="17">
        <v>1.5007999999999999</v>
      </c>
      <c r="F64" s="17">
        <v>1.252</v>
      </c>
      <c r="G64" s="17">
        <v>0.63990000000000002</v>
      </c>
      <c r="H64" s="17">
        <v>2.9483000000000001</v>
      </c>
      <c r="I64" s="17">
        <v>2.8898999999999999</v>
      </c>
      <c r="J64" s="17">
        <v>1.6938</v>
      </c>
      <c r="K64" s="17">
        <v>4.2571000000000003</v>
      </c>
      <c r="L64" s="17">
        <v>1.1716</v>
      </c>
      <c r="M64" s="17">
        <v>8.4765999999999995</v>
      </c>
      <c r="N64" s="17">
        <v>1.3282</v>
      </c>
      <c r="O64" s="17">
        <v>3.1938</v>
      </c>
      <c r="P64" s="17">
        <v>3.5811000000000002</v>
      </c>
      <c r="Q64" s="17">
        <v>0.78569999999999995</v>
      </c>
      <c r="R64" s="17">
        <v>5.8338999999999999</v>
      </c>
      <c r="S64" s="17">
        <v>3.7149999999999999</v>
      </c>
      <c r="T64" s="17">
        <v>2.6894999999999998</v>
      </c>
      <c r="U64" s="17">
        <v>5.8407999999999998</v>
      </c>
      <c r="V64" s="17">
        <v>2.4620000000000002</v>
      </c>
      <c r="W64" s="17">
        <v>1.9471000000000001</v>
      </c>
      <c r="X64" s="34">
        <v>2.0947</v>
      </c>
      <c r="Y64" s="17">
        <v>4.0983000000000001</v>
      </c>
      <c r="Z64" s="17">
        <v>2.3344999999999998</v>
      </c>
      <c r="AA64" s="17">
        <v>3.9014000000000002</v>
      </c>
      <c r="AB64" s="17">
        <v>3.3315999999999999</v>
      </c>
      <c r="AC64" s="17">
        <v>2.1012</v>
      </c>
      <c r="AD64" s="17">
        <v>1.5196000000000001</v>
      </c>
      <c r="AE64" s="17">
        <v>2.6120000000000001</v>
      </c>
      <c r="AF64" s="17">
        <v>1.8846000000000001</v>
      </c>
      <c r="AG64" s="17">
        <v>4.6436999999999999</v>
      </c>
      <c r="AH64" s="17">
        <v>0.88360000000000005</v>
      </c>
      <c r="AI64" s="17">
        <v>4.4898999999999996</v>
      </c>
      <c r="AJ64" s="17">
        <v>0.12970000000000001</v>
      </c>
      <c r="AK64" s="17">
        <v>1.8157000000000001</v>
      </c>
      <c r="AL64" s="17">
        <v>10.099500000000001</v>
      </c>
      <c r="AM64" s="17">
        <v>2.875</v>
      </c>
      <c r="AN64" s="17">
        <v>2.4323999999999999</v>
      </c>
      <c r="AO64" s="17">
        <v>4.3662999999999998</v>
      </c>
      <c r="AP64" s="17">
        <v>1.5964</v>
      </c>
      <c r="AQ64" s="85">
        <v>2.9247999999999998</v>
      </c>
    </row>
    <row r="65" spans="1:43" x14ac:dyDescent="0.2">
      <c r="A65" s="34">
        <f t="shared" si="1"/>
        <v>3.4193384615384605</v>
      </c>
      <c r="B65" s="17">
        <v>21</v>
      </c>
      <c r="C65" s="17">
        <v>9</v>
      </c>
      <c r="D65" s="34">
        <v>3.8212000000000002</v>
      </c>
      <c r="E65" s="17">
        <v>6.6691000000000003</v>
      </c>
      <c r="F65" s="17">
        <v>3.1377999999999999</v>
      </c>
      <c r="G65" s="17">
        <v>2.9702999999999999</v>
      </c>
      <c r="H65" s="17">
        <v>3.9495</v>
      </c>
      <c r="I65" s="17">
        <v>4.4482999999999997</v>
      </c>
      <c r="J65" s="17">
        <v>4.3403999999999998</v>
      </c>
      <c r="K65" s="17">
        <v>4.6980000000000004</v>
      </c>
      <c r="L65" s="17">
        <v>0.40150000000000002</v>
      </c>
      <c r="M65" s="17">
        <v>0.3871</v>
      </c>
      <c r="N65" s="17">
        <v>1.1274999999999999</v>
      </c>
      <c r="O65" s="17">
        <v>1.5702</v>
      </c>
      <c r="P65" s="17">
        <v>2.1579999999999999</v>
      </c>
      <c r="Q65" s="17">
        <v>2.7545000000000002</v>
      </c>
      <c r="R65" s="17">
        <v>6.0578000000000003</v>
      </c>
      <c r="S65" s="17">
        <v>1.4258999999999999</v>
      </c>
      <c r="T65" s="17">
        <v>7.0243000000000002</v>
      </c>
      <c r="U65" s="17">
        <v>5.2298999999999998</v>
      </c>
      <c r="V65" s="17">
        <v>0.2225</v>
      </c>
      <c r="W65" s="17">
        <v>2.3898000000000001</v>
      </c>
      <c r="X65" s="34">
        <v>0.87729999999999997</v>
      </c>
      <c r="Y65" s="17">
        <v>3.7568000000000001</v>
      </c>
      <c r="Z65" s="17">
        <v>3.1402000000000001</v>
      </c>
      <c r="AA65" s="17">
        <v>2.7035</v>
      </c>
      <c r="AB65" s="17">
        <v>6.0297999999999998</v>
      </c>
      <c r="AC65" s="17">
        <v>5.0823999999999998</v>
      </c>
      <c r="AD65" s="17">
        <v>6.3503999999999996</v>
      </c>
      <c r="AE65" s="17">
        <v>2.8319999999999999</v>
      </c>
      <c r="AF65" s="17">
        <v>2.5352000000000001</v>
      </c>
      <c r="AG65" s="17">
        <v>5.4177999999999997</v>
      </c>
      <c r="AH65" s="17">
        <v>2.9794</v>
      </c>
      <c r="AI65" s="17">
        <v>7.1208999999999998</v>
      </c>
      <c r="AJ65" s="17">
        <v>4.9348999999999998</v>
      </c>
      <c r="AK65" s="17">
        <v>3.5438000000000001</v>
      </c>
      <c r="AL65" s="17">
        <v>10.187799999999999</v>
      </c>
      <c r="AM65" s="17">
        <v>2.0230000000000001</v>
      </c>
      <c r="AN65" s="17">
        <v>7.8498000000000001</v>
      </c>
      <c r="AO65" s="17">
        <v>6.4534000000000002</v>
      </c>
      <c r="AP65" s="17">
        <v>1.1897</v>
      </c>
      <c r="AQ65" s="85">
        <v>1.0437000000000001</v>
      </c>
    </row>
    <row r="66" spans="1:43" x14ac:dyDescent="0.2">
      <c r="A66" s="34">
        <f t="shared" si="1"/>
        <v>3.9264076923076923</v>
      </c>
      <c r="B66" s="17">
        <v>23</v>
      </c>
      <c r="C66" s="17">
        <v>10</v>
      </c>
      <c r="D66" s="34">
        <v>5.6047000000000002</v>
      </c>
      <c r="E66" s="17">
        <v>3.4882</v>
      </c>
      <c r="F66" s="17">
        <v>2.6978</v>
      </c>
      <c r="G66" s="17">
        <v>5.7556000000000003</v>
      </c>
      <c r="H66" s="17">
        <v>2.6307</v>
      </c>
      <c r="I66" s="17">
        <v>10.2281</v>
      </c>
      <c r="J66" s="17">
        <v>1.4536</v>
      </c>
      <c r="K66" s="17">
        <v>3.0503999999999998</v>
      </c>
      <c r="L66" s="17">
        <v>2.3626999999999998</v>
      </c>
      <c r="M66" s="17">
        <v>2.0449999999999999</v>
      </c>
      <c r="N66" s="17">
        <v>0.8569</v>
      </c>
      <c r="O66" s="17">
        <v>5.5411999999999999</v>
      </c>
      <c r="P66" s="17">
        <v>2.5859999999999999</v>
      </c>
      <c r="Q66" s="17">
        <v>4.0618999999999996</v>
      </c>
      <c r="R66" s="17">
        <v>2.7863000000000002</v>
      </c>
      <c r="S66" s="17">
        <v>1.8889</v>
      </c>
      <c r="T66" s="17">
        <v>6.3300999999999998</v>
      </c>
      <c r="U66" s="17">
        <v>4.4298999999999999</v>
      </c>
      <c r="V66" s="17">
        <v>3.3999000000000001</v>
      </c>
      <c r="W66" s="17">
        <v>1.5561</v>
      </c>
      <c r="X66" s="34">
        <v>5.6570999999999998</v>
      </c>
      <c r="Y66" s="17">
        <v>1.5359</v>
      </c>
      <c r="Z66" s="17">
        <v>4.5536000000000003</v>
      </c>
      <c r="AA66" s="17">
        <v>8.7947000000000006</v>
      </c>
      <c r="AB66" s="17">
        <v>2.1227999999999998</v>
      </c>
      <c r="AC66" s="17">
        <v>10.7879</v>
      </c>
      <c r="AD66" s="17">
        <v>1.4853000000000001</v>
      </c>
      <c r="AE66" s="17">
        <v>4.5252999999999997</v>
      </c>
      <c r="AF66" s="17">
        <v>3.4799999999999998E-2</v>
      </c>
      <c r="AG66" s="17">
        <v>5.6695000000000002</v>
      </c>
      <c r="AH66" s="17">
        <v>2.0564</v>
      </c>
      <c r="AI66" s="17">
        <v>2.6768000000000001</v>
      </c>
      <c r="AJ66" s="17">
        <v>1.234</v>
      </c>
      <c r="AK66" s="17">
        <v>4.0114999999999998</v>
      </c>
      <c r="AL66" s="17">
        <v>4.5568</v>
      </c>
      <c r="AM66" s="17">
        <v>3.2044999999999999</v>
      </c>
      <c r="AN66" s="17">
        <v>0.38009999999999999</v>
      </c>
      <c r="AO66" s="17">
        <v>2.5484</v>
      </c>
      <c r="AP66" s="17">
        <v>1.0438000000000001</v>
      </c>
      <c r="AQ66" s="85">
        <v>3.1208999999999998</v>
      </c>
    </row>
    <row r="67" spans="1:43" x14ac:dyDescent="0.2">
      <c r="A67" s="34">
        <f t="shared" si="1"/>
        <v>3.9080769230769232</v>
      </c>
      <c r="B67" s="17">
        <v>27</v>
      </c>
      <c r="C67" s="17">
        <v>11</v>
      </c>
      <c r="D67" s="34">
        <v>5.4992999999999999</v>
      </c>
      <c r="E67" s="17">
        <v>4.0461999999999998</v>
      </c>
      <c r="F67" s="17">
        <v>2.2517999999999998</v>
      </c>
      <c r="G67" s="17">
        <v>1.4023000000000001</v>
      </c>
      <c r="H67" s="17">
        <v>2.7826</v>
      </c>
      <c r="I67" s="17">
        <v>4.5374999999999996</v>
      </c>
      <c r="J67" s="17">
        <v>2.68</v>
      </c>
      <c r="K67" s="17">
        <v>3.2002000000000002</v>
      </c>
      <c r="L67" s="17">
        <v>5.5144000000000002</v>
      </c>
      <c r="M67" s="17">
        <v>3.2942999999999998</v>
      </c>
      <c r="N67" s="17">
        <v>5.3289</v>
      </c>
      <c r="O67" s="17">
        <v>3.3166000000000002</v>
      </c>
      <c r="P67" s="17">
        <v>3.0727000000000002</v>
      </c>
      <c r="Q67" s="17">
        <v>5.2331000000000003</v>
      </c>
      <c r="R67" s="17">
        <v>5.6664000000000003</v>
      </c>
      <c r="S67" s="17">
        <v>7.6574999999999998</v>
      </c>
      <c r="T67" s="17">
        <v>7.1436000000000002</v>
      </c>
      <c r="U67" s="17">
        <v>3.4994000000000001</v>
      </c>
      <c r="V67" s="17">
        <v>4.2209000000000003</v>
      </c>
      <c r="W67" s="17">
        <v>4.6856999999999998</v>
      </c>
      <c r="X67" s="34">
        <v>1.6559999999999999</v>
      </c>
      <c r="Y67" s="17">
        <v>6.6928000000000001</v>
      </c>
      <c r="Z67" s="17">
        <v>3.2216</v>
      </c>
      <c r="AA67" s="17">
        <v>0.94499999999999995</v>
      </c>
      <c r="AB67" s="17">
        <v>3.3370000000000002</v>
      </c>
      <c r="AC67" s="17">
        <v>5.2226999999999997</v>
      </c>
      <c r="AD67" s="17">
        <v>1.0007999999999999</v>
      </c>
      <c r="AE67" s="17">
        <v>2.8685</v>
      </c>
      <c r="AF67" s="17">
        <v>4.1639999999999997</v>
      </c>
      <c r="AG67" s="17">
        <v>3.7063999999999999</v>
      </c>
      <c r="AH67" s="17">
        <v>3.1263999999999998</v>
      </c>
      <c r="AI67" s="17">
        <v>7.0223000000000004</v>
      </c>
      <c r="AJ67" s="17">
        <v>2.2332999999999998</v>
      </c>
      <c r="AK67" s="17">
        <v>0.30869999999999997</v>
      </c>
      <c r="AL67" s="17">
        <v>3.8033000000000001</v>
      </c>
      <c r="AM67" s="17">
        <v>1.6165</v>
      </c>
      <c r="AN67" s="17">
        <v>3.4508999999999999</v>
      </c>
      <c r="AO67" s="17">
        <v>10.501899999999999</v>
      </c>
      <c r="AP67" s="17">
        <v>2.9363999999999999</v>
      </c>
      <c r="AQ67" s="85">
        <v>6.5728999999999997</v>
      </c>
    </row>
    <row r="68" spans="1:43" x14ac:dyDescent="0.2">
      <c r="A68" s="34">
        <f t="shared" si="1"/>
        <v>4.0956269230769227</v>
      </c>
      <c r="B68" s="17">
        <v>28</v>
      </c>
      <c r="C68" s="17">
        <v>12</v>
      </c>
      <c r="D68" s="34">
        <v>5.5678000000000001</v>
      </c>
      <c r="E68" s="17">
        <v>2.0449000000000002</v>
      </c>
      <c r="F68" s="17">
        <v>3.3527</v>
      </c>
      <c r="G68" s="17">
        <v>5.7721999999999998</v>
      </c>
      <c r="H68" s="17">
        <v>3.6945000000000001</v>
      </c>
      <c r="I68" s="17">
        <v>2.3460000000000001</v>
      </c>
      <c r="J68" s="17">
        <v>1.4418</v>
      </c>
      <c r="K68" s="17">
        <v>1.0193000000000001</v>
      </c>
      <c r="L68" s="17">
        <v>1.996</v>
      </c>
      <c r="M68" s="17">
        <v>4.1909999999999998</v>
      </c>
      <c r="N68" s="17">
        <v>4.0224000000000002</v>
      </c>
      <c r="O68" s="17">
        <v>4.8136999999999999</v>
      </c>
      <c r="P68" s="17">
        <v>3.5929000000000002</v>
      </c>
      <c r="Q68" s="17">
        <v>5.5728</v>
      </c>
      <c r="R68" s="17">
        <v>5.0434999999999999</v>
      </c>
      <c r="S68" s="17">
        <v>9.0884999999999998</v>
      </c>
      <c r="T68" s="17">
        <v>9.7060999999999993</v>
      </c>
      <c r="U68" s="17">
        <v>5.4454000000000002</v>
      </c>
      <c r="V68" s="17">
        <v>1.2290000000000001</v>
      </c>
      <c r="W68" s="17">
        <v>5.6782000000000004</v>
      </c>
      <c r="X68" s="34">
        <v>4.9617000000000004</v>
      </c>
      <c r="Y68" s="17">
        <v>2.2686000000000002</v>
      </c>
      <c r="Z68" s="17">
        <v>3.2622</v>
      </c>
      <c r="AA68" s="17">
        <v>1.2084999999999999</v>
      </c>
      <c r="AB68" s="17">
        <v>7.2519</v>
      </c>
      <c r="AC68" s="17">
        <v>5.2112999999999996</v>
      </c>
      <c r="AD68" s="17">
        <v>2.2711999999999999</v>
      </c>
      <c r="AE68" s="17">
        <v>4.0876000000000001</v>
      </c>
      <c r="AF68" s="17">
        <v>1.9803999999999999</v>
      </c>
      <c r="AG68" s="17">
        <v>6.1773999999999996</v>
      </c>
      <c r="AH68" s="17">
        <v>3.4449999999999998</v>
      </c>
      <c r="AI68" s="17">
        <v>4.7092000000000001</v>
      </c>
      <c r="AJ68" s="17">
        <v>3.9563999999999999</v>
      </c>
      <c r="AK68" s="17">
        <v>3.6831999999999998</v>
      </c>
      <c r="AL68" s="17">
        <v>4.5591999999999997</v>
      </c>
      <c r="AM68" s="17">
        <v>11.378500000000001</v>
      </c>
      <c r="AN68" s="17">
        <v>5.2591999999999999</v>
      </c>
      <c r="AO68" s="17">
        <v>4.1148999999999996</v>
      </c>
      <c r="AP68" s="17">
        <v>3.581</v>
      </c>
      <c r="AQ68" s="85">
        <v>0.6946</v>
      </c>
    </row>
    <row r="69" spans="1:43" x14ac:dyDescent="0.2">
      <c r="A69" s="34">
        <f t="shared" si="1"/>
        <v>3.6379346153846153</v>
      </c>
      <c r="B69" s="17">
        <v>35</v>
      </c>
      <c r="C69" s="17">
        <v>13</v>
      </c>
      <c r="D69" s="34">
        <v>5.94</v>
      </c>
      <c r="E69" s="17">
        <v>1.5426</v>
      </c>
      <c r="F69" s="17">
        <v>1.0811999999999999</v>
      </c>
      <c r="G69" s="17">
        <v>3.3309000000000002</v>
      </c>
      <c r="H69" s="17">
        <v>1.6621999999999999</v>
      </c>
      <c r="I69" s="17">
        <v>3.0627</v>
      </c>
      <c r="J69" s="17">
        <v>2.0762999999999998</v>
      </c>
      <c r="K69" s="17">
        <v>3.6221999999999999</v>
      </c>
      <c r="L69" s="17">
        <v>4.8959999999999999</v>
      </c>
      <c r="M69" s="17">
        <v>6.6127000000000002</v>
      </c>
      <c r="N69" s="17">
        <v>3.4788000000000001</v>
      </c>
      <c r="O69" s="17">
        <v>4.2904</v>
      </c>
      <c r="P69" s="17">
        <v>3.1263999999999998</v>
      </c>
      <c r="Q69" s="17">
        <v>6.0491999999999999</v>
      </c>
      <c r="R69" s="17">
        <v>4.1928000000000001</v>
      </c>
      <c r="S69" s="17">
        <v>1.2242</v>
      </c>
      <c r="T69" s="17">
        <v>3.2730999999999999</v>
      </c>
      <c r="U69" s="17">
        <v>8.4641000000000002</v>
      </c>
      <c r="V69" s="17">
        <v>2.3328000000000002</v>
      </c>
      <c r="W69" s="17">
        <v>1.6798999999999999</v>
      </c>
      <c r="X69" s="34">
        <v>5.3231999999999999</v>
      </c>
      <c r="Y69" s="17">
        <v>2.6347999999999998</v>
      </c>
      <c r="Z69" s="17">
        <v>6.8465999999999996</v>
      </c>
      <c r="AA69" s="17">
        <v>6.9078999999999997</v>
      </c>
      <c r="AB69" s="17">
        <v>3.4601000000000002</v>
      </c>
      <c r="AC69" s="17">
        <v>0.97819999999999996</v>
      </c>
      <c r="AD69" s="17">
        <v>2.4369999999999998</v>
      </c>
      <c r="AE69" s="17">
        <v>5.3837999999999999</v>
      </c>
      <c r="AF69" s="17">
        <v>1.5297000000000001</v>
      </c>
      <c r="AG69" s="17">
        <v>0.73</v>
      </c>
      <c r="AH69" s="17">
        <v>2.6253000000000002</v>
      </c>
      <c r="AI69" s="17">
        <v>5.8625999999999996</v>
      </c>
      <c r="AJ69" s="17">
        <v>0.55740000000000001</v>
      </c>
      <c r="AK69" s="17">
        <v>1.1069</v>
      </c>
      <c r="AL69" s="17">
        <v>1.5266999999999999</v>
      </c>
      <c r="AM69" s="17">
        <v>1.9258999999999999</v>
      </c>
      <c r="AN69" s="17">
        <v>4.2255000000000003</v>
      </c>
      <c r="AO69" s="17">
        <v>5.1021999999999998</v>
      </c>
      <c r="AP69" s="17">
        <v>1.6395999999999999</v>
      </c>
      <c r="AQ69" s="85">
        <v>1.7271000000000001</v>
      </c>
    </row>
    <row r="70" spans="1:43" x14ac:dyDescent="0.2">
      <c r="A70" s="34">
        <f t="shared" si="1"/>
        <v>4.92816923076923</v>
      </c>
      <c r="B70" s="17">
        <v>38</v>
      </c>
      <c r="C70" s="17">
        <v>14</v>
      </c>
      <c r="D70" s="34">
        <v>1.5623</v>
      </c>
      <c r="E70" s="17">
        <v>5.4359999999999999</v>
      </c>
      <c r="F70" s="17">
        <v>5.0242000000000004</v>
      </c>
      <c r="G70" s="17">
        <v>5.3407</v>
      </c>
      <c r="H70" s="17">
        <v>1.7129000000000001</v>
      </c>
      <c r="I70" s="17">
        <v>19.544799999999999</v>
      </c>
      <c r="J70" s="17">
        <v>3.4908000000000001</v>
      </c>
      <c r="K70" s="17">
        <v>2.6143999999999998</v>
      </c>
      <c r="L70" s="17">
        <v>1.5328999999999999</v>
      </c>
      <c r="M70" s="17">
        <v>0.97560000000000002</v>
      </c>
      <c r="N70" s="17">
        <v>4.0015999999999998</v>
      </c>
      <c r="O70" s="17">
        <v>6.8852000000000002</v>
      </c>
      <c r="P70" s="17">
        <v>2.4483999999999999</v>
      </c>
      <c r="Q70" s="17">
        <v>8.3305000000000007</v>
      </c>
      <c r="R70" s="17">
        <v>7.8247</v>
      </c>
      <c r="S70" s="17">
        <v>3.8182</v>
      </c>
      <c r="T70" s="17">
        <v>5.1276999999999999</v>
      </c>
      <c r="U70" s="17">
        <v>9.0839999999999996</v>
      </c>
      <c r="V70" s="17">
        <v>5.8900000000000001E-2</v>
      </c>
      <c r="W70" s="17">
        <v>2.5573000000000001</v>
      </c>
      <c r="X70" s="34">
        <v>4.9725000000000001</v>
      </c>
      <c r="Y70" s="17">
        <v>4.2636000000000003</v>
      </c>
      <c r="Z70" s="17">
        <v>4.0368000000000004</v>
      </c>
      <c r="AA70" s="17">
        <v>8.0914000000000001</v>
      </c>
      <c r="AB70" s="17">
        <v>0.81240000000000001</v>
      </c>
      <c r="AC70" s="17">
        <v>7.1351000000000004</v>
      </c>
      <c r="AD70" s="17">
        <v>3.0118</v>
      </c>
      <c r="AE70" s="17">
        <v>3.9056999999999999</v>
      </c>
      <c r="AF70" s="17">
        <v>1.0217000000000001</v>
      </c>
      <c r="AG70" s="17">
        <v>0.98919999999999997</v>
      </c>
      <c r="AH70" s="17">
        <v>2.0270000000000001</v>
      </c>
      <c r="AI70" s="17">
        <v>1.5668</v>
      </c>
      <c r="AJ70" s="17">
        <v>5.2691999999999997</v>
      </c>
      <c r="AK70" s="17">
        <v>9.7194000000000003</v>
      </c>
      <c r="AL70" s="17">
        <v>2.0543</v>
      </c>
      <c r="AM70" s="17">
        <v>3.9948999999999999</v>
      </c>
      <c r="AN70" s="17">
        <v>3.0190000000000001</v>
      </c>
      <c r="AO70" s="17">
        <v>15.226800000000001</v>
      </c>
      <c r="AP70" s="17">
        <v>5.0091999999999999</v>
      </c>
      <c r="AQ70" s="85">
        <v>6.3376000000000001</v>
      </c>
    </row>
    <row r="71" spans="1:43" x14ac:dyDescent="0.2">
      <c r="A71" s="34">
        <f t="shared" si="1"/>
        <v>3.46131923076923</v>
      </c>
      <c r="B71" s="17">
        <v>43</v>
      </c>
      <c r="C71" s="17">
        <v>15</v>
      </c>
      <c r="D71" s="34">
        <v>8.2426999999999992</v>
      </c>
      <c r="E71" s="17">
        <v>8.7960999999999991</v>
      </c>
      <c r="F71" s="17">
        <v>2.6404000000000001</v>
      </c>
      <c r="G71" s="17">
        <v>1.6091</v>
      </c>
      <c r="H71" s="17">
        <v>3.5234000000000001</v>
      </c>
      <c r="I71" s="17">
        <v>3.9074</v>
      </c>
      <c r="J71" s="17">
        <v>1.4979</v>
      </c>
      <c r="K71" s="17">
        <v>3.1097999999999999</v>
      </c>
      <c r="L71" s="17">
        <v>3.7932000000000001</v>
      </c>
      <c r="M71" s="17">
        <v>1.9219999999999999</v>
      </c>
      <c r="N71" s="17">
        <v>3.0630999999999999</v>
      </c>
      <c r="O71" s="17">
        <v>7.2317999999999998</v>
      </c>
      <c r="P71" s="17">
        <v>3.8191000000000002</v>
      </c>
      <c r="Q71" s="17">
        <v>1.7753000000000001</v>
      </c>
      <c r="R71" s="17">
        <v>9.4606999999999992</v>
      </c>
      <c r="S71" s="17">
        <v>3.2526000000000002</v>
      </c>
      <c r="T71" s="17">
        <v>4.1318000000000001</v>
      </c>
      <c r="U71" s="17">
        <v>2.6844999999999999</v>
      </c>
      <c r="V71" s="17">
        <v>0.46879999999999999</v>
      </c>
      <c r="W71" s="17">
        <v>0.48420000000000002</v>
      </c>
      <c r="X71" s="34">
        <v>7.1265999999999998</v>
      </c>
      <c r="Y71" s="17">
        <v>1.6532</v>
      </c>
      <c r="Z71" s="17">
        <v>0.75080000000000002</v>
      </c>
      <c r="AA71" s="17">
        <v>2.3384999999999998</v>
      </c>
      <c r="AB71" s="17">
        <v>1.8048</v>
      </c>
      <c r="AC71" s="17">
        <v>6.4657</v>
      </c>
      <c r="AD71" s="17">
        <v>2.6835</v>
      </c>
      <c r="AE71" s="17">
        <v>4.6365999999999996</v>
      </c>
      <c r="AF71" s="17">
        <v>3.8073999999999999</v>
      </c>
      <c r="AG71" s="17">
        <v>4.3491999999999997</v>
      </c>
      <c r="AH71" s="17">
        <v>3.0516999999999999</v>
      </c>
      <c r="AI71" s="17">
        <v>5.3240999999999996</v>
      </c>
      <c r="AJ71" s="17">
        <v>1.3895</v>
      </c>
      <c r="AK71" s="17">
        <v>2.6772999999999998</v>
      </c>
      <c r="AL71" s="17">
        <v>3.3395999999999999</v>
      </c>
      <c r="AM71" s="17">
        <v>5.5515999999999996</v>
      </c>
      <c r="AN71" s="17">
        <v>2.3327</v>
      </c>
      <c r="AO71" s="17">
        <v>2.8711000000000002</v>
      </c>
      <c r="AP71" s="17">
        <v>2.3329</v>
      </c>
      <c r="AQ71" s="85">
        <v>6.6298000000000004</v>
      </c>
    </row>
    <row r="72" spans="1:43" x14ac:dyDescent="0.2">
      <c r="A72" s="34">
        <f t="shared" si="1"/>
        <v>4.1400153846153849</v>
      </c>
      <c r="B72" s="17">
        <v>44</v>
      </c>
      <c r="C72" s="17">
        <v>16</v>
      </c>
      <c r="D72" s="34">
        <v>5.3704000000000001</v>
      </c>
      <c r="E72" s="17">
        <v>5.4958</v>
      </c>
      <c r="F72" s="17">
        <v>6.1238999999999999</v>
      </c>
      <c r="G72" s="17">
        <v>4.5536000000000003</v>
      </c>
      <c r="H72" s="17">
        <v>1.2392000000000001</v>
      </c>
      <c r="I72" s="17">
        <v>2.0941999999999998</v>
      </c>
      <c r="J72" s="17">
        <v>3.7566000000000002</v>
      </c>
      <c r="K72" s="17">
        <v>4.2342000000000004</v>
      </c>
      <c r="L72" s="17">
        <v>3.3841999999999999</v>
      </c>
      <c r="M72" s="17">
        <v>2.3883999999999999</v>
      </c>
      <c r="N72" s="17">
        <v>1.6287</v>
      </c>
      <c r="O72" s="17">
        <v>6.1111000000000004</v>
      </c>
      <c r="P72" s="17">
        <v>3.6888999999999998</v>
      </c>
      <c r="Q72" s="17">
        <v>2.9561000000000002</v>
      </c>
      <c r="R72" s="17">
        <v>5.1547999999999998</v>
      </c>
      <c r="S72" s="17">
        <v>4.2049000000000003</v>
      </c>
      <c r="T72" s="17">
        <v>6.0240999999999998</v>
      </c>
      <c r="U72" s="17">
        <v>2.0720999999999998</v>
      </c>
      <c r="V72" s="17">
        <v>6.8296000000000001</v>
      </c>
      <c r="W72" s="17">
        <v>8.5031999999999996</v>
      </c>
      <c r="X72" s="34">
        <v>1.728</v>
      </c>
      <c r="Y72" s="17">
        <v>4.6755000000000004</v>
      </c>
      <c r="Z72" s="17">
        <v>3.5253999999999999</v>
      </c>
      <c r="AA72" s="17">
        <v>4.96</v>
      </c>
      <c r="AB72" s="17">
        <v>3.5602</v>
      </c>
      <c r="AC72" s="17">
        <v>2.0853000000000002</v>
      </c>
      <c r="AD72" s="17">
        <v>6.6623999999999999</v>
      </c>
      <c r="AE72" s="17">
        <v>4.7502000000000004</v>
      </c>
      <c r="AF72" s="17">
        <v>2.2934000000000001</v>
      </c>
      <c r="AG72" s="17">
        <v>5.3967000000000001</v>
      </c>
      <c r="AH72" s="17">
        <v>2.7532000000000001</v>
      </c>
      <c r="AI72" s="17">
        <v>3.9710999999999999</v>
      </c>
      <c r="AJ72" s="17">
        <v>0.86819999999999997</v>
      </c>
      <c r="AK72" s="17">
        <v>3.3464999999999998</v>
      </c>
      <c r="AL72" s="17">
        <v>2.8412000000000002</v>
      </c>
      <c r="AM72" s="17">
        <v>3.2633999999999999</v>
      </c>
      <c r="AN72" s="17">
        <v>2.1126</v>
      </c>
      <c r="AO72" s="17">
        <v>3.4136000000000002</v>
      </c>
      <c r="AP72" s="17">
        <v>1.3307</v>
      </c>
      <c r="AQ72" s="85">
        <v>1.2943</v>
      </c>
    </row>
    <row r="73" spans="1:43" x14ac:dyDescent="0.2">
      <c r="A73" s="34">
        <f t="shared" si="1"/>
        <v>4.1664846153846167</v>
      </c>
      <c r="B73" s="17">
        <v>45</v>
      </c>
      <c r="C73" s="17">
        <v>17</v>
      </c>
      <c r="D73" s="34">
        <v>6.8183999999999996</v>
      </c>
      <c r="E73" s="17">
        <v>10.464399999999999</v>
      </c>
      <c r="F73" s="17">
        <v>7.9832000000000001</v>
      </c>
      <c r="G73" s="17">
        <v>12.217599999999999</v>
      </c>
      <c r="H73" s="17">
        <v>3.0750000000000002</v>
      </c>
      <c r="I73" s="17">
        <v>4.4734999999999996</v>
      </c>
      <c r="J73" s="17">
        <v>4.819</v>
      </c>
      <c r="K73" s="17">
        <v>3.5224000000000002</v>
      </c>
      <c r="L73" s="17">
        <v>5.4739000000000004</v>
      </c>
      <c r="M73" s="17">
        <v>1.8048999999999999</v>
      </c>
      <c r="N73" s="17">
        <v>0.80030000000000001</v>
      </c>
      <c r="O73" s="17">
        <v>5.1590999999999996</v>
      </c>
      <c r="P73" s="17">
        <v>1.6053999999999999</v>
      </c>
      <c r="Q73" s="17">
        <v>5.1576000000000004</v>
      </c>
      <c r="R73" s="17">
        <v>1.7629999999999999</v>
      </c>
      <c r="S73" s="17">
        <v>3.7469000000000001</v>
      </c>
      <c r="T73" s="17">
        <v>5.6178999999999997</v>
      </c>
      <c r="U73" s="17">
        <v>1.7714000000000001</v>
      </c>
      <c r="V73" s="17">
        <v>9.2597000000000005</v>
      </c>
      <c r="W73" s="17">
        <v>1.2383999999999999</v>
      </c>
      <c r="X73" s="34">
        <v>2.7513999999999998</v>
      </c>
      <c r="Y73" s="17">
        <v>3.4779</v>
      </c>
      <c r="Z73" s="17">
        <v>1.5245</v>
      </c>
      <c r="AA73" s="17">
        <v>5.1326000000000001</v>
      </c>
      <c r="AB73" s="17">
        <v>0.66930000000000001</v>
      </c>
      <c r="AC73" s="17">
        <v>2.2845</v>
      </c>
      <c r="AD73" s="17">
        <v>2.5348000000000002</v>
      </c>
      <c r="AE73" s="17">
        <v>7.0762</v>
      </c>
      <c r="AF73" s="17">
        <v>1.296</v>
      </c>
      <c r="AG73" s="17">
        <v>0.66700000000000004</v>
      </c>
      <c r="AH73" s="17">
        <v>2.0426000000000002</v>
      </c>
      <c r="AI73" s="17">
        <v>0.36820000000000003</v>
      </c>
      <c r="AJ73" s="17">
        <v>4.7134999999999998</v>
      </c>
      <c r="AK73" s="17">
        <v>4.0876999999999999</v>
      </c>
      <c r="AL73" s="17">
        <v>3.8854000000000002</v>
      </c>
      <c r="AM73" s="17">
        <v>3.198</v>
      </c>
      <c r="AN73" s="17">
        <v>2.9927999999999999</v>
      </c>
      <c r="AO73" s="17">
        <v>2.4889000000000001</v>
      </c>
      <c r="AP73" s="17">
        <v>4.0110000000000001</v>
      </c>
      <c r="AQ73" s="85">
        <v>0.73299999999999998</v>
      </c>
    </row>
    <row r="74" spans="1:43" x14ac:dyDescent="0.2">
      <c r="A74" s="34">
        <f t="shared" si="1"/>
        <v>4.5150346153846144</v>
      </c>
      <c r="B74" s="17">
        <v>48</v>
      </c>
      <c r="C74" s="17">
        <v>18</v>
      </c>
      <c r="D74" s="34">
        <v>5.4570999999999996</v>
      </c>
      <c r="E74" s="17">
        <v>7.3982000000000001</v>
      </c>
      <c r="F74" s="17">
        <v>3.7826</v>
      </c>
      <c r="G74" s="17">
        <v>5.5189000000000004</v>
      </c>
      <c r="H74" s="17">
        <v>6.8461999999999996</v>
      </c>
      <c r="I74" s="17">
        <v>5.4720000000000004</v>
      </c>
      <c r="J74" s="17">
        <v>6.2587999999999999</v>
      </c>
      <c r="K74" s="17">
        <v>0.97289999999999999</v>
      </c>
      <c r="L74" s="17">
        <v>1.3021</v>
      </c>
      <c r="M74" s="17">
        <v>4.0769000000000002</v>
      </c>
      <c r="N74" s="17">
        <v>2.6381000000000001</v>
      </c>
      <c r="O74" s="17">
        <v>3.2723</v>
      </c>
      <c r="P74" s="17">
        <v>5.1055000000000001</v>
      </c>
      <c r="Q74" s="17">
        <v>7.7774999999999999</v>
      </c>
      <c r="R74" s="17">
        <v>5.0495000000000001</v>
      </c>
      <c r="S74" s="17">
        <v>6.2561999999999998</v>
      </c>
      <c r="T74" s="17">
        <v>4.4713000000000003</v>
      </c>
      <c r="U74" s="17">
        <v>6.2309999999999999</v>
      </c>
      <c r="V74" s="17">
        <v>2.1187</v>
      </c>
      <c r="W74" s="17">
        <v>1.107</v>
      </c>
      <c r="X74" s="34">
        <v>4.9943</v>
      </c>
      <c r="Y74" s="17">
        <v>7.5281000000000002</v>
      </c>
      <c r="Z74" s="17">
        <v>3.5063</v>
      </c>
      <c r="AA74" s="17">
        <v>1.5348999999999999</v>
      </c>
      <c r="AB74" s="17">
        <v>4.3673999999999999</v>
      </c>
      <c r="AC74" s="17">
        <v>5.4690000000000003</v>
      </c>
      <c r="AD74" s="17">
        <v>4.3352000000000004</v>
      </c>
      <c r="AE74" s="17">
        <v>2.2923</v>
      </c>
      <c r="AF74" s="17">
        <v>1.3565</v>
      </c>
      <c r="AG74" s="17">
        <v>10.4542</v>
      </c>
      <c r="AH74" s="17">
        <v>2.1861000000000002</v>
      </c>
      <c r="AI74" s="17">
        <v>6.2637</v>
      </c>
      <c r="AJ74" s="17">
        <v>0.6341</v>
      </c>
      <c r="AK74" s="17">
        <v>5.3760000000000003</v>
      </c>
      <c r="AL74" s="17">
        <v>4.1485000000000003</v>
      </c>
      <c r="AM74" s="17">
        <v>5.5956999999999999</v>
      </c>
      <c r="AN74" s="17">
        <v>3.2625000000000002</v>
      </c>
      <c r="AO74" s="17">
        <v>0.72829999999999995</v>
      </c>
      <c r="AP74" s="17">
        <v>2.0341999999999998</v>
      </c>
      <c r="AQ74" s="85">
        <v>2.3245</v>
      </c>
    </row>
    <row r="75" spans="1:43" x14ac:dyDescent="0.2">
      <c r="A75" s="34">
        <f t="shared" si="1"/>
        <v>4.79973076923077</v>
      </c>
      <c r="B75" s="17">
        <v>49</v>
      </c>
      <c r="C75" s="17">
        <v>19</v>
      </c>
      <c r="D75" s="34">
        <v>5.4386000000000001</v>
      </c>
      <c r="E75" s="17">
        <v>8.9040999999999997</v>
      </c>
      <c r="F75" s="17">
        <v>3.8542999999999998</v>
      </c>
      <c r="G75" s="17">
        <v>1.0651999999999999</v>
      </c>
      <c r="H75" s="17">
        <v>3.5421</v>
      </c>
      <c r="I75" s="17">
        <v>5.5076999999999998</v>
      </c>
      <c r="J75" s="17">
        <v>3.7029999999999998</v>
      </c>
      <c r="K75" s="17">
        <v>3.9157999999999999</v>
      </c>
      <c r="L75" s="17">
        <v>3.6373000000000002</v>
      </c>
      <c r="M75" s="17">
        <v>4.1833</v>
      </c>
      <c r="N75" s="17">
        <v>0.9839</v>
      </c>
      <c r="O75" s="17">
        <v>2.4033000000000002</v>
      </c>
      <c r="P75" s="17">
        <v>3.6137000000000001</v>
      </c>
      <c r="Q75" s="17">
        <v>5.3577000000000004</v>
      </c>
      <c r="R75" s="17">
        <v>13.6441</v>
      </c>
      <c r="S75" s="17">
        <v>8.9882000000000009</v>
      </c>
      <c r="T75" s="17">
        <v>8.3327000000000009</v>
      </c>
      <c r="U75" s="17">
        <v>6.0049999999999999</v>
      </c>
      <c r="V75" s="17">
        <v>3.2987000000000002</v>
      </c>
      <c r="W75" s="17">
        <v>3.9815999999999998</v>
      </c>
      <c r="X75" s="34">
        <v>4.9996999999999998</v>
      </c>
      <c r="Y75" s="17">
        <v>5.6395</v>
      </c>
      <c r="Z75" s="17">
        <v>2.7277</v>
      </c>
      <c r="AA75" s="17">
        <v>4.7972999999999999</v>
      </c>
      <c r="AB75" s="17">
        <v>3.5284</v>
      </c>
      <c r="AC75" s="17">
        <v>5.1143000000000001</v>
      </c>
      <c r="AD75" s="17">
        <v>3.0644</v>
      </c>
      <c r="AE75" s="17">
        <v>2.5672999999999999</v>
      </c>
      <c r="AF75" s="17">
        <v>3.1362000000000001</v>
      </c>
      <c r="AG75" s="17">
        <v>5.0130999999999997</v>
      </c>
      <c r="AH75" s="17">
        <v>1.0155000000000001</v>
      </c>
      <c r="AI75" s="17">
        <v>1.4537</v>
      </c>
      <c r="AJ75" s="17">
        <v>2.5552999999999999</v>
      </c>
      <c r="AK75" s="17">
        <v>3.9679000000000002</v>
      </c>
      <c r="AL75" s="17">
        <v>4.5675999999999997</v>
      </c>
      <c r="AM75" s="17">
        <v>3.1896</v>
      </c>
      <c r="AN75" s="17">
        <v>2.5493000000000001</v>
      </c>
      <c r="AO75" s="17">
        <v>5.9897999999999998</v>
      </c>
      <c r="AP75" s="17">
        <v>3.4845000000000002</v>
      </c>
      <c r="AQ75" s="85">
        <v>3.5383</v>
      </c>
    </row>
    <row r="76" spans="1:43" x14ac:dyDescent="0.2">
      <c r="A76" s="34">
        <f t="shared" si="1"/>
        <v>5.3440999999999992</v>
      </c>
      <c r="B76" s="17">
        <v>51</v>
      </c>
      <c r="C76" s="17">
        <v>20</v>
      </c>
      <c r="D76" s="34">
        <v>5.4202000000000004</v>
      </c>
      <c r="E76" s="17">
        <v>8.3801000000000005</v>
      </c>
      <c r="F76" s="17">
        <v>4.7420999999999998</v>
      </c>
      <c r="G76" s="17">
        <v>8.9374000000000002</v>
      </c>
      <c r="H76" s="17">
        <v>6.5103999999999997</v>
      </c>
      <c r="I76" s="17">
        <v>5.5433000000000003</v>
      </c>
      <c r="J76" s="17">
        <v>3.2522000000000002</v>
      </c>
      <c r="K76" s="17">
        <v>9.2047000000000008</v>
      </c>
      <c r="L76" s="17">
        <v>8.2363</v>
      </c>
      <c r="M76" s="17">
        <v>4.3836000000000004</v>
      </c>
      <c r="N76" s="17">
        <v>3.3782000000000001</v>
      </c>
      <c r="O76" s="17">
        <v>7.4638999999999998</v>
      </c>
      <c r="P76" s="17">
        <v>2.714</v>
      </c>
      <c r="Q76" s="17">
        <v>9.2518999999999991</v>
      </c>
      <c r="R76" s="17">
        <v>4.2626999999999997</v>
      </c>
      <c r="S76" s="17">
        <v>5.3384</v>
      </c>
      <c r="T76" s="17">
        <v>7.7183999999999999</v>
      </c>
      <c r="U76" s="17">
        <v>2.1484999999999999</v>
      </c>
      <c r="V76" s="17">
        <v>1.8233999999999999</v>
      </c>
      <c r="W76" s="17">
        <v>5.2079000000000004</v>
      </c>
      <c r="X76" s="34">
        <v>5.0050999999999997</v>
      </c>
      <c r="Y76" s="17">
        <v>5.2842000000000002</v>
      </c>
      <c r="Z76" s="17">
        <v>4.7028999999999996</v>
      </c>
      <c r="AA76" s="17">
        <v>4.8880999999999997</v>
      </c>
      <c r="AB76" s="17">
        <v>3.6760999999999999</v>
      </c>
      <c r="AC76" s="17">
        <v>5.5549999999999997</v>
      </c>
      <c r="AD76" s="17">
        <v>1.3378000000000001</v>
      </c>
      <c r="AE76" s="17">
        <v>4.4259000000000004</v>
      </c>
      <c r="AF76" s="17">
        <v>4.8422000000000001</v>
      </c>
      <c r="AG76" s="17">
        <v>3.1960000000000002</v>
      </c>
      <c r="AH76" s="17">
        <v>4.1210000000000004</v>
      </c>
      <c r="AI76" s="17">
        <v>3.9188000000000001</v>
      </c>
      <c r="AJ76" s="17">
        <v>2.7597</v>
      </c>
      <c r="AK76" s="17">
        <v>1.3675999999999999</v>
      </c>
      <c r="AL76" s="17">
        <v>1.6947000000000001</v>
      </c>
      <c r="AM76" s="17">
        <v>6.3418999999999999</v>
      </c>
      <c r="AN76" s="17">
        <v>8.2462</v>
      </c>
      <c r="AO76" s="17">
        <v>6.5838999999999999</v>
      </c>
      <c r="AP76" s="17">
        <v>2.2265999999999999</v>
      </c>
      <c r="AQ76" s="85">
        <v>0.21540000000000001</v>
      </c>
    </row>
    <row r="77" spans="1:43" x14ac:dyDescent="0.2">
      <c r="A77" s="34">
        <f t="shared" si="1"/>
        <v>4.4550653846153843</v>
      </c>
      <c r="B77" s="17">
        <v>53</v>
      </c>
      <c r="C77" s="17">
        <v>21</v>
      </c>
      <c r="D77" s="34">
        <v>5.4016999999999999</v>
      </c>
      <c r="E77" s="17">
        <v>3.1438000000000001</v>
      </c>
      <c r="F77" s="17">
        <v>3.9975999999999998</v>
      </c>
      <c r="G77" s="17">
        <v>2.1374</v>
      </c>
      <c r="H77" s="17">
        <v>3.5167000000000002</v>
      </c>
      <c r="I77" s="17">
        <v>5.5789</v>
      </c>
      <c r="J77" s="17">
        <v>3.4165999999999999</v>
      </c>
      <c r="K77" s="17">
        <v>4.2603</v>
      </c>
      <c r="L77" s="17">
        <v>5.0625</v>
      </c>
      <c r="M77" s="17">
        <v>2.2603</v>
      </c>
      <c r="N77" s="17">
        <v>3.4413</v>
      </c>
      <c r="O77" s="17">
        <v>4.5537000000000001</v>
      </c>
      <c r="P77" s="17">
        <v>8.9526000000000003</v>
      </c>
      <c r="Q77" s="17">
        <v>3.0224000000000002</v>
      </c>
      <c r="R77" s="17">
        <v>4.3785999999999996</v>
      </c>
      <c r="S77" s="17">
        <v>5.0350999999999999</v>
      </c>
      <c r="T77" s="17">
        <v>4.9147999999999996</v>
      </c>
      <c r="U77" s="17">
        <v>8.3419000000000008</v>
      </c>
      <c r="V77" s="17">
        <v>7.4119000000000002</v>
      </c>
      <c r="W77" s="17">
        <v>5.9668000000000001</v>
      </c>
      <c r="X77" s="34">
        <v>2.5798000000000001</v>
      </c>
      <c r="Y77" s="17">
        <v>5.7108999999999996</v>
      </c>
      <c r="Z77" s="17">
        <v>3.6284000000000001</v>
      </c>
      <c r="AA77" s="17">
        <v>2.4527000000000001</v>
      </c>
      <c r="AB77" s="17">
        <v>3.7031000000000001</v>
      </c>
      <c r="AC77" s="17">
        <v>5.5979000000000001</v>
      </c>
      <c r="AD77" s="17">
        <v>2.7656999999999998</v>
      </c>
      <c r="AE77" s="17">
        <v>2.3006000000000002</v>
      </c>
      <c r="AF77" s="17">
        <v>2.4512999999999998</v>
      </c>
      <c r="AG77" s="17">
        <v>5.1196000000000002</v>
      </c>
      <c r="AH77" s="17">
        <v>4.0647000000000002</v>
      </c>
      <c r="AI77" s="17">
        <v>3.7738</v>
      </c>
      <c r="AJ77" s="17">
        <v>2.6358000000000001</v>
      </c>
      <c r="AK77" s="17">
        <v>3.0626000000000002</v>
      </c>
      <c r="AL77" s="17">
        <v>4.5698999999999996</v>
      </c>
      <c r="AM77" s="17">
        <v>5.2268999999999997</v>
      </c>
      <c r="AN77" s="17">
        <v>1.4113</v>
      </c>
      <c r="AO77" s="17">
        <v>5.0618999999999996</v>
      </c>
      <c r="AP77" s="17">
        <v>5.3833000000000002</v>
      </c>
      <c r="AQ77" s="85">
        <v>1.2316</v>
      </c>
    </row>
    <row r="78" spans="1:43" x14ac:dyDescent="0.2">
      <c r="A78" s="34">
        <f t="shared" si="1"/>
        <v>4.888634615384615</v>
      </c>
      <c r="B78" s="17">
        <v>55</v>
      </c>
      <c r="C78" s="17">
        <v>22</v>
      </c>
      <c r="D78" s="34">
        <v>6.6540999999999997</v>
      </c>
      <c r="E78" s="17">
        <v>8.8346</v>
      </c>
      <c r="F78" s="17">
        <v>5.3131000000000004</v>
      </c>
      <c r="G78" s="17">
        <v>4.9961000000000002</v>
      </c>
      <c r="H78" s="17">
        <v>0.86880000000000002</v>
      </c>
      <c r="I78" s="17">
        <v>5.0781999999999998</v>
      </c>
      <c r="J78" s="17">
        <v>3.1804999999999999</v>
      </c>
      <c r="K78" s="17">
        <v>1.2136</v>
      </c>
      <c r="L78" s="17">
        <v>2.2621000000000002</v>
      </c>
      <c r="M78" s="17">
        <v>4.8979999999999997</v>
      </c>
      <c r="N78" s="17">
        <v>2.7627000000000002</v>
      </c>
      <c r="O78" s="17">
        <v>4.8467000000000002</v>
      </c>
      <c r="P78" s="17">
        <v>4.4795999999999996</v>
      </c>
      <c r="Q78" s="17">
        <v>7.3865999999999996</v>
      </c>
      <c r="R78" s="17">
        <v>2.5188999999999999</v>
      </c>
      <c r="S78" s="17">
        <v>9.4054000000000002</v>
      </c>
      <c r="T78" s="17">
        <v>4.2859999999999996</v>
      </c>
      <c r="U78" s="17">
        <v>7.9481999999999999</v>
      </c>
      <c r="V78" s="17">
        <v>8.3320000000000007</v>
      </c>
      <c r="W78" s="17">
        <v>2.5769000000000002</v>
      </c>
      <c r="X78" s="34">
        <v>6.1147</v>
      </c>
      <c r="Y78" s="17">
        <v>7.2986000000000004</v>
      </c>
      <c r="Z78" s="17">
        <v>4.3144999999999998</v>
      </c>
      <c r="AA78" s="17">
        <v>6.1641000000000004</v>
      </c>
      <c r="AB78" s="17">
        <v>4.1559999999999997</v>
      </c>
      <c r="AC78" s="17">
        <v>5.6409000000000002</v>
      </c>
      <c r="AD78" s="17">
        <v>2.2277</v>
      </c>
      <c r="AE78" s="17">
        <v>1.5172000000000001</v>
      </c>
      <c r="AF78" s="17">
        <v>4.5117000000000003</v>
      </c>
      <c r="AG78" s="17">
        <v>1.3126</v>
      </c>
      <c r="AH78" s="17">
        <v>5.2397</v>
      </c>
      <c r="AI78" s="17">
        <v>1.0896999999999999</v>
      </c>
      <c r="AJ78" s="17">
        <v>2.5474999999999999</v>
      </c>
      <c r="AK78" s="17">
        <v>1.8051999999999999</v>
      </c>
      <c r="AL78" s="17">
        <v>3.7166999999999999</v>
      </c>
      <c r="AM78" s="17">
        <v>0.75019999999999998</v>
      </c>
      <c r="AN78" s="17">
        <v>1.7175</v>
      </c>
      <c r="AO78" s="17">
        <v>7.5986000000000002</v>
      </c>
      <c r="AP78" s="17">
        <v>3.3927</v>
      </c>
      <c r="AQ78" s="85">
        <v>2.8824000000000001</v>
      </c>
    </row>
    <row r="79" spans="1:43" x14ac:dyDescent="0.2">
      <c r="A79" s="34">
        <f t="shared" si="1"/>
        <v>5.194700000000001</v>
      </c>
      <c r="B79" s="17">
        <v>57</v>
      </c>
      <c r="C79" s="17">
        <v>23</v>
      </c>
      <c r="D79" s="34">
        <v>5.3647999999999998</v>
      </c>
      <c r="E79" s="17">
        <v>5.5681000000000003</v>
      </c>
      <c r="F79" s="17">
        <v>2.9691999999999998</v>
      </c>
      <c r="G79" s="17">
        <v>2.4367999999999999</v>
      </c>
      <c r="H79" s="17">
        <v>5.3959000000000001</v>
      </c>
      <c r="I79" s="17">
        <v>3.0952000000000002</v>
      </c>
      <c r="J79" s="17">
        <v>3.2618999999999998</v>
      </c>
      <c r="K79" s="17">
        <v>12.4163</v>
      </c>
      <c r="L79" s="17">
        <v>2.6555</v>
      </c>
      <c r="M79" s="17">
        <v>4.7876000000000003</v>
      </c>
      <c r="N79" s="17">
        <v>7.2210000000000001</v>
      </c>
      <c r="O79" s="17">
        <v>3.2572999999999999</v>
      </c>
      <c r="P79" s="17">
        <v>2.9498000000000002</v>
      </c>
      <c r="Q79" s="17">
        <v>5.9383999999999997</v>
      </c>
      <c r="R79" s="17">
        <v>1.9107000000000001</v>
      </c>
      <c r="S79" s="17">
        <v>7.6097000000000001</v>
      </c>
      <c r="T79" s="17">
        <v>3.2711999999999999</v>
      </c>
      <c r="U79" s="17">
        <v>7.4786000000000001</v>
      </c>
      <c r="V79" s="17">
        <v>0.61129999999999995</v>
      </c>
      <c r="W79" s="17">
        <v>2.161</v>
      </c>
      <c r="X79" s="34">
        <v>4.0202</v>
      </c>
      <c r="Y79" s="17">
        <v>7.0922000000000001</v>
      </c>
      <c r="Z79" s="17">
        <v>8.5053999999999998</v>
      </c>
      <c r="AA79" s="17">
        <v>10.583399999999999</v>
      </c>
      <c r="AB79" s="17">
        <v>5.41</v>
      </c>
      <c r="AC79" s="17">
        <v>5.6837999999999997</v>
      </c>
      <c r="AD79" s="17">
        <v>8.7716999999999992</v>
      </c>
      <c r="AE79" s="17">
        <v>7.4446000000000003</v>
      </c>
      <c r="AF79" s="17">
        <v>0.35060000000000002</v>
      </c>
      <c r="AG79" s="17">
        <v>9.2582000000000004</v>
      </c>
      <c r="AH79" s="17">
        <v>5.2446000000000002</v>
      </c>
      <c r="AI79" s="17">
        <v>3.1291000000000002</v>
      </c>
      <c r="AJ79" s="17">
        <v>2.0640999999999998</v>
      </c>
      <c r="AK79" s="17">
        <v>0.90059999999999996</v>
      </c>
      <c r="AL79" s="17">
        <v>10.6394</v>
      </c>
      <c r="AM79" s="17">
        <v>8.0503999999999998</v>
      </c>
      <c r="AN79" s="17">
        <v>4.1338999999999997</v>
      </c>
      <c r="AO79" s="17">
        <v>5.1673</v>
      </c>
      <c r="AP79" s="17">
        <v>1.6982999999999999</v>
      </c>
      <c r="AQ79" s="85">
        <v>6.0697000000000001</v>
      </c>
    </row>
    <row r="80" spans="1:43" x14ac:dyDescent="0.2">
      <c r="A80" s="34">
        <f t="shared" si="1"/>
        <v>4.2132346153846152</v>
      </c>
      <c r="B80" s="17">
        <v>60</v>
      </c>
      <c r="C80" s="17">
        <v>24</v>
      </c>
      <c r="D80" s="34">
        <v>5.3464</v>
      </c>
      <c r="E80" s="17">
        <v>4.7323000000000004</v>
      </c>
      <c r="F80" s="17">
        <v>6.3127000000000004</v>
      </c>
      <c r="G80" s="17">
        <v>2.0009999999999999</v>
      </c>
      <c r="H80" s="17">
        <v>1.2202999999999999</v>
      </c>
      <c r="I80" s="17">
        <v>13.3794</v>
      </c>
      <c r="J80" s="17">
        <v>8.9062999999999999</v>
      </c>
      <c r="K80" s="17">
        <v>4.2610000000000001</v>
      </c>
      <c r="L80" s="17">
        <v>3.0687000000000002</v>
      </c>
      <c r="M80" s="17">
        <v>4.5750000000000002</v>
      </c>
      <c r="N80" s="17">
        <v>3.8288000000000002</v>
      </c>
      <c r="O80" s="17">
        <v>1.6238999999999999</v>
      </c>
      <c r="P80" s="17">
        <v>2.6907000000000001</v>
      </c>
      <c r="Q80" s="17">
        <v>2.7991999999999999</v>
      </c>
      <c r="R80" s="17">
        <v>3.2360000000000002</v>
      </c>
      <c r="S80" s="17">
        <v>5.274</v>
      </c>
      <c r="T80" s="17">
        <v>4.2683999999999997</v>
      </c>
      <c r="U80" s="17">
        <v>5.4371999999999998</v>
      </c>
      <c r="V80" s="17">
        <v>2.0760999999999998</v>
      </c>
      <c r="W80" s="17">
        <v>1.4803999999999999</v>
      </c>
      <c r="X80" s="34">
        <v>5.0267999999999997</v>
      </c>
      <c r="Y80" s="17">
        <v>3.9698000000000002</v>
      </c>
      <c r="Z80" s="17">
        <v>3.3252999999999999</v>
      </c>
      <c r="AA80" s="17">
        <v>2.5293999999999999</v>
      </c>
      <c r="AB80" s="17">
        <v>6.0833000000000004</v>
      </c>
      <c r="AC80" s="17">
        <v>5.7267999999999999</v>
      </c>
      <c r="AD80" s="17">
        <v>1.7113</v>
      </c>
      <c r="AE80" s="17">
        <v>1.8150999999999999</v>
      </c>
      <c r="AF80" s="17">
        <v>8.5900000000000004E-2</v>
      </c>
      <c r="AG80" s="17">
        <v>6.0218999999999996</v>
      </c>
      <c r="AH80" s="17">
        <v>3.4624999999999999</v>
      </c>
      <c r="AI80" s="17">
        <v>3.1015999999999999</v>
      </c>
      <c r="AJ80" s="17">
        <v>2.8641000000000001</v>
      </c>
      <c r="AK80" s="17">
        <v>2.2389000000000001</v>
      </c>
      <c r="AL80" s="17">
        <v>3.4729999999999999</v>
      </c>
      <c r="AM80" s="17">
        <v>6.1538000000000004</v>
      </c>
      <c r="AN80" s="17">
        <v>1.0825</v>
      </c>
      <c r="AO80" s="17">
        <v>6.8804999999999996</v>
      </c>
      <c r="AP80" s="17">
        <v>4.7942</v>
      </c>
      <c r="AQ80" s="85">
        <v>3.9127999999999998</v>
      </c>
    </row>
    <row r="81" spans="1:43" x14ac:dyDescent="0.2">
      <c r="A81" s="34">
        <f t="shared" si="1"/>
        <v>4.2293846153846157</v>
      </c>
      <c r="B81" s="17">
        <v>62</v>
      </c>
      <c r="C81" s="17">
        <v>25</v>
      </c>
      <c r="D81" s="34">
        <v>1.0125</v>
      </c>
      <c r="E81" s="17">
        <v>4.1094999999999997</v>
      </c>
      <c r="F81" s="17">
        <v>2.7446999999999999</v>
      </c>
      <c r="G81" s="17">
        <v>6.1128</v>
      </c>
      <c r="H81" s="17">
        <v>3.8176000000000001</v>
      </c>
      <c r="I81" s="17">
        <v>3.1379999999999999</v>
      </c>
      <c r="J81" s="17">
        <v>4.3638000000000003</v>
      </c>
      <c r="K81" s="17">
        <v>4.5186000000000002</v>
      </c>
      <c r="L81" s="17">
        <v>5.2164999999999999</v>
      </c>
      <c r="M81" s="17">
        <v>1.4877</v>
      </c>
      <c r="N81" s="17">
        <v>3.9033000000000002</v>
      </c>
      <c r="O81" s="17">
        <v>3.9769999999999999</v>
      </c>
      <c r="P81" s="17">
        <v>4.1970000000000001</v>
      </c>
      <c r="Q81" s="17">
        <v>5.6544999999999996</v>
      </c>
      <c r="R81" s="17">
        <v>6.2755000000000001</v>
      </c>
      <c r="S81" s="17">
        <v>5.2039</v>
      </c>
      <c r="T81" s="17">
        <v>3.2286000000000001</v>
      </c>
      <c r="U81" s="17">
        <v>4.1973000000000003</v>
      </c>
      <c r="V81" s="17">
        <v>3.1160999999999999</v>
      </c>
      <c r="W81" s="17">
        <v>11.771599999999999</v>
      </c>
      <c r="X81" s="34">
        <v>2.2930000000000001</v>
      </c>
      <c r="Y81" s="17">
        <v>6.2805999999999997</v>
      </c>
      <c r="Z81" s="17">
        <v>2.2115999999999998</v>
      </c>
      <c r="AA81" s="17">
        <v>2.6551</v>
      </c>
      <c r="AB81" s="17">
        <v>2.2378999999999998</v>
      </c>
      <c r="AC81" s="17">
        <v>1.3460000000000001</v>
      </c>
      <c r="AD81" s="17">
        <v>5.9058000000000002</v>
      </c>
      <c r="AE81" s="17">
        <v>5.7774999999999999</v>
      </c>
      <c r="AF81" s="17">
        <v>2.0627</v>
      </c>
      <c r="AG81" s="17">
        <v>4.2801</v>
      </c>
      <c r="AH81" s="17">
        <v>0.74429999999999996</v>
      </c>
      <c r="AI81" s="17">
        <v>3.2265999999999999</v>
      </c>
      <c r="AJ81" s="17">
        <v>3.32</v>
      </c>
      <c r="AK81" s="17">
        <v>4.2119</v>
      </c>
      <c r="AL81" s="17">
        <v>0.20519999999999999</v>
      </c>
      <c r="AM81" s="17">
        <v>0.50990000000000002</v>
      </c>
      <c r="AN81" s="17">
        <v>1.5606</v>
      </c>
      <c r="AO81" s="17">
        <v>7.4282000000000004</v>
      </c>
      <c r="AP81" s="17">
        <v>6.4165999999999999</v>
      </c>
      <c r="AQ81" s="85">
        <v>4.9653</v>
      </c>
    </row>
    <row r="82" spans="1:43" x14ac:dyDescent="0.2">
      <c r="A82" s="34">
        <f t="shared" si="1"/>
        <v>4.167365384615386</v>
      </c>
      <c r="B82" s="17">
        <v>64</v>
      </c>
      <c r="C82" s="17">
        <v>26</v>
      </c>
      <c r="D82" s="34">
        <v>7.8734000000000002</v>
      </c>
      <c r="E82" s="17">
        <v>0.81810000000000005</v>
      </c>
      <c r="F82" s="17">
        <v>2.5082</v>
      </c>
      <c r="G82" s="17">
        <v>6.9141000000000004</v>
      </c>
      <c r="H82" s="17">
        <v>3.6823000000000001</v>
      </c>
      <c r="I82" s="17">
        <v>1.8086</v>
      </c>
      <c r="J82" s="17">
        <v>9.2850000000000001</v>
      </c>
      <c r="K82" s="17">
        <v>5.9207999999999998</v>
      </c>
      <c r="L82" s="17">
        <v>2.8416999999999999</v>
      </c>
      <c r="M82" s="17">
        <v>7.4276</v>
      </c>
      <c r="N82" s="17">
        <v>0.64129999999999998</v>
      </c>
      <c r="O82" s="17">
        <v>1.8178000000000001</v>
      </c>
      <c r="P82" s="17">
        <v>2.1459999999999999</v>
      </c>
      <c r="Q82" s="17">
        <v>2.8012999999999999</v>
      </c>
      <c r="R82" s="17">
        <v>4.7168000000000001</v>
      </c>
      <c r="S82" s="17">
        <v>6.5536000000000003</v>
      </c>
      <c r="T82" s="17">
        <v>2.0562</v>
      </c>
      <c r="U82" s="17">
        <v>6.7706999999999997</v>
      </c>
      <c r="V82" s="17">
        <v>3.8900999999999999</v>
      </c>
      <c r="W82" s="17">
        <v>4.3555000000000001</v>
      </c>
      <c r="X82" s="34">
        <v>8.4932999999999996</v>
      </c>
      <c r="Y82" s="17">
        <v>2.0588000000000002</v>
      </c>
      <c r="Z82" s="17">
        <v>4.7077999999999998</v>
      </c>
      <c r="AA82" s="17">
        <v>4.8383000000000003</v>
      </c>
      <c r="AB82" s="17">
        <v>7.7030000000000003</v>
      </c>
      <c r="AC82" s="17">
        <v>2.5222000000000002</v>
      </c>
      <c r="AD82" s="17">
        <v>1.0724</v>
      </c>
      <c r="AE82" s="17">
        <v>5.1638999999999999</v>
      </c>
      <c r="AF82" s="17">
        <v>0.58350000000000002</v>
      </c>
      <c r="AG82" s="17">
        <v>0.54430000000000001</v>
      </c>
      <c r="AH82" s="17">
        <v>1.0206999999999999</v>
      </c>
      <c r="AI82" s="17">
        <v>5.8484999999999996</v>
      </c>
      <c r="AJ82" s="17">
        <v>2.9317000000000002</v>
      </c>
      <c r="AK82" s="17">
        <v>4.4976000000000003</v>
      </c>
      <c r="AL82" s="17">
        <v>3.8917000000000002</v>
      </c>
      <c r="AM82" s="17">
        <v>3.4439000000000002</v>
      </c>
      <c r="AN82" s="17">
        <v>1.4923</v>
      </c>
      <c r="AO82" s="17">
        <v>6.7568999999999999</v>
      </c>
      <c r="AP82" s="17">
        <v>7.7713000000000001</v>
      </c>
      <c r="AQ82" s="85">
        <v>1.7448999999999999</v>
      </c>
    </row>
    <row r="83" spans="1:43" x14ac:dyDescent="0.2">
      <c r="A83" s="34">
        <f t="shared" si="1"/>
        <v>4.7997923076923081</v>
      </c>
      <c r="B83" s="17">
        <v>66</v>
      </c>
      <c r="C83" s="17">
        <v>27</v>
      </c>
      <c r="D83" s="34">
        <v>4.7514000000000003</v>
      </c>
      <c r="E83" s="17">
        <v>1.2125999999999999</v>
      </c>
      <c r="F83" s="17">
        <v>2.0491999999999999</v>
      </c>
      <c r="G83" s="17">
        <v>3.9662999999999999</v>
      </c>
      <c r="H83" s="17">
        <v>2.3767</v>
      </c>
      <c r="I83" s="17">
        <v>3.8834</v>
      </c>
      <c r="J83" s="17">
        <v>7.7801</v>
      </c>
      <c r="K83" s="17">
        <v>3.5590000000000002</v>
      </c>
      <c r="L83" s="17">
        <v>6.0603999999999996</v>
      </c>
      <c r="M83" s="17">
        <v>4.7824999999999998</v>
      </c>
      <c r="N83" s="17">
        <v>7.5926</v>
      </c>
      <c r="O83" s="17">
        <v>3.9437000000000002</v>
      </c>
      <c r="P83" s="17">
        <v>1.3599000000000001</v>
      </c>
      <c r="Q83" s="17">
        <v>6.1832000000000003</v>
      </c>
      <c r="R83" s="17">
        <v>8.3603000000000005</v>
      </c>
      <c r="S83" s="17">
        <v>4.1330999999999998</v>
      </c>
      <c r="T83" s="17">
        <v>3.2526999999999999</v>
      </c>
      <c r="U83" s="17">
        <v>8.6898</v>
      </c>
      <c r="V83" s="17">
        <v>4.0214999999999996</v>
      </c>
      <c r="W83" s="17">
        <v>1.5185999999999999</v>
      </c>
      <c r="X83" s="34">
        <v>5.6273999999999997</v>
      </c>
      <c r="Y83" s="17">
        <v>8.8167000000000009</v>
      </c>
      <c r="Z83" s="17">
        <v>8.7742000000000004</v>
      </c>
      <c r="AA83" s="17">
        <v>2.7690999999999999</v>
      </c>
      <c r="AB83" s="17">
        <v>0.63729999999999998</v>
      </c>
      <c r="AC83" s="17">
        <v>10.1258</v>
      </c>
      <c r="AD83" s="17">
        <v>3.3184999999999998</v>
      </c>
      <c r="AE83" s="17">
        <v>2.0884</v>
      </c>
      <c r="AF83" s="17">
        <v>1.8803000000000001</v>
      </c>
      <c r="AG83" s="17">
        <v>6.7350000000000003</v>
      </c>
      <c r="AH83" s="17">
        <v>6.1212999999999997</v>
      </c>
      <c r="AI83" s="17">
        <v>4.0115999999999996</v>
      </c>
      <c r="AJ83" s="17">
        <v>8.3933</v>
      </c>
      <c r="AK83" s="17">
        <v>3.1728999999999998</v>
      </c>
      <c r="AL83" s="17">
        <v>2.5817000000000001</v>
      </c>
      <c r="AM83" s="17">
        <v>10.775399999999999</v>
      </c>
      <c r="AN83" s="17">
        <v>4.3872999999999998</v>
      </c>
      <c r="AO83" s="17">
        <v>7.0632999999999999</v>
      </c>
      <c r="AP83" s="17">
        <v>9.7306000000000008</v>
      </c>
      <c r="AQ83" s="85">
        <v>2.9005999999999998</v>
      </c>
    </row>
    <row r="84" spans="1:43" x14ac:dyDescent="0.2">
      <c r="A84" s="34">
        <f t="shared" si="1"/>
        <v>5.1876461538461545</v>
      </c>
      <c r="B84" s="17">
        <v>68</v>
      </c>
      <c r="C84" s="17">
        <v>28</v>
      </c>
      <c r="D84" s="34">
        <v>5.2725999999999997</v>
      </c>
      <c r="E84" s="17">
        <v>5.5925000000000002</v>
      </c>
      <c r="F84" s="17">
        <v>5.2550999999999997</v>
      </c>
      <c r="G84" s="17">
        <v>13.0434</v>
      </c>
      <c r="H84" s="17">
        <v>4.0690999999999997</v>
      </c>
      <c r="I84" s="17">
        <v>7.4598000000000004</v>
      </c>
      <c r="J84" s="17">
        <v>2.8519000000000001</v>
      </c>
      <c r="K84" s="17">
        <v>6.1882999999999999</v>
      </c>
      <c r="L84" s="17">
        <v>6.9690000000000003</v>
      </c>
      <c r="M84" s="17">
        <v>5.1406999999999998</v>
      </c>
      <c r="N84" s="17">
        <v>3.8824000000000001</v>
      </c>
      <c r="O84" s="17">
        <v>3.5032000000000001</v>
      </c>
      <c r="P84" s="17">
        <v>1.8519000000000001</v>
      </c>
      <c r="Q84" s="17">
        <v>6.2583000000000002</v>
      </c>
      <c r="R84" s="17">
        <v>4.7172000000000001</v>
      </c>
      <c r="S84" s="17">
        <v>6.1703000000000001</v>
      </c>
      <c r="T84" s="17">
        <v>3.1206999999999998</v>
      </c>
      <c r="U84" s="17">
        <v>11.4497</v>
      </c>
      <c r="V84" s="17">
        <v>3.3081999999999998</v>
      </c>
      <c r="W84" s="17">
        <v>1.8668</v>
      </c>
      <c r="X84" s="34">
        <v>5.0484999999999998</v>
      </c>
      <c r="Y84" s="17">
        <v>6.8537999999999997</v>
      </c>
      <c r="Z84" s="17">
        <v>2.4792000000000001</v>
      </c>
      <c r="AA84" s="17">
        <v>9.1050000000000004</v>
      </c>
      <c r="AB84" s="17">
        <v>1.9751000000000001</v>
      </c>
      <c r="AC84" s="17">
        <v>5.8986000000000001</v>
      </c>
      <c r="AD84" s="17">
        <v>0.82010000000000005</v>
      </c>
      <c r="AE84" s="17">
        <v>9.8527000000000005</v>
      </c>
      <c r="AF84" s="17">
        <v>11.7232</v>
      </c>
      <c r="AG84" s="17">
        <v>2.4154</v>
      </c>
      <c r="AH84" s="17">
        <v>2.9912999999999998</v>
      </c>
      <c r="AI84" s="17">
        <v>6.7634999999999996</v>
      </c>
      <c r="AJ84" s="17">
        <v>5.0423999999999998</v>
      </c>
      <c r="AK84" s="17">
        <v>3.8597000000000001</v>
      </c>
      <c r="AL84" s="17">
        <v>2.4203000000000001</v>
      </c>
      <c r="AM84" s="17">
        <v>1.4661</v>
      </c>
      <c r="AN84" s="17">
        <v>1.972</v>
      </c>
      <c r="AO84" s="17">
        <v>4.3391000000000002</v>
      </c>
      <c r="AP84" s="17">
        <v>0.52559999999999996</v>
      </c>
      <c r="AQ84" s="85">
        <v>1.0994999999999999</v>
      </c>
    </row>
    <row r="85" spans="1:43" x14ac:dyDescent="0.2">
      <c r="A85" s="34">
        <f t="shared" si="1"/>
        <v>4.8160346153846154</v>
      </c>
      <c r="B85" s="17">
        <v>71</v>
      </c>
      <c r="C85" s="17">
        <v>29</v>
      </c>
      <c r="D85" s="34">
        <v>5.2541000000000002</v>
      </c>
      <c r="E85" s="17">
        <v>8.6423000000000005</v>
      </c>
      <c r="F85" s="17">
        <v>1.4237</v>
      </c>
      <c r="G85" s="17">
        <v>9.7568000000000001</v>
      </c>
      <c r="H85" s="17">
        <v>3.6038000000000001</v>
      </c>
      <c r="I85" s="17">
        <v>1.8955</v>
      </c>
      <c r="J85" s="17">
        <v>2.5297000000000001</v>
      </c>
      <c r="K85" s="17">
        <v>0.36780000000000002</v>
      </c>
      <c r="L85" s="17">
        <v>1.3228</v>
      </c>
      <c r="M85" s="17">
        <v>5.9236000000000004</v>
      </c>
      <c r="N85" s="17">
        <v>2.2263000000000002</v>
      </c>
      <c r="O85" s="17">
        <v>2.8241000000000001</v>
      </c>
      <c r="P85" s="17">
        <v>9.3695000000000004</v>
      </c>
      <c r="Q85" s="17">
        <v>3.3151999999999999</v>
      </c>
      <c r="R85" s="17">
        <v>3.7494000000000001</v>
      </c>
      <c r="S85" s="17">
        <v>3.1819999999999999</v>
      </c>
      <c r="T85" s="17">
        <v>4.3392999999999997</v>
      </c>
      <c r="U85" s="17">
        <v>0.97299999999999998</v>
      </c>
      <c r="V85" s="17">
        <v>8.5015999999999998</v>
      </c>
      <c r="W85" s="17">
        <v>11.3474</v>
      </c>
      <c r="X85" s="34">
        <v>7.8813000000000004</v>
      </c>
      <c r="Y85" s="17">
        <v>4.6332000000000004</v>
      </c>
      <c r="Z85" s="17">
        <v>3.6229</v>
      </c>
      <c r="AA85" s="17">
        <v>9.7688000000000006</v>
      </c>
      <c r="AB85" s="17">
        <v>5.3647</v>
      </c>
      <c r="AC85" s="17">
        <v>4.2996999999999996</v>
      </c>
      <c r="AD85" s="17">
        <v>4.3525</v>
      </c>
      <c r="AE85" s="17">
        <v>4.5096999999999996</v>
      </c>
      <c r="AF85" s="17">
        <v>4.0888</v>
      </c>
      <c r="AG85" s="17">
        <v>2.4422999999999999</v>
      </c>
      <c r="AH85" s="17">
        <v>2.2210999999999999</v>
      </c>
      <c r="AI85" s="17">
        <v>8.0539000000000005</v>
      </c>
      <c r="AJ85" s="17">
        <v>2.5749</v>
      </c>
      <c r="AK85" s="17">
        <v>6.6094999999999997</v>
      </c>
      <c r="AL85" s="17">
        <v>4.8095999999999997</v>
      </c>
      <c r="AM85" s="17">
        <v>2.3996</v>
      </c>
      <c r="AN85" s="17">
        <v>4.4950999999999999</v>
      </c>
      <c r="AO85" s="17">
        <v>5.5340999999999996</v>
      </c>
      <c r="AP85" s="17">
        <v>5.4474999999999998</v>
      </c>
      <c r="AQ85" s="85">
        <v>9.7271000000000001</v>
      </c>
    </row>
    <row r="86" spans="1:43" x14ac:dyDescent="0.2">
      <c r="A86" s="34">
        <f t="shared" si="1"/>
        <v>4.0311423076923072</v>
      </c>
      <c r="B86" s="17">
        <v>73</v>
      </c>
      <c r="C86" s="17">
        <v>30</v>
      </c>
      <c r="D86" s="34">
        <v>7.7915999999999999</v>
      </c>
      <c r="E86" s="17">
        <v>1.0649999999999999</v>
      </c>
      <c r="F86" s="17">
        <v>2.4129999999999998</v>
      </c>
      <c r="G86" s="17">
        <v>7.0942999999999996</v>
      </c>
      <c r="H86" s="17">
        <v>4.5677000000000003</v>
      </c>
      <c r="I86" s="17">
        <v>4.2770000000000001</v>
      </c>
      <c r="J86" s="17">
        <v>3.6347999999999998</v>
      </c>
      <c r="K86" s="17">
        <v>2.3157000000000001</v>
      </c>
      <c r="L86" s="17">
        <v>0.78669999999999995</v>
      </c>
      <c r="M86" s="17">
        <v>5.3535000000000004</v>
      </c>
      <c r="N86" s="17">
        <v>4.0366</v>
      </c>
      <c r="O86" s="17">
        <v>4.0080999999999998</v>
      </c>
      <c r="P86" s="17">
        <v>1.8874</v>
      </c>
      <c r="Q86" s="17">
        <v>4.6299000000000001</v>
      </c>
      <c r="R86" s="17">
        <v>3.9270999999999998</v>
      </c>
      <c r="S86" s="17">
        <v>1.3517999999999999</v>
      </c>
      <c r="T86" s="17">
        <v>5.2195999999999998</v>
      </c>
      <c r="U86" s="17">
        <v>4.4451000000000001</v>
      </c>
      <c r="V86" s="17">
        <v>5.4671000000000003</v>
      </c>
      <c r="W86" s="17">
        <v>3.4367000000000001</v>
      </c>
      <c r="X86" s="34">
        <v>8.2451000000000008</v>
      </c>
      <c r="Y86" s="17">
        <v>7.1837999999999997</v>
      </c>
      <c r="Z86" s="17">
        <v>4.4862000000000002</v>
      </c>
      <c r="AA86" s="17">
        <v>5.7412999999999998</v>
      </c>
      <c r="AB86" s="17">
        <v>2.6315</v>
      </c>
      <c r="AC86" s="17">
        <v>3.6173000000000002</v>
      </c>
      <c r="AD86" s="17">
        <v>2.9874000000000001</v>
      </c>
      <c r="AE86" s="17">
        <v>4.8331</v>
      </c>
      <c r="AF86" s="17">
        <v>1.5541</v>
      </c>
      <c r="AG86" s="17">
        <v>8.7055000000000007</v>
      </c>
      <c r="AH86" s="17">
        <v>2.1413000000000002</v>
      </c>
      <c r="AI86" s="17">
        <v>4.1576000000000004</v>
      </c>
      <c r="AJ86" s="17">
        <v>1.2196</v>
      </c>
      <c r="AK86" s="17">
        <v>6.2896000000000001</v>
      </c>
      <c r="AL86" s="17">
        <v>4.6341000000000001</v>
      </c>
      <c r="AM86" s="17">
        <v>5.4188999999999998</v>
      </c>
      <c r="AN86" s="17">
        <v>0.45669999999999999</v>
      </c>
      <c r="AO86" s="17">
        <v>6.0292000000000003</v>
      </c>
      <c r="AP86" s="17">
        <v>5.0095000000000001</v>
      </c>
      <c r="AQ86" s="85">
        <v>2.8416000000000001</v>
      </c>
    </row>
    <row r="87" spans="1:43" x14ac:dyDescent="0.2">
      <c r="A87" s="34">
        <f t="shared" si="1"/>
        <v>4.0562192307692309</v>
      </c>
      <c r="B87" s="17">
        <v>76</v>
      </c>
      <c r="C87" s="17">
        <v>31</v>
      </c>
      <c r="D87" s="34">
        <v>4.2304000000000004</v>
      </c>
      <c r="E87" s="17">
        <v>7.5282999999999998</v>
      </c>
      <c r="F87" s="17">
        <v>2.3913000000000002</v>
      </c>
      <c r="G87" s="17">
        <v>4.7598000000000003</v>
      </c>
      <c r="H87" s="17">
        <v>2.363</v>
      </c>
      <c r="I87" s="17">
        <v>5.9352</v>
      </c>
      <c r="J87" s="17">
        <v>0.79769999999999996</v>
      </c>
      <c r="K87" s="17">
        <v>5.5221</v>
      </c>
      <c r="L87" s="17">
        <v>12.0313</v>
      </c>
      <c r="M87" s="17">
        <v>3.1248999999999998</v>
      </c>
      <c r="N87" s="17">
        <v>1.2171000000000001</v>
      </c>
      <c r="O87" s="17">
        <v>6.2718999999999996</v>
      </c>
      <c r="P87" s="17">
        <v>3.6493000000000002</v>
      </c>
      <c r="Q87" s="17">
        <v>4.3122999999999996</v>
      </c>
      <c r="R87" s="17">
        <v>4.5496999999999996</v>
      </c>
      <c r="S87" s="17">
        <v>1.1882999999999999</v>
      </c>
      <c r="T87" s="17">
        <v>1.5276000000000001</v>
      </c>
      <c r="U87" s="17">
        <v>5.1143999999999998</v>
      </c>
      <c r="V87" s="17">
        <v>1.3338000000000001</v>
      </c>
      <c r="W87" s="17">
        <v>4.4348999999999998</v>
      </c>
      <c r="X87" s="34">
        <v>5.0648</v>
      </c>
      <c r="Y87" s="17">
        <v>7.3475000000000001</v>
      </c>
      <c r="Z87" s="17">
        <v>3.8934000000000002</v>
      </c>
      <c r="AA87" s="17">
        <v>2.0844</v>
      </c>
      <c r="AB87" s="17">
        <v>2.6985999999999999</v>
      </c>
      <c r="AC87" s="17">
        <v>6.0274999999999999</v>
      </c>
      <c r="AD87" s="17">
        <v>0.29260000000000003</v>
      </c>
      <c r="AE87" s="17">
        <v>4.1116000000000001</v>
      </c>
      <c r="AF87" s="17">
        <v>4.2108999999999996</v>
      </c>
      <c r="AG87" s="17">
        <v>5.6521999999999997</v>
      </c>
      <c r="AH87" s="17">
        <v>1.7754000000000001</v>
      </c>
      <c r="AI87" s="17">
        <v>3.5569000000000002</v>
      </c>
      <c r="AJ87" s="17">
        <v>3.0383</v>
      </c>
      <c r="AK87" s="17">
        <v>4.4558999999999997</v>
      </c>
      <c r="AL87" s="17">
        <v>6.0922000000000001</v>
      </c>
      <c r="AM87" s="17">
        <v>0.69520000000000004</v>
      </c>
      <c r="AN87" s="17">
        <v>3.7826</v>
      </c>
      <c r="AO87" s="17">
        <v>4.9772999999999996</v>
      </c>
      <c r="AP87" s="17">
        <v>7.6315</v>
      </c>
      <c r="AQ87" s="85">
        <v>2.6112000000000002</v>
      </c>
    </row>
    <row r="88" spans="1:43" x14ac:dyDescent="0.2">
      <c r="A88" s="34">
        <f t="shared" si="1"/>
        <v>3.9063807692307693</v>
      </c>
      <c r="B88" s="17">
        <v>77</v>
      </c>
      <c r="C88" s="17">
        <v>32</v>
      </c>
      <c r="D88" s="34">
        <v>1.3642000000000001</v>
      </c>
      <c r="E88" s="17">
        <v>5.1134000000000004</v>
      </c>
      <c r="F88" s="17">
        <v>4.3681999999999999</v>
      </c>
      <c r="G88" s="17">
        <v>8.2921999999999993</v>
      </c>
      <c r="H88" s="17">
        <v>3.4058000000000002</v>
      </c>
      <c r="I88" s="17">
        <v>5.9707999999999997</v>
      </c>
      <c r="J88" s="17">
        <v>3.0323000000000002</v>
      </c>
      <c r="K88" s="17">
        <v>2.9935999999999998</v>
      </c>
      <c r="L88" s="17">
        <v>2.2362000000000002</v>
      </c>
      <c r="M88" s="17">
        <v>2.5840000000000001</v>
      </c>
      <c r="N88" s="17">
        <v>3.0375999999999999</v>
      </c>
      <c r="O88" s="17">
        <v>1.2302</v>
      </c>
      <c r="P88" s="17">
        <v>3.6522000000000001</v>
      </c>
      <c r="Q88" s="17">
        <v>6.6585999999999999</v>
      </c>
      <c r="R88" s="17">
        <v>4.3620000000000001</v>
      </c>
      <c r="S88" s="17">
        <v>5.7045000000000003</v>
      </c>
      <c r="T88" s="17">
        <v>5.0216000000000003</v>
      </c>
      <c r="U88" s="17">
        <v>4.99</v>
      </c>
      <c r="V88" s="17">
        <v>2.0760999999999998</v>
      </c>
      <c r="W88" s="17">
        <v>2.3359000000000001</v>
      </c>
      <c r="X88" s="34">
        <v>0.70930000000000004</v>
      </c>
      <c r="Y88" s="17">
        <v>7.5110999999999999</v>
      </c>
      <c r="Z88" s="17">
        <v>2.2709000000000001</v>
      </c>
      <c r="AA88" s="17">
        <v>5.0541</v>
      </c>
      <c r="AB88" s="17">
        <v>2.2976999999999999</v>
      </c>
      <c r="AC88" s="17">
        <v>6.0705</v>
      </c>
      <c r="AD88" s="17">
        <v>0.58709999999999996</v>
      </c>
      <c r="AE88" s="17">
        <v>0.41060000000000002</v>
      </c>
      <c r="AF88" s="17">
        <v>4.0827999999999998</v>
      </c>
      <c r="AG88" s="17">
        <v>1.4172</v>
      </c>
      <c r="AH88" s="17">
        <v>3.8788999999999998</v>
      </c>
      <c r="AI88" s="17">
        <v>2.0754000000000001</v>
      </c>
      <c r="AJ88" s="17">
        <v>3.0785</v>
      </c>
      <c r="AK88" s="17">
        <v>4.4965999999999999</v>
      </c>
      <c r="AL88" s="17">
        <v>0.82820000000000005</v>
      </c>
      <c r="AM88" s="17">
        <v>3.3296000000000001</v>
      </c>
      <c r="AN88" s="17">
        <v>2.2433000000000001</v>
      </c>
      <c r="AO88" s="17">
        <v>2.4645999999999999</v>
      </c>
      <c r="AP88" s="17">
        <v>2.0962000000000001</v>
      </c>
      <c r="AQ88" s="85">
        <v>2.2888999999999999</v>
      </c>
    </row>
    <row r="89" spans="1:43" x14ac:dyDescent="0.2">
      <c r="A89" s="34">
        <f t="shared" si="1"/>
        <v>4.7649576923076911</v>
      </c>
      <c r="B89" s="17">
        <v>79</v>
      </c>
      <c r="C89" s="17">
        <v>33</v>
      </c>
      <c r="D89" s="34">
        <v>5.9793000000000003</v>
      </c>
      <c r="E89" s="17">
        <v>5.8554000000000004</v>
      </c>
      <c r="F89" s="17">
        <v>5.2874999999999996</v>
      </c>
      <c r="G89" s="17">
        <v>8.0502000000000002</v>
      </c>
      <c r="H89" s="17">
        <v>7.7504999999999997</v>
      </c>
      <c r="I89" s="17">
        <v>3.0221</v>
      </c>
      <c r="J89" s="17">
        <v>5.8841999999999999</v>
      </c>
      <c r="K89" s="17">
        <v>5.5167999999999999</v>
      </c>
      <c r="L89" s="17">
        <v>4.0358000000000001</v>
      </c>
      <c r="M89" s="17">
        <v>8.5931999999999995</v>
      </c>
      <c r="N89" s="17">
        <v>4.1974999999999998</v>
      </c>
      <c r="O89" s="17">
        <v>5.9711999999999996</v>
      </c>
      <c r="P89" s="17">
        <v>4.4467999999999996</v>
      </c>
      <c r="Q89" s="17">
        <v>1.7835000000000001</v>
      </c>
      <c r="R89" s="17">
        <v>2.1324999999999998</v>
      </c>
      <c r="S89" s="17">
        <v>5.0812999999999997</v>
      </c>
      <c r="T89" s="17">
        <v>2.7957000000000001</v>
      </c>
      <c r="U89" s="17">
        <v>2.0141</v>
      </c>
      <c r="V89" s="17">
        <v>6.0854999999999997</v>
      </c>
      <c r="W89" s="17">
        <v>2.6667999999999998</v>
      </c>
      <c r="X89" s="34">
        <v>2.5366</v>
      </c>
      <c r="Y89" s="17">
        <v>6.2798999999999996</v>
      </c>
      <c r="Z89" s="17">
        <v>6.8840000000000003</v>
      </c>
      <c r="AA89" s="17">
        <v>4.6062000000000003</v>
      </c>
      <c r="AB89" s="17">
        <v>4.0460000000000003</v>
      </c>
      <c r="AC89" s="17">
        <v>5.0956999999999999</v>
      </c>
      <c r="AD89" s="17">
        <v>3.2698999999999998</v>
      </c>
      <c r="AE89" s="17">
        <v>7.4036</v>
      </c>
      <c r="AF89" s="17">
        <v>4.3899999999999997</v>
      </c>
      <c r="AG89" s="17">
        <v>5.9185999999999996</v>
      </c>
      <c r="AH89" s="17">
        <v>1.3535999999999999</v>
      </c>
      <c r="AI89" s="17">
        <v>6.5290999999999997</v>
      </c>
      <c r="AJ89" s="17">
        <v>4.2294</v>
      </c>
      <c r="AK89" s="17">
        <v>2.1970999999999998</v>
      </c>
      <c r="AL89" s="17">
        <v>4.0126999999999997</v>
      </c>
      <c r="AM89" s="17">
        <v>9.4908000000000001</v>
      </c>
      <c r="AN89" s="17">
        <v>5.5465</v>
      </c>
      <c r="AO89" s="17">
        <v>1.9224000000000001</v>
      </c>
      <c r="AP89" s="17">
        <v>0.52549999999999997</v>
      </c>
      <c r="AQ89" s="85">
        <v>1.4890000000000001</v>
      </c>
    </row>
    <row r="90" spans="1:43" x14ac:dyDescent="0.2">
      <c r="A90" s="34">
        <f t="shared" si="1"/>
        <v>7.6591230769230769</v>
      </c>
      <c r="B90" s="17">
        <v>81</v>
      </c>
      <c r="C90" s="17">
        <v>34</v>
      </c>
      <c r="D90" s="34">
        <v>5.1619000000000002</v>
      </c>
      <c r="E90" s="17">
        <v>2.9089999999999998</v>
      </c>
      <c r="F90" s="17">
        <v>6.7587000000000002</v>
      </c>
      <c r="G90" s="17">
        <v>10.6928</v>
      </c>
      <c r="H90" s="17">
        <v>4.8307000000000002</v>
      </c>
      <c r="I90" s="17">
        <v>20.6389</v>
      </c>
      <c r="J90" s="17">
        <v>3.3975</v>
      </c>
      <c r="K90" s="17">
        <v>5.6970999999999998</v>
      </c>
      <c r="L90" s="17">
        <v>0.2205</v>
      </c>
      <c r="M90" s="17">
        <v>6.4939999999999998</v>
      </c>
      <c r="N90" s="17">
        <v>8.4225999999999992</v>
      </c>
      <c r="O90" s="17">
        <v>8.7181999999999995</v>
      </c>
      <c r="P90" s="17">
        <v>4.4244000000000003</v>
      </c>
      <c r="Q90" s="17">
        <v>12.4209</v>
      </c>
      <c r="R90" s="17">
        <v>2.6358999999999999</v>
      </c>
      <c r="S90" s="17">
        <v>12.028</v>
      </c>
      <c r="T90" s="17">
        <v>2.5177999999999998</v>
      </c>
      <c r="U90" s="17">
        <v>3.4155000000000002</v>
      </c>
      <c r="V90" s="17">
        <v>4.4394999999999998</v>
      </c>
      <c r="W90" s="17">
        <v>6.3814000000000002</v>
      </c>
      <c r="X90" s="34">
        <v>9.6997</v>
      </c>
      <c r="Y90" s="17">
        <v>12.4582</v>
      </c>
      <c r="Z90" s="17">
        <v>4.9375</v>
      </c>
      <c r="AA90" s="17">
        <v>6.1257999999999999</v>
      </c>
      <c r="AB90" s="17">
        <v>8.3973999999999993</v>
      </c>
      <c r="AC90" s="17">
        <v>23.096299999999999</v>
      </c>
      <c r="AD90" s="17">
        <v>7.3788999999999998</v>
      </c>
      <c r="AE90" s="17">
        <v>7.0210999999999997</v>
      </c>
      <c r="AF90" s="17">
        <v>2.5956999999999999</v>
      </c>
      <c r="AG90" s="17">
        <v>1.3380000000000001</v>
      </c>
      <c r="AH90" s="17">
        <v>4.8197999999999999</v>
      </c>
      <c r="AI90" s="17">
        <v>2.0143</v>
      </c>
      <c r="AJ90" s="17">
        <v>3.7092000000000001</v>
      </c>
      <c r="AK90" s="17">
        <v>7.0118</v>
      </c>
      <c r="AL90" s="17">
        <v>3.5954000000000002</v>
      </c>
      <c r="AM90" s="17">
        <v>19.643899999999999</v>
      </c>
      <c r="AN90" s="17">
        <v>3.3847999999999998</v>
      </c>
      <c r="AO90" s="17">
        <v>10.121700000000001</v>
      </c>
      <c r="AP90" s="17">
        <v>4.4832999999999998</v>
      </c>
      <c r="AQ90" s="85">
        <v>2.4826000000000001</v>
      </c>
    </row>
    <row r="91" spans="1:43" x14ac:dyDescent="0.2">
      <c r="A91" s="34">
        <f t="shared" si="1"/>
        <v>5.2783961538461535</v>
      </c>
      <c r="B91" s="17">
        <v>83</v>
      </c>
      <c r="C91" s="17">
        <v>35</v>
      </c>
      <c r="D91" s="34">
        <v>5.1433999999999997</v>
      </c>
      <c r="E91" s="17">
        <v>5.0595999999999997</v>
      </c>
      <c r="F91" s="17">
        <v>5.2347999999999999</v>
      </c>
      <c r="G91" s="17">
        <v>13.852499999999999</v>
      </c>
      <c r="H91" s="17">
        <v>3.7029999999999998</v>
      </c>
      <c r="I91" s="17">
        <v>6.0777000000000001</v>
      </c>
      <c r="J91" s="17">
        <v>3.4906000000000001</v>
      </c>
      <c r="K91" s="17">
        <v>2.9114</v>
      </c>
      <c r="L91" s="17">
        <v>3.5238</v>
      </c>
      <c r="M91" s="17">
        <v>4.2384000000000004</v>
      </c>
      <c r="N91" s="17">
        <v>4.3235000000000001</v>
      </c>
      <c r="O91" s="17">
        <v>4.8411</v>
      </c>
      <c r="P91" s="17">
        <v>3.6610999999999998</v>
      </c>
      <c r="Q91" s="17">
        <v>6.5076999999999998</v>
      </c>
      <c r="R91" s="17">
        <v>4.3316999999999997</v>
      </c>
      <c r="S91" s="17">
        <v>6.1501999999999999</v>
      </c>
      <c r="T91" s="17">
        <v>4.8030999999999997</v>
      </c>
      <c r="U91" s="17">
        <v>4.9463999999999997</v>
      </c>
      <c r="V91" s="17">
        <v>8.3977000000000004</v>
      </c>
      <c r="W91" s="17">
        <v>1.5893999999999999</v>
      </c>
      <c r="X91" s="34">
        <v>5.0865</v>
      </c>
      <c r="Y91" s="17">
        <v>11.232100000000001</v>
      </c>
      <c r="Z91" s="17">
        <v>4.1978999999999997</v>
      </c>
      <c r="AA91" s="17">
        <v>6.8944999999999999</v>
      </c>
      <c r="AB91" s="17">
        <v>4.0469999999999997</v>
      </c>
      <c r="AC91" s="17">
        <v>6.1993999999999998</v>
      </c>
      <c r="AD91" s="17">
        <v>1.9372</v>
      </c>
      <c r="AE91" s="17">
        <v>5.1927000000000003</v>
      </c>
      <c r="AF91" s="17">
        <v>15.466100000000001</v>
      </c>
      <c r="AG91" s="17">
        <v>5.8025000000000002</v>
      </c>
      <c r="AH91" s="17">
        <v>2.3769999999999998</v>
      </c>
      <c r="AI91" s="17">
        <v>3.6415000000000002</v>
      </c>
      <c r="AJ91" s="17">
        <v>3.1991999999999998</v>
      </c>
      <c r="AK91" s="17">
        <v>2.0962000000000001</v>
      </c>
      <c r="AL91" s="17">
        <v>7.8070000000000004</v>
      </c>
      <c r="AM91" s="17">
        <v>6.7240000000000002</v>
      </c>
      <c r="AN91" s="17">
        <v>4.5039999999999996</v>
      </c>
      <c r="AO91" s="17">
        <v>5.7004999999999999</v>
      </c>
      <c r="AP91" s="17">
        <v>6.7504999999999997</v>
      </c>
      <c r="AQ91" s="85">
        <v>11.3263</v>
      </c>
    </row>
    <row r="92" spans="1:43" x14ac:dyDescent="0.2">
      <c r="A92" s="34">
        <f t="shared" si="1"/>
        <v>5.7855423076923085</v>
      </c>
      <c r="B92" s="17">
        <v>90</v>
      </c>
      <c r="C92" s="17">
        <v>36</v>
      </c>
      <c r="D92" s="34">
        <v>5.125</v>
      </c>
      <c r="E92" s="17">
        <v>3.2357999999999998</v>
      </c>
      <c r="F92" s="17">
        <v>12.8718</v>
      </c>
      <c r="G92" s="17">
        <v>5.2484000000000002</v>
      </c>
      <c r="H92" s="17">
        <v>7.6769999999999996</v>
      </c>
      <c r="I92" s="17">
        <v>16.595700000000001</v>
      </c>
      <c r="J92" s="17">
        <v>6.806</v>
      </c>
      <c r="K92" s="17">
        <v>7.3280000000000003</v>
      </c>
      <c r="L92" s="17">
        <v>6.625</v>
      </c>
      <c r="M92" s="17">
        <v>2.8174999999999999</v>
      </c>
      <c r="N92" s="17">
        <v>1.7263999999999999</v>
      </c>
      <c r="O92" s="17">
        <v>3.1453000000000002</v>
      </c>
      <c r="P92" s="17">
        <v>1.4462999999999999</v>
      </c>
      <c r="Q92" s="17">
        <v>6.4236000000000004</v>
      </c>
      <c r="R92" s="17">
        <v>6.4012000000000002</v>
      </c>
      <c r="S92" s="17">
        <v>2.3437999999999999</v>
      </c>
      <c r="T92" s="17">
        <v>1.8774999999999999</v>
      </c>
      <c r="U92" s="17">
        <v>3.4645999999999999</v>
      </c>
      <c r="V92" s="17">
        <v>0.1087</v>
      </c>
      <c r="W92" s="17">
        <v>9.1578999999999997</v>
      </c>
      <c r="X92" s="34">
        <v>6.4375999999999998</v>
      </c>
      <c r="Y92" s="17">
        <v>12.0215</v>
      </c>
      <c r="Z92" s="17">
        <v>3.5066000000000002</v>
      </c>
      <c r="AA92" s="17">
        <v>8.7401999999999997</v>
      </c>
      <c r="AB92" s="17">
        <v>6.3636999999999997</v>
      </c>
      <c r="AC92" s="17">
        <v>4.1052</v>
      </c>
      <c r="AD92" s="17">
        <v>3.9487999999999999</v>
      </c>
      <c r="AE92" s="17">
        <v>7.6548999999999996</v>
      </c>
      <c r="AF92" s="17">
        <v>4.6616</v>
      </c>
      <c r="AG92" s="17">
        <v>10.7552</v>
      </c>
      <c r="AH92" s="17">
        <v>4.0854999999999997</v>
      </c>
      <c r="AI92" s="17">
        <v>3.0051000000000001</v>
      </c>
      <c r="AJ92" s="17">
        <v>3.0232000000000001</v>
      </c>
      <c r="AK92" s="17">
        <v>11.2478</v>
      </c>
      <c r="AL92" s="17">
        <v>9.8099000000000007</v>
      </c>
      <c r="AM92" s="17">
        <v>3.7740999999999998</v>
      </c>
      <c r="AN92" s="17">
        <v>5.1909999999999998</v>
      </c>
      <c r="AO92" s="17">
        <v>4.2637999999999998</v>
      </c>
      <c r="AP92" s="17">
        <v>5.5058999999999996</v>
      </c>
      <c r="AQ92" s="85">
        <v>4.3268000000000004</v>
      </c>
    </row>
    <row r="93" spans="1:43" x14ac:dyDescent="0.2">
      <c r="A93" s="34">
        <f t="shared" si="1"/>
        <v>5.1171653846153848</v>
      </c>
      <c r="B93" s="17">
        <v>92</v>
      </c>
      <c r="C93" s="17">
        <v>37</v>
      </c>
      <c r="D93" s="34">
        <v>5.1064999999999996</v>
      </c>
      <c r="E93" s="17">
        <v>7.7481</v>
      </c>
      <c r="F93" s="17">
        <v>4.8150000000000004</v>
      </c>
      <c r="G93" s="17">
        <v>4.3129999999999997</v>
      </c>
      <c r="H93" s="17">
        <v>3.4213</v>
      </c>
      <c r="I93" s="17">
        <v>0.87619999999999998</v>
      </c>
      <c r="J93" s="17">
        <v>3.5053000000000001</v>
      </c>
      <c r="K93" s="17">
        <v>6.0345000000000004</v>
      </c>
      <c r="L93" s="17">
        <v>4.1497000000000002</v>
      </c>
      <c r="M93" s="17">
        <v>5.1146000000000003</v>
      </c>
      <c r="N93" s="17">
        <v>4.4496000000000002</v>
      </c>
      <c r="O93" s="17">
        <v>8.1737000000000002</v>
      </c>
      <c r="P93" s="17">
        <v>2.3832</v>
      </c>
      <c r="Q93" s="17">
        <v>12.8352</v>
      </c>
      <c r="R93" s="17">
        <v>7.1303999999999998</v>
      </c>
      <c r="S93" s="17">
        <v>7.2934000000000001</v>
      </c>
      <c r="T93" s="17">
        <v>4.2050999999999998</v>
      </c>
      <c r="U93" s="17">
        <v>3.0825999999999998</v>
      </c>
      <c r="V93" s="17">
        <v>4.3822000000000001</v>
      </c>
      <c r="W93" s="17">
        <v>5.8122999999999996</v>
      </c>
      <c r="X93" s="34">
        <v>5.0972999999999997</v>
      </c>
      <c r="Y93" s="17">
        <v>6.8563000000000001</v>
      </c>
      <c r="Z93" s="17">
        <v>5.4069000000000003</v>
      </c>
      <c r="AA93" s="17">
        <v>6.3148999999999997</v>
      </c>
      <c r="AB93" s="17">
        <v>4.4433999999999996</v>
      </c>
      <c r="AC93" s="17">
        <v>2.8372999999999999</v>
      </c>
      <c r="AD93" s="17">
        <v>2.3647999999999998</v>
      </c>
      <c r="AE93" s="17">
        <v>2.2805</v>
      </c>
      <c r="AF93" s="17">
        <v>4.7483000000000004</v>
      </c>
      <c r="AG93" s="17">
        <v>7.2251000000000003</v>
      </c>
      <c r="AH93" s="17">
        <v>2.2014999999999998</v>
      </c>
      <c r="AI93" s="17">
        <v>2.7829000000000002</v>
      </c>
      <c r="AJ93" s="17">
        <v>1.3855999999999999</v>
      </c>
      <c r="AK93" s="17">
        <v>4.7</v>
      </c>
      <c r="AL93" s="17">
        <v>3.6069</v>
      </c>
      <c r="AM93" s="17">
        <v>11.622199999999999</v>
      </c>
      <c r="AN93" s="17">
        <v>2.7235999999999998</v>
      </c>
      <c r="AO93" s="17">
        <v>1.9358</v>
      </c>
      <c r="AP93" s="17">
        <v>2.3800000000000002E-2</v>
      </c>
      <c r="AQ93" s="85">
        <v>10.465199999999999</v>
      </c>
    </row>
    <row r="94" spans="1:43" x14ac:dyDescent="0.2">
      <c r="A94" s="34">
        <f t="shared" si="1"/>
        <v>5.4947961538461536</v>
      </c>
      <c r="B94" s="17">
        <v>97</v>
      </c>
      <c r="C94" s="17">
        <v>38</v>
      </c>
      <c r="D94" s="34">
        <v>3.7568999999999999</v>
      </c>
      <c r="E94" s="17">
        <v>6.1124000000000001</v>
      </c>
      <c r="F94" s="17">
        <v>2.1214</v>
      </c>
      <c r="G94" s="17">
        <v>12.963800000000001</v>
      </c>
      <c r="H94" s="17">
        <v>0.21690000000000001</v>
      </c>
      <c r="I94" s="17">
        <v>0.81869999999999998</v>
      </c>
      <c r="J94" s="17">
        <v>4.0721999999999996</v>
      </c>
      <c r="K94" s="17">
        <v>1.5683</v>
      </c>
      <c r="L94" s="17">
        <v>4.4335000000000004</v>
      </c>
      <c r="M94" s="17">
        <v>15.7211</v>
      </c>
      <c r="N94" s="17">
        <v>5.0426000000000002</v>
      </c>
      <c r="O94" s="17">
        <v>3.9540999999999999</v>
      </c>
      <c r="P94" s="17">
        <v>4.4067999999999996</v>
      </c>
      <c r="Q94" s="17">
        <v>10.1236</v>
      </c>
      <c r="R94" s="17">
        <v>5.0236999999999998</v>
      </c>
      <c r="S94" s="17">
        <v>11.5326</v>
      </c>
      <c r="T94" s="17">
        <v>1.3969</v>
      </c>
      <c r="U94" s="17">
        <v>6.1058000000000003</v>
      </c>
      <c r="V94" s="17">
        <v>2.4630000000000001</v>
      </c>
      <c r="W94" s="17">
        <v>4.9964000000000004</v>
      </c>
      <c r="X94" s="34">
        <v>8.9132999999999996</v>
      </c>
      <c r="Y94" s="17">
        <v>11.423999999999999</v>
      </c>
      <c r="Z94" s="17">
        <v>1.9498</v>
      </c>
      <c r="AA94" s="17">
        <v>8.4155999999999995</v>
      </c>
      <c r="AB94" s="17">
        <v>0.52780000000000005</v>
      </c>
      <c r="AC94" s="17">
        <v>4.6676000000000002</v>
      </c>
      <c r="AD94" s="17">
        <v>3.8927999999999998</v>
      </c>
      <c r="AE94" s="17">
        <v>7.4226999999999999</v>
      </c>
      <c r="AF94" s="17">
        <v>3.1898</v>
      </c>
      <c r="AG94" s="17">
        <v>16.8537</v>
      </c>
      <c r="AH94" s="17">
        <v>2.4523999999999999</v>
      </c>
      <c r="AI94" s="17">
        <v>1.4567000000000001</v>
      </c>
      <c r="AJ94" s="17">
        <v>0.13650000000000001</v>
      </c>
      <c r="AK94" s="17">
        <v>4.8837999999999999</v>
      </c>
      <c r="AL94" s="17">
        <v>4.2468000000000004</v>
      </c>
      <c r="AM94" s="17">
        <v>7.3197000000000001</v>
      </c>
      <c r="AN94" s="17">
        <v>0.66910000000000003</v>
      </c>
      <c r="AO94" s="17">
        <v>7.4428999999999998</v>
      </c>
      <c r="AP94" s="17">
        <v>6.3044000000000002</v>
      </c>
      <c r="AQ94" s="85">
        <v>4.4196</v>
      </c>
    </row>
    <row r="95" spans="1:43" x14ac:dyDescent="0.2">
      <c r="A95" s="86">
        <f t="shared" si="1"/>
        <v>4.2005153846153842</v>
      </c>
      <c r="B95" s="87">
        <v>98</v>
      </c>
      <c r="C95" s="87">
        <v>39</v>
      </c>
      <c r="D95" s="86">
        <v>8.1850000000000005</v>
      </c>
      <c r="E95" s="87">
        <v>3.3980999999999999</v>
      </c>
      <c r="F95" s="87">
        <v>5.6025999999999998</v>
      </c>
      <c r="G95" s="87">
        <v>4.9955999999999996</v>
      </c>
      <c r="H95" s="87">
        <v>4.9005000000000001</v>
      </c>
      <c r="I95" s="87">
        <v>1.2393000000000001</v>
      </c>
      <c r="J95" s="87">
        <v>2.73</v>
      </c>
      <c r="K95" s="87">
        <v>2.6000999999999999</v>
      </c>
      <c r="L95" s="87">
        <v>1.6820999999999999</v>
      </c>
      <c r="M95" s="87">
        <v>6.1017999999999999</v>
      </c>
      <c r="N95" s="87">
        <v>6.8292000000000002</v>
      </c>
      <c r="O95" s="87">
        <v>7.5423</v>
      </c>
      <c r="P95" s="87">
        <v>3.984</v>
      </c>
      <c r="Q95" s="87">
        <v>7.0829000000000004</v>
      </c>
      <c r="R95" s="87">
        <v>0.76490000000000002</v>
      </c>
      <c r="S95" s="87">
        <v>3.8416000000000001</v>
      </c>
      <c r="T95" s="87">
        <v>8.1310000000000002</v>
      </c>
      <c r="U95" s="87">
        <v>5.8948</v>
      </c>
      <c r="V95" s="87">
        <v>4.8197999999999999</v>
      </c>
      <c r="W95" s="87">
        <v>5.0499000000000001</v>
      </c>
      <c r="X95" s="86">
        <v>1.2417</v>
      </c>
      <c r="Y95" s="87">
        <v>2.2225000000000001</v>
      </c>
      <c r="Z95" s="87">
        <v>0.38400000000000001</v>
      </c>
      <c r="AA95" s="87">
        <v>3.9087999999999998</v>
      </c>
      <c r="AB95" s="87">
        <v>4.6201999999999996</v>
      </c>
      <c r="AC95" s="87">
        <v>6.3712</v>
      </c>
      <c r="AD95" s="87">
        <v>3.2745000000000002</v>
      </c>
      <c r="AE95" s="87">
        <v>0.78120000000000001</v>
      </c>
      <c r="AF95" s="87">
        <v>4.4656000000000002</v>
      </c>
      <c r="AG95" s="87">
        <v>3.0425</v>
      </c>
      <c r="AH95" s="87">
        <v>5.1231999999999998</v>
      </c>
      <c r="AI95" s="87">
        <v>2.3512</v>
      </c>
      <c r="AJ95" s="87">
        <v>3.3601999999999999</v>
      </c>
      <c r="AK95" s="87">
        <v>4.3662000000000001</v>
      </c>
      <c r="AL95" s="87">
        <v>7.9714</v>
      </c>
      <c r="AM95" s="87">
        <v>6.9923000000000002</v>
      </c>
      <c r="AN95" s="87">
        <v>3.0137999999999998</v>
      </c>
      <c r="AO95" s="87">
        <v>4.0651999999999999</v>
      </c>
      <c r="AP95" s="87">
        <v>2.9308000000000001</v>
      </c>
      <c r="AQ95" s="88">
        <v>1.5509999999999999</v>
      </c>
    </row>
  </sheetData>
  <mergeCells count="6">
    <mergeCell ref="D1:W1"/>
    <mergeCell ref="X1:AQ1"/>
    <mergeCell ref="D52:W52"/>
    <mergeCell ref="X52:AQ52"/>
    <mergeCell ref="A1:C1"/>
    <mergeCell ref="A52:C52"/>
  </mergeCells>
  <phoneticPr fontId="1" type="noConversion"/>
  <conditionalFormatting sqref="A5:A50">
    <cfRule type="aboveAverage" dxfId="16" priority="3"/>
  </conditionalFormatting>
  <conditionalFormatting sqref="A56:A95">
    <cfRule type="aboveAverage" dxfId="15" priority="2"/>
  </conditionalFormatting>
  <conditionalFormatting sqref="B96:B98">
    <cfRule type="aboveAverage" dxfId="14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A811-77F4-40DF-AD63-25FDFA7E6949}">
  <dimension ref="A1:AQ95"/>
  <sheetViews>
    <sheetView zoomScale="85" zoomScaleNormal="85" workbookViewId="0">
      <selection activeCell="X6" sqref="X6:AQ50"/>
    </sheetView>
  </sheetViews>
  <sheetFormatPr defaultColWidth="8.625" defaultRowHeight="11.25" x14ac:dyDescent="0.2"/>
  <cols>
    <col min="1" max="3" width="8.625" style="17"/>
    <col min="4" max="4" width="8.625" style="17" customWidth="1"/>
    <col min="5" max="23" width="8.625" style="17"/>
    <col min="24" max="24" width="8.625" style="34"/>
    <col min="25" max="16384" width="8.625" style="17"/>
  </cols>
  <sheetData>
    <row r="1" spans="1:43" ht="15.75" x14ac:dyDescent="0.2">
      <c r="A1" s="342" t="s">
        <v>134</v>
      </c>
      <c r="B1" s="343"/>
      <c r="C1" s="343"/>
      <c r="D1" s="344" t="s">
        <v>136</v>
      </c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5"/>
      <c r="X1" s="344" t="s">
        <v>139</v>
      </c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5"/>
    </row>
    <row r="2" spans="1:43" s="9" customFormat="1" x14ac:dyDescent="0.2">
      <c r="A2" s="89" t="s">
        <v>97</v>
      </c>
      <c r="C2" s="9" t="s">
        <v>46</v>
      </c>
      <c r="D2" s="10">
        <v>2</v>
      </c>
      <c r="E2" s="10">
        <v>11</v>
      </c>
      <c r="F2" s="10">
        <v>12</v>
      </c>
      <c r="G2" s="10">
        <v>18</v>
      </c>
      <c r="H2" s="10">
        <v>15</v>
      </c>
      <c r="I2" s="10">
        <v>3</v>
      </c>
      <c r="J2" s="10">
        <v>20</v>
      </c>
      <c r="K2" s="10">
        <v>19</v>
      </c>
      <c r="L2" s="10">
        <v>7</v>
      </c>
      <c r="M2" s="10">
        <v>8</v>
      </c>
      <c r="N2" s="10">
        <v>1</v>
      </c>
      <c r="O2" s="10">
        <v>16</v>
      </c>
      <c r="P2" s="10">
        <v>9</v>
      </c>
      <c r="Q2" s="10">
        <v>4</v>
      </c>
      <c r="R2" s="10">
        <v>5</v>
      </c>
      <c r="S2" s="10">
        <v>13</v>
      </c>
      <c r="T2" s="10">
        <v>17</v>
      </c>
      <c r="U2" s="10">
        <v>14</v>
      </c>
      <c r="V2" s="10">
        <v>10</v>
      </c>
      <c r="W2" s="10">
        <v>6</v>
      </c>
      <c r="X2" s="33">
        <v>2</v>
      </c>
      <c r="Y2" s="10">
        <v>11</v>
      </c>
      <c r="Z2" s="10">
        <v>12</v>
      </c>
      <c r="AA2" s="10">
        <v>18</v>
      </c>
      <c r="AB2" s="10">
        <v>15</v>
      </c>
      <c r="AC2" s="10">
        <v>3</v>
      </c>
      <c r="AD2" s="10">
        <v>20</v>
      </c>
      <c r="AE2" s="10">
        <v>19</v>
      </c>
      <c r="AF2" s="10">
        <v>7</v>
      </c>
      <c r="AG2" s="10">
        <v>8</v>
      </c>
      <c r="AH2" s="10">
        <v>1</v>
      </c>
      <c r="AI2" s="10">
        <v>16</v>
      </c>
      <c r="AJ2" s="10">
        <v>9</v>
      </c>
      <c r="AK2" s="10">
        <v>4</v>
      </c>
      <c r="AL2" s="10">
        <v>5</v>
      </c>
      <c r="AM2" s="10">
        <v>13</v>
      </c>
      <c r="AN2" s="10">
        <v>17</v>
      </c>
      <c r="AO2" s="10">
        <v>14</v>
      </c>
      <c r="AP2" s="10">
        <v>10</v>
      </c>
      <c r="AQ2" s="90">
        <v>6</v>
      </c>
    </row>
    <row r="3" spans="1:43" s="9" customFormat="1" x14ac:dyDescent="0.2">
      <c r="A3" s="89"/>
      <c r="C3" s="9" t="s">
        <v>47</v>
      </c>
      <c r="D3" s="10">
        <v>1</v>
      </c>
      <c r="E3" s="11">
        <v>2</v>
      </c>
      <c r="F3" s="11">
        <v>3</v>
      </c>
      <c r="G3" s="12">
        <v>4</v>
      </c>
      <c r="H3" s="13">
        <v>5</v>
      </c>
      <c r="I3" s="14">
        <v>6</v>
      </c>
      <c r="J3" s="10">
        <v>7</v>
      </c>
      <c r="K3" s="12">
        <v>8</v>
      </c>
      <c r="L3" s="15">
        <v>9</v>
      </c>
      <c r="M3" s="15">
        <v>10</v>
      </c>
      <c r="N3" s="16">
        <v>11</v>
      </c>
      <c r="O3" s="13">
        <v>12</v>
      </c>
      <c r="P3" s="15">
        <v>13</v>
      </c>
      <c r="Q3" s="14">
        <v>14</v>
      </c>
      <c r="R3" s="14">
        <v>15</v>
      </c>
      <c r="S3" s="11">
        <v>16</v>
      </c>
      <c r="T3" s="13">
        <v>17</v>
      </c>
      <c r="U3" s="11">
        <v>18</v>
      </c>
      <c r="V3" s="15">
        <v>19</v>
      </c>
      <c r="W3" s="14">
        <v>20</v>
      </c>
      <c r="X3" s="33">
        <v>1</v>
      </c>
      <c r="Y3" s="11">
        <v>2</v>
      </c>
      <c r="Z3" s="11">
        <v>3</v>
      </c>
      <c r="AA3" s="12">
        <v>4</v>
      </c>
      <c r="AB3" s="13">
        <v>5</v>
      </c>
      <c r="AC3" s="14">
        <v>6</v>
      </c>
      <c r="AD3" s="10">
        <v>7</v>
      </c>
      <c r="AE3" s="12">
        <v>8</v>
      </c>
      <c r="AF3" s="15">
        <v>9</v>
      </c>
      <c r="AG3" s="15">
        <v>10</v>
      </c>
      <c r="AH3" s="16">
        <v>11</v>
      </c>
      <c r="AI3" s="13">
        <v>12</v>
      </c>
      <c r="AJ3" s="15">
        <v>13</v>
      </c>
      <c r="AK3" s="14">
        <v>14</v>
      </c>
      <c r="AL3" s="14">
        <v>15</v>
      </c>
      <c r="AM3" s="11">
        <v>16</v>
      </c>
      <c r="AN3" s="13">
        <v>17</v>
      </c>
      <c r="AO3" s="11">
        <v>18</v>
      </c>
      <c r="AP3" s="15">
        <v>19</v>
      </c>
      <c r="AQ3" s="91">
        <v>20</v>
      </c>
    </row>
    <row r="4" spans="1:43" s="9" customFormat="1" x14ac:dyDescent="0.2">
      <c r="A4" s="89"/>
      <c r="D4" s="10" t="s">
        <v>0</v>
      </c>
      <c r="E4" s="11" t="s">
        <v>2</v>
      </c>
      <c r="F4" s="11" t="s">
        <v>4</v>
      </c>
      <c r="G4" s="12" t="s">
        <v>6</v>
      </c>
      <c r="H4" s="13" t="s">
        <v>8</v>
      </c>
      <c r="I4" s="14" t="s">
        <v>10</v>
      </c>
      <c r="J4" s="10" t="s">
        <v>12</v>
      </c>
      <c r="K4" s="12" t="s">
        <v>14</v>
      </c>
      <c r="L4" s="15" t="s">
        <v>16</v>
      </c>
      <c r="M4" s="15" t="s">
        <v>18</v>
      </c>
      <c r="N4" s="16" t="s">
        <v>20</v>
      </c>
      <c r="O4" s="13" t="s">
        <v>22</v>
      </c>
      <c r="P4" s="15" t="s">
        <v>24</v>
      </c>
      <c r="Q4" s="14" t="s">
        <v>26</v>
      </c>
      <c r="R4" s="14" t="s">
        <v>28</v>
      </c>
      <c r="S4" s="11" t="s">
        <v>30</v>
      </c>
      <c r="T4" s="13" t="s">
        <v>32</v>
      </c>
      <c r="U4" s="11" t="s">
        <v>34</v>
      </c>
      <c r="V4" s="15" t="s">
        <v>36</v>
      </c>
      <c r="W4" s="14" t="s">
        <v>38</v>
      </c>
      <c r="X4" s="33" t="s">
        <v>0</v>
      </c>
      <c r="Y4" s="11" t="s">
        <v>2</v>
      </c>
      <c r="Z4" s="11" t="s">
        <v>4</v>
      </c>
      <c r="AA4" s="12" t="s">
        <v>6</v>
      </c>
      <c r="AB4" s="13" t="s">
        <v>8</v>
      </c>
      <c r="AC4" s="14" t="s">
        <v>10</v>
      </c>
      <c r="AD4" s="10" t="s">
        <v>12</v>
      </c>
      <c r="AE4" s="12" t="s">
        <v>14</v>
      </c>
      <c r="AF4" s="15" t="s">
        <v>16</v>
      </c>
      <c r="AG4" s="15" t="s">
        <v>18</v>
      </c>
      <c r="AH4" s="16" t="s">
        <v>20</v>
      </c>
      <c r="AI4" s="13" t="s">
        <v>22</v>
      </c>
      <c r="AJ4" s="15" t="s">
        <v>24</v>
      </c>
      <c r="AK4" s="14" t="s">
        <v>26</v>
      </c>
      <c r="AL4" s="14" t="s">
        <v>28</v>
      </c>
      <c r="AM4" s="11" t="s">
        <v>30</v>
      </c>
      <c r="AN4" s="13" t="s">
        <v>32</v>
      </c>
      <c r="AO4" s="11" t="s">
        <v>34</v>
      </c>
      <c r="AP4" s="15" t="s">
        <v>36</v>
      </c>
      <c r="AQ4" s="91" t="s">
        <v>38</v>
      </c>
    </row>
    <row r="5" spans="1:43" s="9" customFormat="1" ht="22.5" x14ac:dyDescent="0.2">
      <c r="A5" s="89" t="s">
        <v>94</v>
      </c>
      <c r="B5" s="9" t="s">
        <v>57</v>
      </c>
      <c r="C5" s="17" t="s">
        <v>45</v>
      </c>
      <c r="D5" s="10" t="s">
        <v>1</v>
      </c>
      <c r="E5" s="11" t="s">
        <v>3</v>
      </c>
      <c r="F5" s="11" t="s">
        <v>5</v>
      </c>
      <c r="G5" s="12" t="s">
        <v>7</v>
      </c>
      <c r="H5" s="13" t="s">
        <v>9</v>
      </c>
      <c r="I5" s="14" t="s">
        <v>11</v>
      </c>
      <c r="J5" s="10" t="s">
        <v>13</v>
      </c>
      <c r="K5" s="12" t="s">
        <v>15</v>
      </c>
      <c r="L5" s="15" t="s">
        <v>17</v>
      </c>
      <c r="M5" s="15" t="s">
        <v>19</v>
      </c>
      <c r="N5" s="16" t="s">
        <v>21</v>
      </c>
      <c r="O5" s="13" t="s">
        <v>23</v>
      </c>
      <c r="P5" s="15" t="s">
        <v>25</v>
      </c>
      <c r="Q5" s="14" t="s">
        <v>27</v>
      </c>
      <c r="R5" s="14" t="s">
        <v>29</v>
      </c>
      <c r="S5" s="11" t="s">
        <v>31</v>
      </c>
      <c r="T5" s="13" t="s">
        <v>33</v>
      </c>
      <c r="U5" s="11" t="s">
        <v>35</v>
      </c>
      <c r="V5" s="15" t="s">
        <v>37</v>
      </c>
      <c r="W5" s="14" t="s">
        <v>39</v>
      </c>
      <c r="X5" s="33" t="s">
        <v>1</v>
      </c>
      <c r="Y5" s="11" t="s">
        <v>3</v>
      </c>
      <c r="Z5" s="11" t="s">
        <v>5</v>
      </c>
      <c r="AA5" s="12" t="s">
        <v>7</v>
      </c>
      <c r="AB5" s="13" t="s">
        <v>9</v>
      </c>
      <c r="AC5" s="14" t="s">
        <v>11</v>
      </c>
      <c r="AD5" s="10" t="s">
        <v>13</v>
      </c>
      <c r="AE5" s="12" t="s">
        <v>15</v>
      </c>
      <c r="AF5" s="15" t="s">
        <v>17</v>
      </c>
      <c r="AG5" s="15" t="s">
        <v>19</v>
      </c>
      <c r="AH5" s="16" t="s">
        <v>21</v>
      </c>
      <c r="AI5" s="13" t="s">
        <v>23</v>
      </c>
      <c r="AJ5" s="15" t="s">
        <v>25</v>
      </c>
      <c r="AK5" s="14" t="s">
        <v>27</v>
      </c>
      <c r="AL5" s="14" t="s">
        <v>29</v>
      </c>
      <c r="AM5" s="11" t="s">
        <v>31</v>
      </c>
      <c r="AN5" s="13" t="s">
        <v>33</v>
      </c>
      <c r="AO5" s="11" t="s">
        <v>35</v>
      </c>
      <c r="AP5" s="15" t="s">
        <v>37</v>
      </c>
      <c r="AQ5" s="91" t="s">
        <v>39</v>
      </c>
    </row>
    <row r="6" spans="1:43" x14ac:dyDescent="0.2">
      <c r="A6" s="34">
        <f>AVERAGE(E6:AD6)</f>
        <v>1.2692307692307692</v>
      </c>
      <c r="B6" s="17">
        <v>101</v>
      </c>
      <c r="C6" s="17">
        <v>1</v>
      </c>
      <c r="D6" s="82">
        <v>-1</v>
      </c>
      <c r="E6" s="83">
        <v>0</v>
      </c>
      <c r="F6" s="83">
        <v>1</v>
      </c>
      <c r="G6" s="83">
        <v>2</v>
      </c>
      <c r="H6" s="83">
        <v>1.5</v>
      </c>
      <c r="I6" s="83">
        <v>1</v>
      </c>
      <c r="J6" s="83">
        <v>2</v>
      </c>
      <c r="K6" s="83">
        <v>1.5</v>
      </c>
      <c r="L6" s="83">
        <v>1</v>
      </c>
      <c r="M6" s="83">
        <v>-0.5</v>
      </c>
      <c r="N6" s="83">
        <v>1</v>
      </c>
      <c r="O6" s="83">
        <v>2</v>
      </c>
      <c r="P6" s="83">
        <v>1.5</v>
      </c>
      <c r="Q6" s="83">
        <v>0</v>
      </c>
      <c r="R6" s="83">
        <v>1.5</v>
      </c>
      <c r="S6" s="83">
        <v>0.5</v>
      </c>
      <c r="T6" s="83">
        <v>2</v>
      </c>
      <c r="U6" s="83">
        <v>1.5</v>
      </c>
      <c r="V6" s="83">
        <v>2</v>
      </c>
      <c r="W6" s="84">
        <v>2</v>
      </c>
      <c r="X6" s="82">
        <v>0</v>
      </c>
      <c r="Y6" s="83">
        <v>1</v>
      </c>
      <c r="Z6" s="83">
        <v>1</v>
      </c>
      <c r="AA6" s="83">
        <v>2</v>
      </c>
      <c r="AB6" s="83">
        <v>2</v>
      </c>
      <c r="AC6" s="83">
        <v>2</v>
      </c>
      <c r="AD6" s="83">
        <v>1.5</v>
      </c>
      <c r="AE6" s="83">
        <v>2</v>
      </c>
      <c r="AF6" s="83">
        <v>0.5</v>
      </c>
      <c r="AG6" s="83">
        <v>1.5</v>
      </c>
      <c r="AH6" s="83">
        <v>2</v>
      </c>
      <c r="AI6" s="83">
        <v>2</v>
      </c>
      <c r="AJ6" s="83">
        <v>1</v>
      </c>
      <c r="AK6" s="83">
        <v>1</v>
      </c>
      <c r="AL6" s="83">
        <v>1.5</v>
      </c>
      <c r="AM6" s="83">
        <v>1</v>
      </c>
      <c r="AN6" s="83">
        <v>1.5</v>
      </c>
      <c r="AO6" s="83">
        <v>2</v>
      </c>
      <c r="AP6" s="83">
        <v>1.5</v>
      </c>
      <c r="AQ6" s="84">
        <v>2</v>
      </c>
    </row>
    <row r="7" spans="1:43" x14ac:dyDescent="0.2">
      <c r="A7" s="34">
        <f t="shared" ref="A7:A50" si="0">AVERAGE(E7:AD7)</f>
        <v>1.7115384615384615</v>
      </c>
      <c r="B7" s="17">
        <v>102</v>
      </c>
      <c r="C7" s="17">
        <v>2</v>
      </c>
      <c r="D7" s="34">
        <v>-2</v>
      </c>
      <c r="E7" s="17">
        <v>-1.5</v>
      </c>
      <c r="F7" s="17">
        <v>1.5</v>
      </c>
      <c r="G7" s="17">
        <v>3</v>
      </c>
      <c r="H7" s="17">
        <v>2</v>
      </c>
      <c r="I7" s="17">
        <v>2</v>
      </c>
      <c r="J7" s="17">
        <v>2</v>
      </c>
      <c r="K7" s="17">
        <v>2.5</v>
      </c>
      <c r="L7" s="17">
        <v>1</v>
      </c>
      <c r="M7" s="17">
        <v>1</v>
      </c>
      <c r="N7" s="17">
        <v>2.5</v>
      </c>
      <c r="O7" s="17">
        <v>2</v>
      </c>
      <c r="P7" s="17">
        <v>2</v>
      </c>
      <c r="Q7" s="17">
        <v>0</v>
      </c>
      <c r="R7" s="17">
        <v>3</v>
      </c>
      <c r="S7" s="17">
        <v>0</v>
      </c>
      <c r="T7" s="17">
        <v>2.5</v>
      </c>
      <c r="U7" s="17">
        <v>2</v>
      </c>
      <c r="V7" s="17">
        <v>0.5</v>
      </c>
      <c r="W7" s="85">
        <v>3</v>
      </c>
      <c r="X7" s="34">
        <v>1.5</v>
      </c>
      <c r="Y7" s="17">
        <v>1</v>
      </c>
      <c r="Z7" s="17">
        <v>1</v>
      </c>
      <c r="AA7" s="17">
        <v>2.5</v>
      </c>
      <c r="AB7" s="17">
        <v>3</v>
      </c>
      <c r="AC7" s="17">
        <v>2</v>
      </c>
      <c r="AD7" s="17">
        <v>2.5</v>
      </c>
      <c r="AE7" s="17">
        <v>1.5</v>
      </c>
      <c r="AF7" s="17">
        <v>0</v>
      </c>
      <c r="AG7" s="17">
        <v>0.5</v>
      </c>
      <c r="AH7" s="17">
        <v>2.5</v>
      </c>
      <c r="AI7" s="17">
        <v>3</v>
      </c>
      <c r="AJ7" s="17">
        <v>1.5</v>
      </c>
      <c r="AK7" s="17">
        <v>2</v>
      </c>
      <c r="AL7" s="17">
        <v>3</v>
      </c>
      <c r="AM7" s="17">
        <v>0.5</v>
      </c>
      <c r="AN7" s="17">
        <v>2.5</v>
      </c>
      <c r="AO7" s="17">
        <v>3</v>
      </c>
      <c r="AP7" s="17">
        <v>1.5</v>
      </c>
      <c r="AQ7" s="85">
        <v>2</v>
      </c>
    </row>
    <row r="8" spans="1:43" x14ac:dyDescent="0.2">
      <c r="A8" s="34">
        <f t="shared" si="0"/>
        <v>2.9038461538461537</v>
      </c>
      <c r="B8" s="17">
        <v>104</v>
      </c>
      <c r="C8" s="17">
        <v>3</v>
      </c>
      <c r="D8" s="34">
        <v>3</v>
      </c>
      <c r="E8" s="17">
        <v>3</v>
      </c>
      <c r="F8" s="17">
        <v>3</v>
      </c>
      <c r="G8" s="17">
        <v>3</v>
      </c>
      <c r="H8" s="17">
        <v>3</v>
      </c>
      <c r="I8" s="17">
        <v>3</v>
      </c>
      <c r="J8" s="17">
        <v>3</v>
      </c>
      <c r="K8" s="17">
        <v>3</v>
      </c>
      <c r="L8" s="17">
        <v>3</v>
      </c>
      <c r="M8" s="17">
        <v>3</v>
      </c>
      <c r="N8" s="17">
        <v>3</v>
      </c>
      <c r="O8" s="17">
        <v>3</v>
      </c>
      <c r="P8" s="17">
        <v>3</v>
      </c>
      <c r="Q8" s="17">
        <v>3</v>
      </c>
      <c r="R8" s="17">
        <v>3</v>
      </c>
      <c r="S8" s="17">
        <v>3</v>
      </c>
      <c r="T8" s="17">
        <v>3</v>
      </c>
      <c r="U8" s="17">
        <v>3</v>
      </c>
      <c r="V8" s="17">
        <v>3</v>
      </c>
      <c r="W8" s="85">
        <v>3</v>
      </c>
      <c r="X8" s="34">
        <v>1.5</v>
      </c>
      <c r="Y8" s="17">
        <v>3</v>
      </c>
      <c r="Z8" s="17">
        <v>2</v>
      </c>
      <c r="AA8" s="17">
        <v>3</v>
      </c>
      <c r="AB8" s="17">
        <v>3</v>
      </c>
      <c r="AC8" s="17">
        <v>3</v>
      </c>
      <c r="AD8" s="17">
        <v>3</v>
      </c>
      <c r="AE8" s="17">
        <v>3</v>
      </c>
      <c r="AF8" s="17">
        <v>3</v>
      </c>
      <c r="AG8" s="17">
        <v>3</v>
      </c>
      <c r="AH8" s="17">
        <v>3</v>
      </c>
      <c r="AI8" s="17">
        <v>3</v>
      </c>
      <c r="AJ8" s="17">
        <v>2.5</v>
      </c>
      <c r="AK8" s="17">
        <v>3</v>
      </c>
      <c r="AL8" s="17">
        <v>3</v>
      </c>
      <c r="AM8" s="17">
        <v>3</v>
      </c>
      <c r="AN8" s="17">
        <v>3</v>
      </c>
      <c r="AO8" s="17">
        <v>3</v>
      </c>
      <c r="AP8" s="17">
        <v>2</v>
      </c>
      <c r="AQ8" s="85">
        <v>3</v>
      </c>
    </row>
    <row r="9" spans="1:43" x14ac:dyDescent="0.2">
      <c r="A9" s="34">
        <f t="shared" si="0"/>
        <v>0.96153846153846156</v>
      </c>
      <c r="B9" s="17">
        <v>106</v>
      </c>
      <c r="C9" s="17">
        <v>4</v>
      </c>
      <c r="D9" s="34">
        <v>-0.5</v>
      </c>
      <c r="E9" s="17">
        <v>0</v>
      </c>
      <c r="F9" s="17">
        <v>0</v>
      </c>
      <c r="G9" s="17">
        <v>1.5</v>
      </c>
      <c r="H9" s="17">
        <v>1</v>
      </c>
      <c r="I9" s="17">
        <v>1</v>
      </c>
      <c r="J9" s="17">
        <v>0</v>
      </c>
      <c r="K9" s="17">
        <v>0.5</v>
      </c>
      <c r="L9" s="17">
        <v>0.5</v>
      </c>
      <c r="M9" s="17">
        <v>0.5</v>
      </c>
      <c r="N9" s="17">
        <v>1.5</v>
      </c>
      <c r="O9" s="17">
        <v>0</v>
      </c>
      <c r="P9" s="17">
        <v>1</v>
      </c>
      <c r="Q9" s="17">
        <v>0</v>
      </c>
      <c r="R9" s="17">
        <v>2.5</v>
      </c>
      <c r="S9" s="17">
        <v>1.5</v>
      </c>
      <c r="T9" s="17">
        <v>0.5</v>
      </c>
      <c r="U9" s="17">
        <v>1.5</v>
      </c>
      <c r="V9" s="17">
        <v>1</v>
      </c>
      <c r="W9" s="85">
        <v>2</v>
      </c>
      <c r="X9" s="34">
        <v>0.5</v>
      </c>
      <c r="Y9" s="17">
        <v>1.5</v>
      </c>
      <c r="Z9" s="17">
        <v>1.5</v>
      </c>
      <c r="AA9" s="17">
        <v>0</v>
      </c>
      <c r="AB9" s="17">
        <v>2</v>
      </c>
      <c r="AC9" s="17">
        <v>1</v>
      </c>
      <c r="AD9" s="17">
        <v>2</v>
      </c>
      <c r="AE9" s="17">
        <v>1</v>
      </c>
      <c r="AF9" s="17">
        <v>0</v>
      </c>
      <c r="AG9" s="17">
        <v>2</v>
      </c>
      <c r="AH9" s="17">
        <v>1.5</v>
      </c>
      <c r="AI9" s="17">
        <v>2</v>
      </c>
      <c r="AJ9" s="17">
        <v>2</v>
      </c>
      <c r="AK9" s="17">
        <v>2</v>
      </c>
      <c r="AL9" s="17">
        <v>2</v>
      </c>
      <c r="AM9" s="17">
        <v>1.5</v>
      </c>
      <c r="AN9" s="17">
        <v>0.5</v>
      </c>
      <c r="AO9" s="17">
        <v>3</v>
      </c>
      <c r="AP9" s="17">
        <v>1.5</v>
      </c>
      <c r="AQ9" s="85">
        <v>2</v>
      </c>
    </row>
    <row r="10" spans="1:43" x14ac:dyDescent="0.2">
      <c r="A10" s="34">
        <f t="shared" si="0"/>
        <v>0.63461538461538458</v>
      </c>
      <c r="B10" s="17">
        <v>108</v>
      </c>
      <c r="C10" s="17">
        <v>5</v>
      </c>
      <c r="D10" s="34">
        <v>1</v>
      </c>
      <c r="E10" s="17">
        <v>0</v>
      </c>
      <c r="F10" s="17">
        <v>0</v>
      </c>
      <c r="G10" s="17">
        <v>0</v>
      </c>
      <c r="H10" s="17">
        <v>1</v>
      </c>
      <c r="I10" s="17">
        <v>1</v>
      </c>
      <c r="J10" s="17">
        <v>2</v>
      </c>
      <c r="K10" s="17">
        <v>1.5</v>
      </c>
      <c r="L10" s="17">
        <v>-0.5</v>
      </c>
      <c r="M10" s="17">
        <v>-2</v>
      </c>
      <c r="N10" s="17">
        <v>-1.5</v>
      </c>
      <c r="O10" s="17">
        <v>1</v>
      </c>
      <c r="P10" s="17">
        <v>2</v>
      </c>
      <c r="Q10" s="17">
        <v>1</v>
      </c>
      <c r="R10" s="17">
        <v>1.5</v>
      </c>
      <c r="S10" s="17">
        <v>0</v>
      </c>
      <c r="T10" s="17">
        <v>1</v>
      </c>
      <c r="U10" s="17">
        <v>1</v>
      </c>
      <c r="V10" s="17">
        <v>1.5</v>
      </c>
      <c r="W10" s="85">
        <v>2</v>
      </c>
      <c r="X10" s="34">
        <v>0</v>
      </c>
      <c r="Y10" s="17">
        <v>1.5</v>
      </c>
      <c r="Z10" s="17">
        <v>-1</v>
      </c>
      <c r="AA10" s="17">
        <v>1</v>
      </c>
      <c r="AB10" s="17">
        <v>1.5</v>
      </c>
      <c r="AC10" s="17">
        <v>0</v>
      </c>
      <c r="AD10" s="17">
        <v>1</v>
      </c>
      <c r="AE10" s="17">
        <v>1.5</v>
      </c>
      <c r="AF10" s="17">
        <v>-2.5</v>
      </c>
      <c r="AG10" s="17">
        <v>-2</v>
      </c>
      <c r="AH10" s="17">
        <v>-1.5</v>
      </c>
      <c r="AI10" s="17">
        <v>1</v>
      </c>
      <c r="AJ10" s="17">
        <v>2</v>
      </c>
      <c r="AK10" s="17">
        <v>1</v>
      </c>
      <c r="AL10" s="17">
        <v>1.5</v>
      </c>
      <c r="AM10" s="17">
        <v>1</v>
      </c>
      <c r="AN10" s="17">
        <v>1</v>
      </c>
      <c r="AO10" s="17">
        <v>-1.5</v>
      </c>
      <c r="AP10" s="17">
        <v>1.5</v>
      </c>
      <c r="AQ10" s="85">
        <v>0.5</v>
      </c>
    </row>
    <row r="11" spans="1:43" x14ac:dyDescent="0.2">
      <c r="A11" s="34">
        <f t="shared" si="0"/>
        <v>2</v>
      </c>
      <c r="B11" s="17">
        <v>109</v>
      </c>
      <c r="C11" s="17">
        <v>6</v>
      </c>
      <c r="D11" s="34">
        <v>1.5</v>
      </c>
      <c r="E11" s="17">
        <v>2</v>
      </c>
      <c r="F11" s="17">
        <v>2</v>
      </c>
      <c r="G11" s="17">
        <v>2</v>
      </c>
      <c r="H11" s="17">
        <v>2</v>
      </c>
      <c r="I11" s="17">
        <v>2</v>
      </c>
      <c r="J11" s="17">
        <v>2</v>
      </c>
      <c r="K11" s="17">
        <v>2</v>
      </c>
      <c r="L11" s="17">
        <v>2</v>
      </c>
      <c r="M11" s="17">
        <v>2</v>
      </c>
      <c r="N11" s="17">
        <v>2</v>
      </c>
      <c r="O11" s="17">
        <v>2</v>
      </c>
      <c r="P11" s="17">
        <v>2</v>
      </c>
      <c r="Q11" s="17">
        <v>2</v>
      </c>
      <c r="R11" s="17">
        <v>2</v>
      </c>
      <c r="S11" s="17">
        <v>2</v>
      </c>
      <c r="T11" s="17">
        <v>2</v>
      </c>
      <c r="U11" s="17">
        <v>2</v>
      </c>
      <c r="V11" s="17">
        <v>2</v>
      </c>
      <c r="W11" s="85">
        <v>2</v>
      </c>
      <c r="X11" s="34">
        <v>2</v>
      </c>
      <c r="Y11" s="17">
        <v>2</v>
      </c>
      <c r="Z11" s="17">
        <v>2</v>
      </c>
      <c r="AA11" s="17">
        <v>2</v>
      </c>
      <c r="AB11" s="17">
        <v>2</v>
      </c>
      <c r="AC11" s="17">
        <v>2</v>
      </c>
      <c r="AD11" s="17">
        <v>2</v>
      </c>
      <c r="AE11" s="17">
        <v>2</v>
      </c>
      <c r="AF11" s="17">
        <v>2</v>
      </c>
      <c r="AG11" s="17">
        <v>2</v>
      </c>
      <c r="AH11" s="17">
        <v>2</v>
      </c>
      <c r="AI11" s="17">
        <v>2</v>
      </c>
      <c r="AJ11" s="17">
        <v>2</v>
      </c>
      <c r="AK11" s="17">
        <v>2</v>
      </c>
      <c r="AL11" s="17">
        <v>2</v>
      </c>
      <c r="AM11" s="17">
        <v>2</v>
      </c>
      <c r="AN11" s="17">
        <v>2</v>
      </c>
      <c r="AO11" s="17">
        <v>2</v>
      </c>
      <c r="AP11" s="17">
        <v>2</v>
      </c>
      <c r="AQ11" s="85">
        <v>2.5</v>
      </c>
    </row>
    <row r="12" spans="1:43" x14ac:dyDescent="0.2">
      <c r="A12" s="34">
        <f t="shared" si="0"/>
        <v>1.9423076923076923</v>
      </c>
      <c r="B12" s="17">
        <v>32</v>
      </c>
      <c r="C12" s="17">
        <v>7</v>
      </c>
      <c r="D12" s="34">
        <v>0.5</v>
      </c>
      <c r="E12" s="17">
        <v>2</v>
      </c>
      <c r="F12" s="17">
        <v>2</v>
      </c>
      <c r="G12" s="17">
        <v>2</v>
      </c>
      <c r="H12" s="17">
        <v>2</v>
      </c>
      <c r="I12" s="17">
        <v>1</v>
      </c>
      <c r="J12" s="17">
        <v>3</v>
      </c>
      <c r="K12" s="17">
        <v>2</v>
      </c>
      <c r="L12" s="17">
        <v>2</v>
      </c>
      <c r="M12" s="17">
        <v>2</v>
      </c>
      <c r="N12" s="17">
        <v>2</v>
      </c>
      <c r="O12" s="17">
        <v>2</v>
      </c>
      <c r="P12" s="17">
        <v>2</v>
      </c>
      <c r="Q12" s="17">
        <v>2</v>
      </c>
      <c r="R12" s="17">
        <v>2</v>
      </c>
      <c r="S12" s="17">
        <v>1.5</v>
      </c>
      <c r="T12" s="17">
        <v>2</v>
      </c>
      <c r="U12" s="17">
        <v>2</v>
      </c>
      <c r="V12" s="17">
        <v>2</v>
      </c>
      <c r="W12" s="85">
        <v>2</v>
      </c>
      <c r="X12" s="34">
        <v>1</v>
      </c>
      <c r="Y12" s="17">
        <v>2</v>
      </c>
      <c r="Z12" s="17">
        <v>1</v>
      </c>
      <c r="AA12" s="17">
        <v>2.5</v>
      </c>
      <c r="AB12" s="17">
        <v>2</v>
      </c>
      <c r="AC12" s="17">
        <v>1.5</v>
      </c>
      <c r="AD12" s="17">
        <v>3</v>
      </c>
      <c r="AE12" s="17">
        <v>2</v>
      </c>
      <c r="AF12" s="17">
        <v>1.5</v>
      </c>
      <c r="AG12" s="17">
        <v>2</v>
      </c>
      <c r="AH12" s="17">
        <v>2</v>
      </c>
      <c r="AI12" s="17">
        <v>2</v>
      </c>
      <c r="AJ12" s="17">
        <v>2</v>
      </c>
      <c r="AK12" s="17">
        <v>2</v>
      </c>
      <c r="AL12" s="17">
        <v>2</v>
      </c>
      <c r="AM12" s="17">
        <v>1.5</v>
      </c>
      <c r="AN12" s="17">
        <v>2</v>
      </c>
      <c r="AO12" s="17">
        <v>1.5</v>
      </c>
      <c r="AP12" s="17">
        <v>1.5</v>
      </c>
      <c r="AQ12" s="85">
        <v>2</v>
      </c>
    </row>
    <row r="13" spans="1:43" x14ac:dyDescent="0.2">
      <c r="A13" s="34">
        <f t="shared" si="0"/>
        <v>1.75</v>
      </c>
      <c r="B13" s="17">
        <v>36</v>
      </c>
      <c r="C13" s="17">
        <v>8</v>
      </c>
      <c r="D13" s="34">
        <v>1.5</v>
      </c>
      <c r="E13" s="17">
        <v>1.5</v>
      </c>
      <c r="F13" s="17">
        <v>2</v>
      </c>
      <c r="G13" s="17">
        <v>1.5</v>
      </c>
      <c r="H13" s="17">
        <v>1.5</v>
      </c>
      <c r="I13" s="17">
        <v>1.5</v>
      </c>
      <c r="J13" s="17">
        <v>2</v>
      </c>
      <c r="K13" s="17">
        <v>1</v>
      </c>
      <c r="L13" s="17">
        <v>1.5</v>
      </c>
      <c r="M13" s="17">
        <v>1</v>
      </c>
      <c r="N13" s="17">
        <v>2</v>
      </c>
      <c r="O13" s="17">
        <v>2</v>
      </c>
      <c r="P13" s="17">
        <v>2</v>
      </c>
      <c r="Q13" s="17">
        <v>2</v>
      </c>
      <c r="R13" s="17">
        <v>2.5</v>
      </c>
      <c r="S13" s="17">
        <v>2</v>
      </c>
      <c r="T13" s="17">
        <v>1.5</v>
      </c>
      <c r="U13" s="17">
        <v>1.5</v>
      </c>
      <c r="V13" s="17">
        <v>2</v>
      </c>
      <c r="W13" s="85">
        <v>2</v>
      </c>
      <c r="X13" s="34">
        <v>1.5</v>
      </c>
      <c r="Y13" s="17">
        <v>1.5</v>
      </c>
      <c r="Z13" s="17">
        <v>2</v>
      </c>
      <c r="AA13" s="17">
        <v>2</v>
      </c>
      <c r="AB13" s="17">
        <v>1.5</v>
      </c>
      <c r="AC13" s="17">
        <v>2</v>
      </c>
      <c r="AD13" s="17">
        <v>2</v>
      </c>
      <c r="AE13" s="17">
        <v>1.5</v>
      </c>
      <c r="AF13" s="17">
        <v>1.5</v>
      </c>
      <c r="AG13" s="17">
        <v>1.5</v>
      </c>
      <c r="AH13" s="17">
        <v>2</v>
      </c>
      <c r="AI13" s="17">
        <v>3</v>
      </c>
      <c r="AJ13" s="17">
        <v>1.5</v>
      </c>
      <c r="AK13" s="17">
        <v>1.5</v>
      </c>
      <c r="AL13" s="17">
        <v>2</v>
      </c>
      <c r="AM13" s="17">
        <v>2.5</v>
      </c>
      <c r="AN13" s="17">
        <v>2</v>
      </c>
      <c r="AO13" s="17">
        <v>2</v>
      </c>
      <c r="AP13" s="17">
        <v>1.5</v>
      </c>
      <c r="AQ13" s="85">
        <v>1.5</v>
      </c>
    </row>
    <row r="14" spans="1:43" x14ac:dyDescent="0.2">
      <c r="A14" s="34">
        <f t="shared" si="0"/>
        <v>-0.5</v>
      </c>
      <c r="B14" s="17">
        <v>37</v>
      </c>
      <c r="C14" s="17">
        <v>9</v>
      </c>
      <c r="D14" s="34">
        <v>-1</v>
      </c>
      <c r="E14" s="17">
        <v>-0.5</v>
      </c>
      <c r="F14" s="17">
        <v>-1</v>
      </c>
      <c r="G14" s="17">
        <v>-0.5</v>
      </c>
      <c r="H14" s="17">
        <v>-1</v>
      </c>
      <c r="I14" s="17">
        <v>-0.5</v>
      </c>
      <c r="J14" s="17">
        <v>0</v>
      </c>
      <c r="K14" s="17">
        <v>0.5</v>
      </c>
      <c r="L14" s="17">
        <v>0</v>
      </c>
      <c r="M14" s="17">
        <v>-1</v>
      </c>
      <c r="N14" s="17">
        <v>-1</v>
      </c>
      <c r="O14" s="17">
        <v>-0.5</v>
      </c>
      <c r="P14" s="17">
        <v>0.5</v>
      </c>
      <c r="Q14" s="17">
        <v>-1</v>
      </c>
      <c r="R14" s="17">
        <v>-0.5</v>
      </c>
      <c r="S14" s="17">
        <v>-1</v>
      </c>
      <c r="T14" s="17">
        <v>0</v>
      </c>
      <c r="U14" s="17">
        <v>-1</v>
      </c>
      <c r="V14" s="17">
        <v>-1</v>
      </c>
      <c r="W14" s="85">
        <v>-0.5</v>
      </c>
      <c r="X14" s="34">
        <v>-0.5</v>
      </c>
      <c r="Y14" s="17">
        <v>-0.5</v>
      </c>
      <c r="Z14" s="17">
        <v>-1</v>
      </c>
      <c r="AA14" s="17">
        <v>-0.5</v>
      </c>
      <c r="AB14" s="17">
        <v>0</v>
      </c>
      <c r="AC14" s="17">
        <v>-0.5</v>
      </c>
      <c r="AD14" s="17">
        <v>0</v>
      </c>
      <c r="AE14" s="17">
        <v>1</v>
      </c>
      <c r="AF14" s="17">
        <v>0</v>
      </c>
      <c r="AG14" s="17">
        <v>0</v>
      </c>
      <c r="AH14" s="17">
        <v>-1</v>
      </c>
      <c r="AI14" s="17">
        <v>0</v>
      </c>
      <c r="AJ14" s="17">
        <v>0.5</v>
      </c>
      <c r="AK14" s="17">
        <v>0</v>
      </c>
      <c r="AL14" s="17">
        <v>-0.5</v>
      </c>
      <c r="AM14" s="17">
        <v>0</v>
      </c>
      <c r="AN14" s="17">
        <v>0</v>
      </c>
      <c r="AO14" s="17">
        <v>-0.5</v>
      </c>
      <c r="AP14" s="17">
        <v>0</v>
      </c>
      <c r="AQ14" s="85">
        <v>0</v>
      </c>
    </row>
    <row r="15" spans="1:43" x14ac:dyDescent="0.2">
      <c r="A15" s="34">
        <f t="shared" si="0"/>
        <v>2</v>
      </c>
      <c r="B15" s="17">
        <v>99</v>
      </c>
      <c r="C15" s="17">
        <v>10</v>
      </c>
      <c r="D15" s="34">
        <v>1</v>
      </c>
      <c r="E15" s="17">
        <v>2.5</v>
      </c>
      <c r="F15" s="17">
        <v>2</v>
      </c>
      <c r="G15" s="17">
        <v>2</v>
      </c>
      <c r="H15" s="17">
        <v>2.5</v>
      </c>
      <c r="I15" s="17">
        <v>2</v>
      </c>
      <c r="J15" s="17">
        <v>2</v>
      </c>
      <c r="K15" s="17">
        <v>2</v>
      </c>
      <c r="L15" s="17">
        <v>0</v>
      </c>
      <c r="M15" s="17">
        <v>1</v>
      </c>
      <c r="N15" s="17">
        <v>3</v>
      </c>
      <c r="O15" s="17">
        <v>2</v>
      </c>
      <c r="P15" s="17">
        <v>2.5</v>
      </c>
      <c r="Q15" s="17">
        <v>2</v>
      </c>
      <c r="R15" s="17">
        <v>3</v>
      </c>
      <c r="S15" s="17">
        <v>3</v>
      </c>
      <c r="T15" s="17">
        <v>3</v>
      </c>
      <c r="U15" s="17">
        <v>2.5</v>
      </c>
      <c r="V15" s="17">
        <v>2.5</v>
      </c>
      <c r="W15" s="85">
        <v>2.5</v>
      </c>
      <c r="X15" s="34">
        <v>-0.5</v>
      </c>
      <c r="Y15" s="17">
        <v>1.5</v>
      </c>
      <c r="Z15" s="17">
        <v>1.5</v>
      </c>
      <c r="AA15" s="17">
        <v>3</v>
      </c>
      <c r="AB15" s="17">
        <v>1.5</v>
      </c>
      <c r="AC15" s="17">
        <v>1.5</v>
      </c>
      <c r="AD15" s="17">
        <v>1.5</v>
      </c>
      <c r="AE15" s="17">
        <v>2.5</v>
      </c>
      <c r="AF15" s="17">
        <v>1</v>
      </c>
      <c r="AG15" s="17">
        <v>2.5</v>
      </c>
      <c r="AH15" s="17">
        <v>3</v>
      </c>
      <c r="AI15" s="17">
        <v>3</v>
      </c>
      <c r="AJ15" s="17">
        <v>3</v>
      </c>
      <c r="AK15" s="17">
        <v>1.5</v>
      </c>
      <c r="AL15" s="17">
        <v>3</v>
      </c>
      <c r="AM15" s="17">
        <v>2</v>
      </c>
      <c r="AN15" s="17">
        <v>3</v>
      </c>
      <c r="AO15" s="17">
        <v>3</v>
      </c>
      <c r="AP15" s="17">
        <v>2.5</v>
      </c>
      <c r="AQ15" s="85">
        <v>3</v>
      </c>
    </row>
    <row r="16" spans="1:43" x14ac:dyDescent="0.2">
      <c r="A16" s="34">
        <f t="shared" si="0"/>
        <v>1.6153846153846154</v>
      </c>
      <c r="B16" s="17">
        <v>42</v>
      </c>
      <c r="C16" s="17">
        <v>11</v>
      </c>
      <c r="D16" s="34">
        <v>-1</v>
      </c>
      <c r="E16" s="17">
        <v>2</v>
      </c>
      <c r="F16" s="17">
        <v>2</v>
      </c>
      <c r="G16" s="17">
        <v>2</v>
      </c>
      <c r="H16" s="17">
        <v>2</v>
      </c>
      <c r="I16" s="17">
        <v>-1</v>
      </c>
      <c r="J16" s="17">
        <v>2</v>
      </c>
      <c r="K16" s="17">
        <v>1</v>
      </c>
      <c r="L16" s="17">
        <v>2</v>
      </c>
      <c r="M16" s="17">
        <v>2</v>
      </c>
      <c r="N16" s="17">
        <v>2</v>
      </c>
      <c r="O16" s="17">
        <v>1.5</v>
      </c>
      <c r="P16" s="17">
        <v>2</v>
      </c>
      <c r="Q16" s="17">
        <v>2</v>
      </c>
      <c r="R16" s="17">
        <v>2</v>
      </c>
      <c r="S16" s="17">
        <v>2</v>
      </c>
      <c r="T16" s="17">
        <v>2.5</v>
      </c>
      <c r="U16" s="17">
        <v>1.5</v>
      </c>
      <c r="V16" s="17">
        <v>2</v>
      </c>
      <c r="W16" s="85">
        <v>2</v>
      </c>
      <c r="X16" s="34">
        <v>0</v>
      </c>
      <c r="Y16" s="17">
        <v>1.5</v>
      </c>
      <c r="Z16" s="17">
        <v>2</v>
      </c>
      <c r="AA16" s="17">
        <v>2</v>
      </c>
      <c r="AB16" s="17">
        <v>1.5</v>
      </c>
      <c r="AC16" s="17">
        <v>-0.5</v>
      </c>
      <c r="AD16" s="17">
        <v>2</v>
      </c>
      <c r="AE16" s="17">
        <v>2</v>
      </c>
      <c r="AF16" s="17">
        <v>1.5</v>
      </c>
      <c r="AG16" s="17">
        <v>1.5</v>
      </c>
      <c r="AH16" s="17">
        <v>1.5</v>
      </c>
      <c r="AI16" s="17">
        <v>2</v>
      </c>
      <c r="AJ16" s="17">
        <v>2</v>
      </c>
      <c r="AK16" s="17">
        <v>2</v>
      </c>
      <c r="AL16" s="17">
        <v>2.5</v>
      </c>
      <c r="AM16" s="17">
        <v>2</v>
      </c>
      <c r="AN16" s="17">
        <v>2</v>
      </c>
      <c r="AO16" s="17">
        <v>0.5</v>
      </c>
      <c r="AP16" s="17">
        <v>2</v>
      </c>
      <c r="AQ16" s="85">
        <v>2</v>
      </c>
    </row>
    <row r="17" spans="1:43" x14ac:dyDescent="0.2">
      <c r="A17" s="34">
        <f t="shared" si="0"/>
        <v>1.6730769230769231</v>
      </c>
      <c r="B17" s="17">
        <v>46</v>
      </c>
      <c r="C17" s="17">
        <v>12</v>
      </c>
      <c r="D17" s="34">
        <v>1</v>
      </c>
      <c r="E17" s="17">
        <v>1</v>
      </c>
      <c r="F17" s="17">
        <v>1.5</v>
      </c>
      <c r="G17" s="17">
        <v>1.5</v>
      </c>
      <c r="H17" s="17">
        <v>2</v>
      </c>
      <c r="I17" s="17">
        <v>-1</v>
      </c>
      <c r="J17" s="17">
        <v>2</v>
      </c>
      <c r="K17" s="17">
        <v>2</v>
      </c>
      <c r="L17" s="17">
        <v>1</v>
      </c>
      <c r="M17" s="17">
        <v>2</v>
      </c>
      <c r="N17" s="17">
        <v>2</v>
      </c>
      <c r="O17" s="17">
        <v>2</v>
      </c>
      <c r="P17" s="17">
        <v>2</v>
      </c>
      <c r="Q17" s="17">
        <v>2</v>
      </c>
      <c r="R17" s="17">
        <v>3</v>
      </c>
      <c r="S17" s="17">
        <v>2</v>
      </c>
      <c r="T17" s="17">
        <v>1.5</v>
      </c>
      <c r="U17" s="17">
        <v>1.5</v>
      </c>
      <c r="V17" s="17">
        <v>2</v>
      </c>
      <c r="W17" s="85">
        <v>2</v>
      </c>
      <c r="X17" s="34">
        <v>1.5</v>
      </c>
      <c r="Y17" s="17">
        <v>2</v>
      </c>
      <c r="Z17" s="17">
        <v>2</v>
      </c>
      <c r="AA17" s="17">
        <v>2</v>
      </c>
      <c r="AB17" s="17">
        <v>2</v>
      </c>
      <c r="AC17" s="17">
        <v>0</v>
      </c>
      <c r="AD17" s="17">
        <v>2</v>
      </c>
      <c r="AE17" s="17">
        <v>2</v>
      </c>
      <c r="AF17" s="17">
        <v>1.5</v>
      </c>
      <c r="AG17" s="17">
        <v>2</v>
      </c>
      <c r="AH17" s="17">
        <v>2</v>
      </c>
      <c r="AI17" s="17">
        <v>2</v>
      </c>
      <c r="AJ17" s="17">
        <v>2</v>
      </c>
      <c r="AK17" s="17">
        <v>2</v>
      </c>
      <c r="AL17" s="17">
        <v>2</v>
      </c>
      <c r="AM17" s="17">
        <v>2</v>
      </c>
      <c r="AN17" s="17">
        <v>2</v>
      </c>
      <c r="AO17" s="17">
        <v>2</v>
      </c>
      <c r="AP17" s="17">
        <v>1.5</v>
      </c>
      <c r="AQ17" s="85">
        <v>2</v>
      </c>
    </row>
    <row r="18" spans="1:43" x14ac:dyDescent="0.2">
      <c r="A18" s="34">
        <f t="shared" si="0"/>
        <v>0.78846153846153844</v>
      </c>
      <c r="B18" s="17">
        <v>47</v>
      </c>
      <c r="C18" s="17">
        <v>13</v>
      </c>
      <c r="D18" s="34">
        <v>-1.5</v>
      </c>
      <c r="E18" s="17">
        <v>0</v>
      </c>
      <c r="F18" s="17">
        <v>-0.5</v>
      </c>
      <c r="G18" s="17">
        <v>1.5</v>
      </c>
      <c r="H18" s="17">
        <v>0.5</v>
      </c>
      <c r="I18" s="17">
        <v>-1.5</v>
      </c>
      <c r="J18" s="17">
        <v>1.5</v>
      </c>
      <c r="K18" s="17">
        <v>2</v>
      </c>
      <c r="L18" s="17">
        <v>1.5</v>
      </c>
      <c r="M18" s="17">
        <v>0.5</v>
      </c>
      <c r="N18" s="17">
        <v>2.5</v>
      </c>
      <c r="O18" s="17">
        <v>1.5</v>
      </c>
      <c r="P18" s="17">
        <v>1.5</v>
      </c>
      <c r="Q18" s="17">
        <v>0</v>
      </c>
      <c r="R18" s="17">
        <v>2</v>
      </c>
      <c r="S18" s="17">
        <v>1</v>
      </c>
      <c r="T18" s="17">
        <v>1</v>
      </c>
      <c r="U18" s="17">
        <v>1.5</v>
      </c>
      <c r="V18" s="17">
        <v>1.5</v>
      </c>
      <c r="W18" s="85">
        <v>1</v>
      </c>
      <c r="X18" s="34">
        <v>-1.5</v>
      </c>
      <c r="Y18" s="17">
        <v>1</v>
      </c>
      <c r="Z18" s="17">
        <v>0</v>
      </c>
      <c r="AA18" s="17">
        <v>1.5</v>
      </c>
      <c r="AB18" s="17">
        <v>1</v>
      </c>
      <c r="AC18" s="17">
        <v>-0.5</v>
      </c>
      <c r="AD18" s="17">
        <v>0</v>
      </c>
      <c r="AE18" s="17">
        <v>1</v>
      </c>
      <c r="AF18" s="17">
        <v>1.5</v>
      </c>
      <c r="AG18" s="17">
        <v>0.5</v>
      </c>
      <c r="AH18" s="17">
        <v>2</v>
      </c>
      <c r="AI18" s="17">
        <v>1.5</v>
      </c>
      <c r="AJ18" s="17">
        <v>0.5</v>
      </c>
      <c r="AK18" s="17">
        <v>-1</v>
      </c>
      <c r="AL18" s="17">
        <v>3</v>
      </c>
      <c r="AM18" s="17">
        <v>0.5</v>
      </c>
      <c r="AN18" s="17">
        <v>1.5</v>
      </c>
      <c r="AO18" s="17">
        <v>0.5</v>
      </c>
      <c r="AP18" s="17">
        <v>2.5</v>
      </c>
      <c r="AQ18" s="85">
        <v>0</v>
      </c>
    </row>
    <row r="19" spans="1:43" x14ac:dyDescent="0.2">
      <c r="A19" s="34">
        <f t="shared" si="0"/>
        <v>2.4615384615384617</v>
      </c>
      <c r="B19" s="17">
        <v>50</v>
      </c>
      <c r="C19" s="17">
        <v>14</v>
      </c>
      <c r="D19" s="34">
        <v>2.5</v>
      </c>
      <c r="E19" s="17">
        <v>1.5</v>
      </c>
      <c r="F19" s="17">
        <v>2.5</v>
      </c>
      <c r="G19" s="17">
        <v>3</v>
      </c>
      <c r="H19" s="17">
        <v>3</v>
      </c>
      <c r="I19" s="17">
        <v>1</v>
      </c>
      <c r="J19" s="17">
        <v>3</v>
      </c>
      <c r="K19" s="17">
        <v>3</v>
      </c>
      <c r="L19" s="17">
        <v>2</v>
      </c>
      <c r="M19" s="17">
        <v>2.5</v>
      </c>
      <c r="N19" s="17">
        <v>3</v>
      </c>
      <c r="O19" s="17">
        <v>3</v>
      </c>
      <c r="P19" s="17">
        <v>3</v>
      </c>
      <c r="Q19" s="17">
        <v>2</v>
      </c>
      <c r="R19" s="17">
        <v>3</v>
      </c>
      <c r="S19" s="17">
        <v>2.5</v>
      </c>
      <c r="T19" s="17">
        <v>2</v>
      </c>
      <c r="U19" s="17">
        <v>2</v>
      </c>
      <c r="V19" s="17">
        <v>3</v>
      </c>
      <c r="W19" s="85">
        <v>3</v>
      </c>
      <c r="X19" s="34">
        <v>2.5</v>
      </c>
      <c r="Y19" s="17">
        <v>2.5</v>
      </c>
      <c r="Z19" s="17">
        <v>1.5</v>
      </c>
      <c r="AA19" s="17">
        <v>3</v>
      </c>
      <c r="AB19" s="17">
        <v>3</v>
      </c>
      <c r="AC19" s="17">
        <v>1.5</v>
      </c>
      <c r="AD19" s="17">
        <v>2</v>
      </c>
      <c r="AE19" s="17">
        <v>3</v>
      </c>
      <c r="AF19" s="17">
        <v>1.5</v>
      </c>
      <c r="AG19" s="17">
        <v>2</v>
      </c>
      <c r="AH19" s="17">
        <v>3</v>
      </c>
      <c r="AI19" s="17">
        <v>3</v>
      </c>
      <c r="AJ19" s="17">
        <v>2</v>
      </c>
      <c r="AK19" s="17">
        <v>2</v>
      </c>
      <c r="AL19" s="17">
        <v>2.5</v>
      </c>
      <c r="AM19" s="17">
        <v>3</v>
      </c>
      <c r="AN19" s="17">
        <v>2</v>
      </c>
      <c r="AO19" s="17">
        <v>0.5</v>
      </c>
      <c r="AP19" s="17">
        <v>2</v>
      </c>
      <c r="AQ19" s="85">
        <v>2.5</v>
      </c>
    </row>
    <row r="20" spans="1:43" x14ac:dyDescent="0.2">
      <c r="A20" s="34">
        <f t="shared" si="0"/>
        <v>2.3269230769230771</v>
      </c>
      <c r="B20" s="17">
        <v>52</v>
      </c>
      <c r="C20" s="17">
        <v>15</v>
      </c>
      <c r="D20" s="34">
        <v>1</v>
      </c>
      <c r="E20" s="17">
        <v>2</v>
      </c>
      <c r="F20" s="17">
        <v>2.5</v>
      </c>
      <c r="G20" s="17">
        <v>2.5</v>
      </c>
      <c r="H20" s="17">
        <v>3</v>
      </c>
      <c r="I20" s="17">
        <v>2</v>
      </c>
      <c r="J20" s="17">
        <v>3</v>
      </c>
      <c r="K20" s="17">
        <v>3</v>
      </c>
      <c r="L20" s="17">
        <v>1</v>
      </c>
      <c r="M20" s="17">
        <v>2</v>
      </c>
      <c r="N20" s="17">
        <v>2.5</v>
      </c>
      <c r="O20" s="17">
        <v>3</v>
      </c>
      <c r="P20" s="17">
        <v>2.5</v>
      </c>
      <c r="Q20" s="17">
        <v>3</v>
      </c>
      <c r="R20" s="17">
        <v>2.5</v>
      </c>
      <c r="S20" s="17">
        <v>3</v>
      </c>
      <c r="T20" s="17">
        <v>3</v>
      </c>
      <c r="U20" s="17">
        <v>2.5</v>
      </c>
      <c r="V20" s="17">
        <v>2</v>
      </c>
      <c r="W20" s="85">
        <v>3</v>
      </c>
      <c r="X20" s="34">
        <v>0.5</v>
      </c>
      <c r="Y20" s="17">
        <v>1.5</v>
      </c>
      <c r="Z20" s="17">
        <v>2</v>
      </c>
      <c r="AA20" s="17">
        <v>3</v>
      </c>
      <c r="AB20" s="17">
        <v>2</v>
      </c>
      <c r="AC20" s="17">
        <v>2</v>
      </c>
      <c r="AD20" s="17">
        <v>1.5</v>
      </c>
      <c r="AE20" s="17">
        <v>3</v>
      </c>
      <c r="AF20" s="17">
        <v>1</v>
      </c>
      <c r="AG20" s="17">
        <v>2.5</v>
      </c>
      <c r="AH20" s="17">
        <v>2.5</v>
      </c>
      <c r="AI20" s="17">
        <v>3</v>
      </c>
      <c r="AJ20" s="17">
        <v>2.5</v>
      </c>
      <c r="AK20" s="17">
        <v>1.5</v>
      </c>
      <c r="AL20" s="17">
        <v>2.5</v>
      </c>
      <c r="AM20" s="17">
        <v>2.5</v>
      </c>
      <c r="AN20" s="17">
        <v>2.5</v>
      </c>
      <c r="AO20" s="17">
        <v>3</v>
      </c>
      <c r="AP20" s="17">
        <v>1</v>
      </c>
      <c r="AQ20" s="85">
        <v>3</v>
      </c>
    </row>
    <row r="21" spans="1:43" x14ac:dyDescent="0.2">
      <c r="A21" s="34">
        <f t="shared" si="0"/>
        <v>2.2884615384615383</v>
      </c>
      <c r="B21" s="17">
        <v>54</v>
      </c>
      <c r="C21" s="17">
        <v>16</v>
      </c>
      <c r="D21" s="34">
        <v>2</v>
      </c>
      <c r="E21" s="17">
        <v>2.5</v>
      </c>
      <c r="F21" s="17">
        <v>2.5</v>
      </c>
      <c r="G21" s="17">
        <v>2</v>
      </c>
      <c r="H21" s="17">
        <v>3</v>
      </c>
      <c r="I21" s="17">
        <v>2</v>
      </c>
      <c r="J21" s="17">
        <v>2.5</v>
      </c>
      <c r="K21" s="17">
        <v>2</v>
      </c>
      <c r="L21" s="17">
        <v>2</v>
      </c>
      <c r="M21" s="17">
        <v>1</v>
      </c>
      <c r="N21" s="17">
        <v>2</v>
      </c>
      <c r="O21" s="17">
        <v>2</v>
      </c>
      <c r="P21" s="17">
        <v>2</v>
      </c>
      <c r="Q21" s="17">
        <v>2.5</v>
      </c>
      <c r="R21" s="17">
        <v>3</v>
      </c>
      <c r="S21" s="17">
        <v>3</v>
      </c>
      <c r="T21" s="17">
        <v>2.5</v>
      </c>
      <c r="U21" s="17">
        <v>2</v>
      </c>
      <c r="V21" s="17">
        <v>1.5</v>
      </c>
      <c r="W21" s="85">
        <v>2.5</v>
      </c>
      <c r="X21" s="34">
        <v>2.5</v>
      </c>
      <c r="Y21" s="17">
        <v>3</v>
      </c>
      <c r="Z21" s="17">
        <v>2</v>
      </c>
      <c r="AA21" s="17">
        <v>2.5</v>
      </c>
      <c r="AB21" s="17">
        <v>3</v>
      </c>
      <c r="AC21" s="17">
        <v>2</v>
      </c>
      <c r="AD21" s="17">
        <v>2</v>
      </c>
      <c r="AE21" s="17">
        <v>1.5</v>
      </c>
      <c r="AF21" s="17">
        <v>1</v>
      </c>
      <c r="AG21" s="17">
        <v>1.5</v>
      </c>
      <c r="AH21" s="17">
        <v>1</v>
      </c>
      <c r="AI21" s="17">
        <v>2.5</v>
      </c>
      <c r="AJ21" s="17">
        <v>1.5</v>
      </c>
      <c r="AK21" s="17">
        <v>3</v>
      </c>
      <c r="AL21" s="17">
        <v>3</v>
      </c>
      <c r="AM21" s="17">
        <v>2.5</v>
      </c>
      <c r="AN21" s="17">
        <v>2.5</v>
      </c>
      <c r="AO21" s="17">
        <v>2</v>
      </c>
      <c r="AP21" s="17">
        <v>1</v>
      </c>
      <c r="AQ21" s="85">
        <v>3</v>
      </c>
    </row>
    <row r="22" spans="1:43" x14ac:dyDescent="0.2">
      <c r="A22" s="34">
        <f t="shared" si="0"/>
        <v>0.96153846153846156</v>
      </c>
      <c r="B22" s="17">
        <v>56</v>
      </c>
      <c r="C22" s="17">
        <v>17</v>
      </c>
      <c r="D22" s="34">
        <v>1.5</v>
      </c>
      <c r="E22" s="17">
        <v>2</v>
      </c>
      <c r="F22" s="17">
        <v>1</v>
      </c>
      <c r="G22" s="17">
        <v>1.5</v>
      </c>
      <c r="H22" s="17">
        <v>1.5</v>
      </c>
      <c r="I22" s="17">
        <v>0.5</v>
      </c>
      <c r="J22" s="17">
        <v>1.5</v>
      </c>
      <c r="K22" s="17">
        <v>1</v>
      </c>
      <c r="L22" s="17">
        <v>0</v>
      </c>
      <c r="M22" s="17">
        <v>1</v>
      </c>
      <c r="N22" s="17">
        <v>0.5</v>
      </c>
      <c r="O22" s="17">
        <v>1</v>
      </c>
      <c r="P22" s="17">
        <v>1</v>
      </c>
      <c r="Q22" s="17">
        <v>1</v>
      </c>
      <c r="R22" s="17">
        <v>1.5</v>
      </c>
      <c r="S22" s="17">
        <v>1</v>
      </c>
      <c r="T22" s="17">
        <v>1.5</v>
      </c>
      <c r="U22" s="17">
        <v>1</v>
      </c>
      <c r="V22" s="17">
        <v>1</v>
      </c>
      <c r="W22" s="85">
        <v>0.5</v>
      </c>
      <c r="X22" s="34">
        <v>0</v>
      </c>
      <c r="Y22" s="17">
        <v>0</v>
      </c>
      <c r="Z22" s="17">
        <v>0.5</v>
      </c>
      <c r="AA22" s="17">
        <v>1.5</v>
      </c>
      <c r="AB22" s="17">
        <v>0.5</v>
      </c>
      <c r="AC22" s="17">
        <v>0.5</v>
      </c>
      <c r="AD22" s="17">
        <v>2</v>
      </c>
      <c r="AE22" s="17">
        <v>0</v>
      </c>
      <c r="AF22" s="17">
        <v>-1</v>
      </c>
      <c r="AG22" s="17">
        <v>1</v>
      </c>
      <c r="AH22" s="17">
        <v>0.5</v>
      </c>
      <c r="AI22" s="17">
        <v>1</v>
      </c>
      <c r="AJ22" s="17">
        <v>1</v>
      </c>
      <c r="AK22" s="17">
        <v>-0.5</v>
      </c>
      <c r="AL22" s="17">
        <v>2</v>
      </c>
      <c r="AM22" s="17">
        <v>-0.5</v>
      </c>
      <c r="AN22" s="17">
        <v>1.5</v>
      </c>
      <c r="AO22" s="17">
        <v>0.5</v>
      </c>
      <c r="AP22" s="17">
        <v>2</v>
      </c>
      <c r="AQ22" s="85">
        <v>1</v>
      </c>
    </row>
    <row r="23" spans="1:43" x14ac:dyDescent="0.2">
      <c r="A23" s="34">
        <f t="shared" si="0"/>
        <v>0.63461538461538458</v>
      </c>
      <c r="B23" s="17">
        <v>58</v>
      </c>
      <c r="C23" s="17">
        <v>18</v>
      </c>
      <c r="D23" s="34">
        <v>0</v>
      </c>
      <c r="E23" s="17">
        <v>1.5</v>
      </c>
      <c r="F23" s="17">
        <v>1</v>
      </c>
      <c r="G23" s="17">
        <v>1</v>
      </c>
      <c r="H23" s="17">
        <v>1.5</v>
      </c>
      <c r="I23" s="17">
        <v>-3</v>
      </c>
      <c r="J23" s="17">
        <v>1.5</v>
      </c>
      <c r="K23" s="17">
        <v>1.5</v>
      </c>
      <c r="L23" s="17">
        <v>1.5</v>
      </c>
      <c r="M23" s="17">
        <v>0.5</v>
      </c>
      <c r="N23" s="17">
        <v>-2.5</v>
      </c>
      <c r="O23" s="17">
        <v>1</v>
      </c>
      <c r="P23" s="17">
        <v>0</v>
      </c>
      <c r="Q23" s="17">
        <v>1.5</v>
      </c>
      <c r="R23" s="17">
        <v>1</v>
      </c>
      <c r="S23" s="17">
        <v>1</v>
      </c>
      <c r="T23" s="17">
        <v>1.5</v>
      </c>
      <c r="U23" s="17">
        <v>0.5</v>
      </c>
      <c r="V23" s="17">
        <v>1</v>
      </c>
      <c r="W23" s="85">
        <v>1</v>
      </c>
      <c r="X23" s="34">
        <v>-0.5</v>
      </c>
      <c r="Y23" s="17">
        <v>2</v>
      </c>
      <c r="Z23" s="17">
        <v>1</v>
      </c>
      <c r="AA23" s="17">
        <v>1</v>
      </c>
      <c r="AB23" s="17">
        <v>0</v>
      </c>
      <c r="AC23" s="17">
        <v>-1.5</v>
      </c>
      <c r="AD23" s="17">
        <v>1.5</v>
      </c>
      <c r="AE23" s="17">
        <v>0.5</v>
      </c>
      <c r="AF23" s="17">
        <v>1</v>
      </c>
      <c r="AG23" s="17">
        <v>1</v>
      </c>
      <c r="AH23" s="17">
        <v>-0.5</v>
      </c>
      <c r="AI23" s="17">
        <v>1</v>
      </c>
      <c r="AJ23" s="17">
        <v>-0.5</v>
      </c>
      <c r="AK23" s="17">
        <v>-0.5</v>
      </c>
      <c r="AL23" s="17">
        <v>1</v>
      </c>
      <c r="AM23" s="17">
        <v>1</v>
      </c>
      <c r="AN23" s="17">
        <v>1</v>
      </c>
      <c r="AO23" s="17">
        <v>1</v>
      </c>
      <c r="AP23" s="17">
        <v>-1.5</v>
      </c>
      <c r="AQ23" s="85">
        <v>2</v>
      </c>
    </row>
    <row r="24" spans="1:43" x14ac:dyDescent="0.2">
      <c r="A24" s="34">
        <f t="shared" si="0"/>
        <v>2.3269230769230771</v>
      </c>
      <c r="B24" s="17">
        <v>59</v>
      </c>
      <c r="C24" s="17">
        <v>19</v>
      </c>
      <c r="D24" s="34">
        <v>1</v>
      </c>
      <c r="E24" s="17">
        <v>3</v>
      </c>
      <c r="F24" s="17">
        <v>2.5</v>
      </c>
      <c r="G24" s="17">
        <v>2.5</v>
      </c>
      <c r="H24" s="17">
        <v>3</v>
      </c>
      <c r="I24" s="17">
        <v>0.5</v>
      </c>
      <c r="J24" s="17">
        <v>2</v>
      </c>
      <c r="K24" s="17">
        <v>3</v>
      </c>
      <c r="L24" s="17">
        <v>2</v>
      </c>
      <c r="M24" s="17">
        <v>1.5</v>
      </c>
      <c r="N24" s="17">
        <v>3</v>
      </c>
      <c r="O24" s="17">
        <v>3</v>
      </c>
      <c r="P24" s="17">
        <v>2.5</v>
      </c>
      <c r="Q24" s="17">
        <v>2</v>
      </c>
      <c r="R24" s="17">
        <v>2.5</v>
      </c>
      <c r="S24" s="17">
        <v>2.5</v>
      </c>
      <c r="T24" s="17">
        <v>2.5</v>
      </c>
      <c r="U24" s="17">
        <v>2.5</v>
      </c>
      <c r="V24" s="17">
        <v>2.5</v>
      </c>
      <c r="W24" s="85">
        <v>2.5</v>
      </c>
      <c r="X24" s="34">
        <v>1.5</v>
      </c>
      <c r="Y24" s="17">
        <v>2.5</v>
      </c>
      <c r="Z24" s="17">
        <v>2</v>
      </c>
      <c r="AA24" s="17">
        <v>3</v>
      </c>
      <c r="AB24" s="17">
        <v>3</v>
      </c>
      <c r="AC24" s="17">
        <v>1.5</v>
      </c>
      <c r="AD24" s="17">
        <v>1.5</v>
      </c>
      <c r="AE24" s="17">
        <v>3</v>
      </c>
      <c r="AF24" s="17">
        <v>1.5</v>
      </c>
      <c r="AG24" s="17">
        <v>2</v>
      </c>
      <c r="AH24" s="17">
        <v>2</v>
      </c>
      <c r="AI24" s="17">
        <v>3</v>
      </c>
      <c r="AJ24" s="17">
        <v>2</v>
      </c>
      <c r="AK24" s="17">
        <v>2.5</v>
      </c>
      <c r="AL24" s="17">
        <v>2.5</v>
      </c>
      <c r="AM24" s="17">
        <v>3</v>
      </c>
      <c r="AN24" s="17">
        <v>2.5</v>
      </c>
      <c r="AO24" s="17">
        <v>2</v>
      </c>
      <c r="AP24" s="17">
        <v>3</v>
      </c>
      <c r="AQ24" s="85">
        <v>3</v>
      </c>
    </row>
    <row r="25" spans="1:43" x14ac:dyDescent="0.2">
      <c r="A25" s="34">
        <f t="shared" si="0"/>
        <v>1.1923076923076923</v>
      </c>
      <c r="B25" s="17">
        <v>61</v>
      </c>
      <c r="C25" s="17">
        <v>20</v>
      </c>
      <c r="D25" s="34">
        <v>-1</v>
      </c>
      <c r="E25" s="17">
        <v>1</v>
      </c>
      <c r="F25" s="17">
        <v>1</v>
      </c>
      <c r="G25" s="17">
        <v>2</v>
      </c>
      <c r="H25" s="17">
        <v>1.5</v>
      </c>
      <c r="I25" s="17">
        <v>1</v>
      </c>
      <c r="J25" s="17">
        <v>2</v>
      </c>
      <c r="K25" s="17">
        <v>2</v>
      </c>
      <c r="L25" s="17">
        <v>0</v>
      </c>
      <c r="M25" s="17">
        <v>1.5</v>
      </c>
      <c r="N25" s="17">
        <v>1.5</v>
      </c>
      <c r="O25" s="17">
        <v>1</v>
      </c>
      <c r="P25" s="17">
        <v>1</v>
      </c>
      <c r="Q25" s="17">
        <v>-0.5</v>
      </c>
      <c r="R25" s="17">
        <v>1</v>
      </c>
      <c r="S25" s="17">
        <v>1</v>
      </c>
      <c r="T25" s="17">
        <v>1.5</v>
      </c>
      <c r="U25" s="17">
        <v>0</v>
      </c>
      <c r="V25" s="17">
        <v>1.5</v>
      </c>
      <c r="W25" s="85">
        <v>1.5</v>
      </c>
      <c r="X25" s="34">
        <v>1</v>
      </c>
      <c r="Y25" s="17">
        <v>1</v>
      </c>
      <c r="Z25" s="17">
        <v>1</v>
      </c>
      <c r="AA25" s="17">
        <v>2.5</v>
      </c>
      <c r="AB25" s="17">
        <v>1.5</v>
      </c>
      <c r="AC25" s="17">
        <v>1</v>
      </c>
      <c r="AD25" s="17">
        <v>1.5</v>
      </c>
      <c r="AE25" s="17">
        <v>1.5</v>
      </c>
      <c r="AF25" s="17">
        <v>0</v>
      </c>
      <c r="AG25" s="17">
        <v>0</v>
      </c>
      <c r="AH25" s="17">
        <v>1.5</v>
      </c>
      <c r="AI25" s="17">
        <v>0.5</v>
      </c>
      <c r="AJ25" s="17">
        <v>0.5</v>
      </c>
      <c r="AK25" s="17">
        <v>1</v>
      </c>
      <c r="AL25" s="17">
        <v>0</v>
      </c>
      <c r="AM25" s="17">
        <v>1.5</v>
      </c>
      <c r="AN25" s="17">
        <v>1.5</v>
      </c>
      <c r="AO25" s="17">
        <v>-0.5</v>
      </c>
      <c r="AP25" s="17">
        <v>0</v>
      </c>
      <c r="AQ25" s="85">
        <v>0.5</v>
      </c>
    </row>
    <row r="26" spans="1:43" x14ac:dyDescent="0.2">
      <c r="A26" s="34">
        <f t="shared" si="0"/>
        <v>2.0961538461538463</v>
      </c>
      <c r="B26" s="17">
        <v>63</v>
      </c>
      <c r="C26" s="17">
        <v>21</v>
      </c>
      <c r="D26" s="34">
        <v>0.5</v>
      </c>
      <c r="E26" s="17">
        <v>2</v>
      </c>
      <c r="F26" s="17">
        <v>0.5</v>
      </c>
      <c r="G26" s="17">
        <v>2</v>
      </c>
      <c r="H26" s="17">
        <v>2.5</v>
      </c>
      <c r="I26" s="17">
        <v>0.5</v>
      </c>
      <c r="J26" s="17">
        <v>3</v>
      </c>
      <c r="K26" s="17">
        <v>2</v>
      </c>
      <c r="L26" s="17">
        <v>1</v>
      </c>
      <c r="M26" s="17">
        <v>2.5</v>
      </c>
      <c r="N26" s="17">
        <v>2</v>
      </c>
      <c r="O26" s="17">
        <v>2</v>
      </c>
      <c r="P26" s="17">
        <v>2</v>
      </c>
      <c r="Q26" s="17">
        <v>2</v>
      </c>
      <c r="R26" s="17">
        <v>3</v>
      </c>
      <c r="S26" s="17">
        <v>2.5</v>
      </c>
      <c r="T26" s="17">
        <v>2.5</v>
      </c>
      <c r="U26" s="17">
        <v>2.5</v>
      </c>
      <c r="V26" s="17">
        <v>3</v>
      </c>
      <c r="W26" s="85">
        <v>2.5</v>
      </c>
      <c r="X26" s="34">
        <v>1</v>
      </c>
      <c r="Y26" s="17">
        <v>2.5</v>
      </c>
      <c r="Z26" s="17">
        <v>1</v>
      </c>
      <c r="AA26" s="17">
        <v>3</v>
      </c>
      <c r="AB26" s="17">
        <v>3</v>
      </c>
      <c r="AC26" s="17">
        <v>1</v>
      </c>
      <c r="AD26" s="17">
        <v>3</v>
      </c>
      <c r="AE26" s="17">
        <v>3</v>
      </c>
      <c r="AF26" s="17">
        <v>0</v>
      </c>
      <c r="AG26" s="17">
        <v>2</v>
      </c>
      <c r="AH26" s="17">
        <v>2.5</v>
      </c>
      <c r="AI26" s="17">
        <v>3</v>
      </c>
      <c r="AJ26" s="17">
        <v>2</v>
      </c>
      <c r="AK26" s="17">
        <v>3</v>
      </c>
      <c r="AL26" s="17">
        <v>3</v>
      </c>
      <c r="AM26" s="17">
        <v>3</v>
      </c>
      <c r="AN26" s="17">
        <v>3</v>
      </c>
      <c r="AO26" s="17">
        <v>3</v>
      </c>
      <c r="AP26" s="17">
        <v>3</v>
      </c>
      <c r="AQ26" s="85">
        <v>2.5</v>
      </c>
    </row>
    <row r="27" spans="1:43" x14ac:dyDescent="0.2">
      <c r="A27" s="34">
        <f t="shared" si="0"/>
        <v>1.9423076923076923</v>
      </c>
      <c r="B27" s="17">
        <v>65</v>
      </c>
      <c r="C27" s="17">
        <v>22</v>
      </c>
      <c r="D27" s="34">
        <v>-1</v>
      </c>
      <c r="E27" s="17">
        <v>0</v>
      </c>
      <c r="F27" s="17">
        <v>1.5</v>
      </c>
      <c r="G27" s="17">
        <v>2.5</v>
      </c>
      <c r="H27" s="17">
        <v>3</v>
      </c>
      <c r="I27" s="17">
        <v>1</v>
      </c>
      <c r="J27" s="17">
        <v>3</v>
      </c>
      <c r="K27" s="17">
        <v>2</v>
      </c>
      <c r="L27" s="17">
        <v>2</v>
      </c>
      <c r="M27" s="17">
        <v>1.5</v>
      </c>
      <c r="N27" s="17">
        <v>2.5</v>
      </c>
      <c r="O27" s="17">
        <v>2.5</v>
      </c>
      <c r="P27" s="17">
        <v>2</v>
      </c>
      <c r="Q27" s="17">
        <v>0</v>
      </c>
      <c r="R27" s="17">
        <v>2.5</v>
      </c>
      <c r="S27" s="17">
        <v>2</v>
      </c>
      <c r="T27" s="17">
        <v>3</v>
      </c>
      <c r="U27" s="17">
        <v>2</v>
      </c>
      <c r="V27" s="17">
        <v>2</v>
      </c>
      <c r="W27" s="85">
        <v>2.5</v>
      </c>
      <c r="X27" s="34">
        <v>0</v>
      </c>
      <c r="Y27" s="17">
        <v>1.5</v>
      </c>
      <c r="Z27" s="17">
        <v>2</v>
      </c>
      <c r="AA27" s="17">
        <v>3</v>
      </c>
      <c r="AB27" s="17">
        <v>2.5</v>
      </c>
      <c r="AC27" s="17">
        <v>1.5</v>
      </c>
      <c r="AD27" s="17">
        <v>2.5</v>
      </c>
      <c r="AE27" s="17">
        <v>2</v>
      </c>
      <c r="AF27" s="17">
        <v>1</v>
      </c>
      <c r="AG27" s="17">
        <v>1.5</v>
      </c>
      <c r="AH27" s="17">
        <v>2</v>
      </c>
      <c r="AI27" s="17">
        <v>2</v>
      </c>
      <c r="AJ27" s="17">
        <v>2</v>
      </c>
      <c r="AK27" s="17">
        <v>2</v>
      </c>
      <c r="AL27" s="17">
        <v>3</v>
      </c>
      <c r="AM27" s="17">
        <v>2</v>
      </c>
      <c r="AN27" s="17">
        <v>3</v>
      </c>
      <c r="AO27" s="17">
        <v>2</v>
      </c>
      <c r="AP27" s="17">
        <v>1.5</v>
      </c>
      <c r="AQ27" s="85">
        <v>2</v>
      </c>
    </row>
    <row r="28" spans="1:43" x14ac:dyDescent="0.2">
      <c r="A28" s="34">
        <f t="shared" si="0"/>
        <v>1.8846153846153846</v>
      </c>
      <c r="B28" s="17">
        <v>67</v>
      </c>
      <c r="C28" s="17">
        <v>23</v>
      </c>
      <c r="D28" s="34">
        <v>2</v>
      </c>
      <c r="E28" s="17">
        <v>2</v>
      </c>
      <c r="F28" s="17">
        <v>2</v>
      </c>
      <c r="G28" s="17">
        <v>2</v>
      </c>
      <c r="H28" s="17">
        <v>2</v>
      </c>
      <c r="I28" s="17">
        <v>2</v>
      </c>
      <c r="J28" s="17">
        <v>2</v>
      </c>
      <c r="K28" s="17">
        <v>2</v>
      </c>
      <c r="L28" s="17">
        <v>2</v>
      </c>
      <c r="M28" s="17">
        <v>2</v>
      </c>
      <c r="N28" s="17">
        <v>2</v>
      </c>
      <c r="O28" s="17">
        <v>2</v>
      </c>
      <c r="P28" s="17">
        <v>2</v>
      </c>
      <c r="Q28" s="17">
        <v>2</v>
      </c>
      <c r="R28" s="17">
        <v>2</v>
      </c>
      <c r="S28" s="17">
        <v>2</v>
      </c>
      <c r="T28" s="17">
        <v>2</v>
      </c>
      <c r="U28" s="17">
        <v>2</v>
      </c>
      <c r="V28" s="17">
        <v>2</v>
      </c>
      <c r="W28" s="85">
        <v>2</v>
      </c>
      <c r="X28" s="34">
        <v>0</v>
      </c>
      <c r="Y28" s="17">
        <v>2</v>
      </c>
      <c r="Z28" s="17">
        <v>2</v>
      </c>
      <c r="AA28" s="17">
        <v>2</v>
      </c>
      <c r="AB28" s="17">
        <v>2</v>
      </c>
      <c r="AC28" s="17">
        <v>1</v>
      </c>
      <c r="AD28" s="17">
        <v>2</v>
      </c>
      <c r="AE28" s="17">
        <v>2</v>
      </c>
      <c r="AF28" s="17">
        <v>0</v>
      </c>
      <c r="AG28" s="17">
        <v>1.5</v>
      </c>
      <c r="AH28" s="17">
        <v>1.5</v>
      </c>
      <c r="AI28" s="17">
        <v>2.5</v>
      </c>
      <c r="AJ28" s="17">
        <v>1.5</v>
      </c>
      <c r="AK28" s="17">
        <v>2</v>
      </c>
      <c r="AL28" s="17">
        <v>2</v>
      </c>
      <c r="AM28" s="17">
        <v>2</v>
      </c>
      <c r="AN28" s="17">
        <v>2</v>
      </c>
      <c r="AO28" s="17">
        <v>2.5</v>
      </c>
      <c r="AP28" s="17">
        <v>2</v>
      </c>
      <c r="AQ28" s="85">
        <v>2</v>
      </c>
    </row>
    <row r="29" spans="1:43" x14ac:dyDescent="0.2">
      <c r="A29" s="34">
        <f t="shared" si="0"/>
        <v>1.2884615384615385</v>
      </c>
      <c r="B29" s="17">
        <v>69</v>
      </c>
      <c r="C29" s="17">
        <v>24</v>
      </c>
      <c r="D29" s="34">
        <v>0.5</v>
      </c>
      <c r="E29" s="17">
        <v>2</v>
      </c>
      <c r="F29" s="17">
        <v>3</v>
      </c>
      <c r="G29" s="17">
        <v>1</v>
      </c>
      <c r="H29" s="17">
        <v>2</v>
      </c>
      <c r="I29" s="17">
        <v>-1.5</v>
      </c>
      <c r="J29" s="17">
        <v>1</v>
      </c>
      <c r="K29" s="17">
        <v>2</v>
      </c>
      <c r="L29" s="17">
        <v>1</v>
      </c>
      <c r="M29" s="17">
        <v>1</v>
      </c>
      <c r="N29" s="17">
        <v>2</v>
      </c>
      <c r="O29" s="17">
        <v>1</v>
      </c>
      <c r="P29" s="17">
        <v>1</v>
      </c>
      <c r="Q29" s="17">
        <v>0.5</v>
      </c>
      <c r="R29" s="17">
        <v>2</v>
      </c>
      <c r="S29" s="17">
        <v>0.5</v>
      </c>
      <c r="T29" s="17">
        <v>2</v>
      </c>
      <c r="U29" s="17">
        <v>2</v>
      </c>
      <c r="V29" s="17">
        <v>2.5</v>
      </c>
      <c r="W29" s="85">
        <v>1.5</v>
      </c>
      <c r="X29" s="34">
        <v>-1</v>
      </c>
      <c r="Y29" s="17">
        <v>1.5</v>
      </c>
      <c r="Z29" s="17">
        <v>2</v>
      </c>
      <c r="AA29" s="17">
        <v>2.5</v>
      </c>
      <c r="AB29" s="17">
        <v>2.5</v>
      </c>
      <c r="AC29" s="17">
        <v>-2.5</v>
      </c>
      <c r="AD29" s="17">
        <v>2</v>
      </c>
      <c r="AE29" s="17">
        <v>2</v>
      </c>
      <c r="AF29" s="17">
        <v>0</v>
      </c>
      <c r="AG29" s="17">
        <v>1.5</v>
      </c>
      <c r="AH29" s="17">
        <v>2.5</v>
      </c>
      <c r="AI29" s="17">
        <v>3</v>
      </c>
      <c r="AJ29" s="17">
        <v>1.5</v>
      </c>
      <c r="AK29" s="17">
        <v>1.5</v>
      </c>
      <c r="AL29" s="17">
        <v>2</v>
      </c>
      <c r="AM29" s="17">
        <v>2</v>
      </c>
      <c r="AN29" s="17">
        <v>3</v>
      </c>
      <c r="AO29" s="17">
        <v>1.5</v>
      </c>
      <c r="AP29" s="17">
        <v>1.5</v>
      </c>
      <c r="AQ29" s="85">
        <v>1.5</v>
      </c>
    </row>
    <row r="30" spans="1:43" x14ac:dyDescent="0.2">
      <c r="A30" s="34">
        <f t="shared" si="0"/>
        <v>2.9807692307692308</v>
      </c>
      <c r="B30" s="17">
        <v>6</v>
      </c>
      <c r="C30" s="17">
        <v>25</v>
      </c>
      <c r="D30" s="34">
        <v>3</v>
      </c>
      <c r="E30" s="17">
        <v>3</v>
      </c>
      <c r="F30" s="17">
        <v>3</v>
      </c>
      <c r="G30" s="17">
        <v>3</v>
      </c>
      <c r="H30" s="17">
        <v>3</v>
      </c>
      <c r="I30" s="17">
        <v>3</v>
      </c>
      <c r="J30" s="17">
        <v>3</v>
      </c>
      <c r="K30" s="17">
        <v>3</v>
      </c>
      <c r="L30" s="17">
        <v>3</v>
      </c>
      <c r="M30" s="17">
        <v>3</v>
      </c>
      <c r="N30" s="17">
        <v>3</v>
      </c>
      <c r="O30" s="17">
        <v>3</v>
      </c>
      <c r="P30" s="17">
        <v>3</v>
      </c>
      <c r="Q30" s="17">
        <v>3</v>
      </c>
      <c r="R30" s="17">
        <v>3</v>
      </c>
      <c r="S30" s="17">
        <v>3</v>
      </c>
      <c r="T30" s="17">
        <v>3</v>
      </c>
      <c r="U30" s="17">
        <v>3</v>
      </c>
      <c r="V30" s="17">
        <v>3</v>
      </c>
      <c r="W30" s="85">
        <v>3</v>
      </c>
      <c r="X30" s="34">
        <v>3</v>
      </c>
      <c r="Y30" s="17">
        <v>2.5</v>
      </c>
      <c r="Z30" s="17">
        <v>3</v>
      </c>
      <c r="AA30" s="17">
        <v>3</v>
      </c>
      <c r="AB30" s="17">
        <v>3</v>
      </c>
      <c r="AC30" s="17">
        <v>3</v>
      </c>
      <c r="AD30" s="17">
        <v>3</v>
      </c>
      <c r="AE30" s="17">
        <v>3</v>
      </c>
      <c r="AF30" s="17">
        <v>3</v>
      </c>
      <c r="AG30" s="17">
        <v>3</v>
      </c>
      <c r="AH30" s="17">
        <v>3</v>
      </c>
      <c r="AI30" s="17">
        <v>3</v>
      </c>
      <c r="AJ30" s="17">
        <v>3</v>
      </c>
      <c r="AK30" s="17">
        <v>3</v>
      </c>
      <c r="AL30" s="17">
        <v>3</v>
      </c>
      <c r="AM30" s="17">
        <v>3</v>
      </c>
      <c r="AN30" s="17">
        <v>3</v>
      </c>
      <c r="AO30" s="17">
        <v>3</v>
      </c>
      <c r="AP30" s="17">
        <v>3</v>
      </c>
      <c r="AQ30" s="85">
        <v>3</v>
      </c>
    </row>
    <row r="31" spans="1:43" x14ac:dyDescent="0.2">
      <c r="A31" s="34">
        <f t="shared" si="0"/>
        <v>1.2692307692307692</v>
      </c>
      <c r="B31" s="17">
        <v>70</v>
      </c>
      <c r="C31" s="17">
        <v>26</v>
      </c>
      <c r="D31" s="34">
        <v>-1</v>
      </c>
      <c r="E31" s="17">
        <v>2</v>
      </c>
      <c r="F31" s="17">
        <v>0.5</v>
      </c>
      <c r="G31" s="17">
        <v>2</v>
      </c>
      <c r="H31" s="17">
        <v>2</v>
      </c>
      <c r="I31" s="17">
        <v>2</v>
      </c>
      <c r="J31" s="17">
        <v>2.5</v>
      </c>
      <c r="K31" s="17">
        <v>3</v>
      </c>
      <c r="L31" s="17">
        <v>-0.5</v>
      </c>
      <c r="M31" s="17">
        <v>1</v>
      </c>
      <c r="N31" s="17">
        <v>2</v>
      </c>
      <c r="O31" s="17">
        <v>2.5</v>
      </c>
      <c r="P31" s="17">
        <v>1.5</v>
      </c>
      <c r="Q31" s="17">
        <v>1</v>
      </c>
      <c r="R31" s="17">
        <v>1.5</v>
      </c>
      <c r="S31" s="17">
        <v>-1.5</v>
      </c>
      <c r="T31" s="17">
        <v>2</v>
      </c>
      <c r="U31" s="17">
        <v>1</v>
      </c>
      <c r="V31" s="17">
        <v>2</v>
      </c>
      <c r="W31" s="85">
        <v>3</v>
      </c>
      <c r="X31" s="34">
        <v>-1</v>
      </c>
      <c r="Y31" s="17">
        <v>1</v>
      </c>
      <c r="Z31" s="17">
        <v>-2</v>
      </c>
      <c r="AA31" s="17">
        <v>2</v>
      </c>
      <c r="AB31" s="17">
        <v>2</v>
      </c>
      <c r="AC31" s="17">
        <v>-0.5</v>
      </c>
      <c r="AD31" s="17">
        <v>2</v>
      </c>
      <c r="AE31" s="17">
        <v>1.5</v>
      </c>
      <c r="AF31" s="17">
        <v>-1</v>
      </c>
      <c r="AG31" s="17">
        <v>1</v>
      </c>
      <c r="AH31" s="17">
        <v>0.5</v>
      </c>
      <c r="AI31" s="17">
        <v>2.5</v>
      </c>
      <c r="AJ31" s="17">
        <v>2</v>
      </c>
      <c r="AK31" s="17">
        <v>-2</v>
      </c>
      <c r="AL31" s="17">
        <v>1</v>
      </c>
      <c r="AM31" s="17">
        <v>-2</v>
      </c>
      <c r="AN31" s="17">
        <v>2</v>
      </c>
      <c r="AO31" s="17">
        <v>-2.5</v>
      </c>
      <c r="AP31" s="17">
        <v>2</v>
      </c>
      <c r="AQ31" s="85">
        <v>2.5</v>
      </c>
    </row>
    <row r="32" spans="1:43" x14ac:dyDescent="0.2">
      <c r="A32" s="34">
        <f t="shared" si="0"/>
        <v>1.8269230769230769</v>
      </c>
      <c r="B32" s="17">
        <v>72</v>
      </c>
      <c r="C32" s="17">
        <v>27</v>
      </c>
      <c r="D32" s="34">
        <v>1.5</v>
      </c>
      <c r="E32" s="17">
        <v>0.5</v>
      </c>
      <c r="F32" s="17">
        <v>2.5</v>
      </c>
      <c r="G32" s="17">
        <v>1.5</v>
      </c>
      <c r="H32" s="17">
        <v>3</v>
      </c>
      <c r="I32" s="17">
        <v>2.5</v>
      </c>
      <c r="J32" s="17">
        <v>1.5</v>
      </c>
      <c r="K32" s="17">
        <v>2</v>
      </c>
      <c r="L32" s="17">
        <v>0.5</v>
      </c>
      <c r="M32" s="17">
        <v>1.5</v>
      </c>
      <c r="N32" s="17">
        <v>3</v>
      </c>
      <c r="O32" s="17">
        <v>2</v>
      </c>
      <c r="P32" s="17">
        <v>3</v>
      </c>
      <c r="Q32" s="17">
        <v>1</v>
      </c>
      <c r="R32" s="17">
        <v>3</v>
      </c>
      <c r="S32" s="17">
        <v>3</v>
      </c>
      <c r="T32" s="17">
        <v>2.5</v>
      </c>
      <c r="U32" s="17">
        <v>3</v>
      </c>
      <c r="V32" s="17">
        <v>1.5</v>
      </c>
      <c r="W32" s="85">
        <v>3</v>
      </c>
      <c r="X32" s="34">
        <v>1</v>
      </c>
      <c r="Y32" s="17">
        <v>0</v>
      </c>
      <c r="Z32" s="17">
        <v>2</v>
      </c>
      <c r="AA32" s="17">
        <v>0.5</v>
      </c>
      <c r="AB32" s="17">
        <v>2.5</v>
      </c>
      <c r="AC32" s="17">
        <v>1.5</v>
      </c>
      <c r="AD32" s="17">
        <v>-0.5</v>
      </c>
      <c r="AE32" s="17">
        <v>1.5</v>
      </c>
      <c r="AF32" s="17">
        <v>0.5</v>
      </c>
      <c r="AG32" s="17">
        <v>1</v>
      </c>
      <c r="AH32" s="17">
        <v>1.5</v>
      </c>
      <c r="AI32" s="17">
        <v>2</v>
      </c>
      <c r="AJ32" s="17">
        <v>2</v>
      </c>
      <c r="AK32" s="17">
        <v>1.5</v>
      </c>
      <c r="AL32" s="17">
        <v>2</v>
      </c>
      <c r="AM32" s="17">
        <v>2</v>
      </c>
      <c r="AN32" s="17">
        <v>3</v>
      </c>
      <c r="AO32" s="17">
        <v>2.5</v>
      </c>
      <c r="AP32" s="17">
        <v>1.5</v>
      </c>
      <c r="AQ32" s="85">
        <v>2.5</v>
      </c>
    </row>
    <row r="33" spans="1:43" x14ac:dyDescent="0.2">
      <c r="A33" s="34">
        <f t="shared" si="0"/>
        <v>1.9230769230769231</v>
      </c>
      <c r="B33" s="17">
        <v>74</v>
      </c>
      <c r="C33" s="17">
        <v>28</v>
      </c>
      <c r="D33" s="34">
        <v>1</v>
      </c>
      <c r="E33" s="17">
        <v>1</v>
      </c>
      <c r="F33" s="17">
        <v>1.5</v>
      </c>
      <c r="G33" s="17">
        <v>2</v>
      </c>
      <c r="H33" s="17">
        <v>2</v>
      </c>
      <c r="I33" s="17">
        <v>1.5</v>
      </c>
      <c r="J33" s="17">
        <v>3</v>
      </c>
      <c r="K33" s="17">
        <v>2</v>
      </c>
      <c r="L33" s="17">
        <v>1.5</v>
      </c>
      <c r="M33" s="17">
        <v>2</v>
      </c>
      <c r="N33" s="17">
        <v>2</v>
      </c>
      <c r="O33" s="17">
        <v>1.5</v>
      </c>
      <c r="P33" s="17">
        <v>2</v>
      </c>
      <c r="Q33" s="17">
        <v>2</v>
      </c>
      <c r="R33" s="17">
        <v>2.5</v>
      </c>
      <c r="S33" s="17">
        <v>2</v>
      </c>
      <c r="T33" s="17">
        <v>3</v>
      </c>
      <c r="U33" s="17">
        <v>2</v>
      </c>
      <c r="V33" s="17">
        <v>2</v>
      </c>
      <c r="W33" s="85">
        <v>3</v>
      </c>
      <c r="X33" s="34">
        <v>1</v>
      </c>
      <c r="Y33" s="17">
        <v>1.5</v>
      </c>
      <c r="Z33" s="17">
        <v>1</v>
      </c>
      <c r="AA33" s="17">
        <v>2.5</v>
      </c>
      <c r="AB33" s="17">
        <v>2</v>
      </c>
      <c r="AC33" s="17">
        <v>1</v>
      </c>
      <c r="AD33" s="17">
        <v>2.5</v>
      </c>
      <c r="AE33" s="17">
        <v>2</v>
      </c>
      <c r="AF33" s="17">
        <v>-1</v>
      </c>
      <c r="AG33" s="17">
        <v>2</v>
      </c>
      <c r="AH33" s="17">
        <v>1.5</v>
      </c>
      <c r="AI33" s="17">
        <v>1.5</v>
      </c>
      <c r="AJ33" s="17">
        <v>2</v>
      </c>
      <c r="AK33" s="17">
        <v>2</v>
      </c>
      <c r="AL33" s="17">
        <v>3</v>
      </c>
      <c r="AM33" s="17">
        <v>2.5</v>
      </c>
      <c r="AN33" s="17">
        <v>3</v>
      </c>
      <c r="AO33" s="17">
        <v>2.5</v>
      </c>
      <c r="AP33" s="17">
        <v>2</v>
      </c>
      <c r="AQ33" s="85">
        <v>3</v>
      </c>
    </row>
    <row r="34" spans="1:43" x14ac:dyDescent="0.2">
      <c r="A34" s="34">
        <f t="shared" si="0"/>
        <v>2.3653846153846154</v>
      </c>
      <c r="B34" s="17">
        <v>75</v>
      </c>
      <c r="C34" s="17">
        <v>29</v>
      </c>
      <c r="D34" s="34">
        <v>0.5</v>
      </c>
      <c r="E34" s="17">
        <v>3</v>
      </c>
      <c r="F34" s="17">
        <v>2</v>
      </c>
      <c r="G34" s="17">
        <v>3</v>
      </c>
      <c r="H34" s="17">
        <v>3</v>
      </c>
      <c r="I34" s="17">
        <v>-1.5</v>
      </c>
      <c r="J34" s="17">
        <v>3</v>
      </c>
      <c r="K34" s="17">
        <v>3</v>
      </c>
      <c r="L34" s="17">
        <v>2.5</v>
      </c>
      <c r="M34" s="17">
        <v>3</v>
      </c>
      <c r="N34" s="17">
        <v>3</v>
      </c>
      <c r="O34" s="17">
        <v>3</v>
      </c>
      <c r="P34" s="17">
        <v>3</v>
      </c>
      <c r="Q34" s="17">
        <v>1.5</v>
      </c>
      <c r="R34" s="17">
        <v>3</v>
      </c>
      <c r="S34" s="17">
        <v>0.5</v>
      </c>
      <c r="T34" s="17">
        <v>3</v>
      </c>
      <c r="U34" s="17">
        <v>3</v>
      </c>
      <c r="V34" s="17">
        <v>3</v>
      </c>
      <c r="W34" s="85">
        <v>3</v>
      </c>
      <c r="X34" s="34">
        <v>0.5</v>
      </c>
      <c r="Y34" s="17">
        <v>2</v>
      </c>
      <c r="Z34" s="17">
        <v>2.5</v>
      </c>
      <c r="AA34" s="17">
        <v>3</v>
      </c>
      <c r="AB34" s="17">
        <v>3</v>
      </c>
      <c r="AC34" s="17">
        <v>1</v>
      </c>
      <c r="AD34" s="17">
        <v>2.5</v>
      </c>
      <c r="AE34" s="17">
        <v>3</v>
      </c>
      <c r="AF34" s="17">
        <v>2.5</v>
      </c>
      <c r="AG34" s="17">
        <v>2.5</v>
      </c>
      <c r="AH34" s="17">
        <v>3</v>
      </c>
      <c r="AI34" s="17">
        <v>3</v>
      </c>
      <c r="AJ34" s="17">
        <v>3</v>
      </c>
      <c r="AK34" s="17">
        <v>1.5</v>
      </c>
      <c r="AL34" s="17">
        <v>3</v>
      </c>
      <c r="AM34" s="17">
        <v>0</v>
      </c>
      <c r="AN34" s="17">
        <v>3</v>
      </c>
      <c r="AO34" s="17">
        <v>3</v>
      </c>
      <c r="AP34" s="17">
        <v>3</v>
      </c>
      <c r="AQ34" s="85">
        <v>2.5</v>
      </c>
    </row>
    <row r="35" spans="1:43" x14ac:dyDescent="0.2">
      <c r="A35" s="34">
        <f t="shared" si="0"/>
        <v>2.4230769230769229</v>
      </c>
      <c r="B35" s="17">
        <v>78</v>
      </c>
      <c r="C35" s="17">
        <v>30</v>
      </c>
      <c r="D35" s="34">
        <v>2.5</v>
      </c>
      <c r="E35" s="17">
        <v>2.5</v>
      </c>
      <c r="F35" s="17">
        <v>2.5</v>
      </c>
      <c r="G35" s="17">
        <v>3</v>
      </c>
      <c r="H35" s="17">
        <v>3</v>
      </c>
      <c r="I35" s="17">
        <v>3</v>
      </c>
      <c r="J35" s="17">
        <v>2.5</v>
      </c>
      <c r="K35" s="17">
        <v>2</v>
      </c>
      <c r="L35" s="17">
        <v>2</v>
      </c>
      <c r="M35" s="17">
        <v>3</v>
      </c>
      <c r="N35" s="17">
        <v>2</v>
      </c>
      <c r="O35" s="17">
        <v>3</v>
      </c>
      <c r="P35" s="17">
        <v>2.5</v>
      </c>
      <c r="Q35" s="17">
        <v>3</v>
      </c>
      <c r="R35" s="17">
        <v>2</v>
      </c>
      <c r="S35" s="17">
        <v>2</v>
      </c>
      <c r="T35" s="17">
        <v>2</v>
      </c>
      <c r="U35" s="17">
        <v>2.5</v>
      </c>
      <c r="V35" s="17">
        <v>2</v>
      </c>
      <c r="W35" s="85">
        <v>2</v>
      </c>
      <c r="X35" s="34">
        <v>2</v>
      </c>
      <c r="Y35" s="17">
        <v>2</v>
      </c>
      <c r="Z35" s="17">
        <v>2</v>
      </c>
      <c r="AA35" s="17">
        <v>2.5</v>
      </c>
      <c r="AB35" s="17">
        <v>3</v>
      </c>
      <c r="AC35" s="17">
        <v>2</v>
      </c>
      <c r="AD35" s="17">
        <v>3</v>
      </c>
      <c r="AE35" s="17">
        <v>2</v>
      </c>
      <c r="AF35" s="17">
        <v>0.5</v>
      </c>
      <c r="AG35" s="17">
        <v>2</v>
      </c>
      <c r="AH35" s="17">
        <v>3</v>
      </c>
      <c r="AI35" s="17">
        <v>2.5</v>
      </c>
      <c r="AJ35" s="17">
        <v>2.5</v>
      </c>
      <c r="AK35" s="17">
        <v>2</v>
      </c>
      <c r="AL35" s="17">
        <v>2</v>
      </c>
      <c r="AM35" s="17">
        <v>2</v>
      </c>
      <c r="AN35" s="17">
        <v>2.5</v>
      </c>
      <c r="AO35" s="17">
        <v>2</v>
      </c>
      <c r="AP35" s="17">
        <v>2</v>
      </c>
      <c r="AQ35" s="85">
        <v>2</v>
      </c>
    </row>
    <row r="36" spans="1:43" x14ac:dyDescent="0.2">
      <c r="A36" s="34">
        <f t="shared" si="0"/>
        <v>1.6923076923076923</v>
      </c>
      <c r="B36" s="17">
        <v>80</v>
      </c>
      <c r="C36" s="17">
        <v>31</v>
      </c>
      <c r="D36" s="34">
        <v>0.5</v>
      </c>
      <c r="E36" s="17">
        <v>1.5</v>
      </c>
      <c r="F36" s="17">
        <v>2</v>
      </c>
      <c r="G36" s="17">
        <v>2</v>
      </c>
      <c r="H36" s="17">
        <v>2.5</v>
      </c>
      <c r="I36" s="17">
        <v>0.5</v>
      </c>
      <c r="J36" s="17">
        <v>2</v>
      </c>
      <c r="K36" s="17">
        <v>2</v>
      </c>
      <c r="L36" s="17">
        <v>2</v>
      </c>
      <c r="M36" s="17">
        <v>2</v>
      </c>
      <c r="N36" s="17">
        <v>2</v>
      </c>
      <c r="O36" s="17">
        <v>2</v>
      </c>
      <c r="P36" s="17">
        <v>2</v>
      </c>
      <c r="Q36" s="17">
        <v>2</v>
      </c>
      <c r="R36" s="17">
        <v>1.5</v>
      </c>
      <c r="S36" s="17">
        <v>2</v>
      </c>
      <c r="T36" s="17">
        <v>2</v>
      </c>
      <c r="U36" s="17">
        <v>1.5</v>
      </c>
      <c r="V36" s="17">
        <v>2</v>
      </c>
      <c r="W36" s="85">
        <v>2</v>
      </c>
      <c r="X36" s="34">
        <v>0.5</v>
      </c>
      <c r="Y36" s="17">
        <v>1</v>
      </c>
      <c r="Z36" s="17">
        <v>2.5</v>
      </c>
      <c r="AA36" s="17">
        <v>2</v>
      </c>
      <c r="AB36" s="17">
        <v>1.5</v>
      </c>
      <c r="AC36" s="17">
        <v>-0.5</v>
      </c>
      <c r="AD36" s="17">
        <v>1.5</v>
      </c>
      <c r="AE36" s="17">
        <v>2.5</v>
      </c>
      <c r="AF36" s="17">
        <v>2.5</v>
      </c>
      <c r="AG36" s="17">
        <v>1.5</v>
      </c>
      <c r="AH36" s="17">
        <v>2</v>
      </c>
      <c r="AI36" s="17">
        <v>2</v>
      </c>
      <c r="AJ36" s="17">
        <v>2</v>
      </c>
      <c r="AK36" s="17">
        <v>1</v>
      </c>
      <c r="AL36" s="17">
        <v>2</v>
      </c>
      <c r="AM36" s="17">
        <v>2</v>
      </c>
      <c r="AN36" s="17">
        <v>2</v>
      </c>
      <c r="AO36" s="17">
        <v>2</v>
      </c>
      <c r="AP36" s="17">
        <v>2.5</v>
      </c>
      <c r="AQ36" s="85">
        <v>2</v>
      </c>
    </row>
    <row r="37" spans="1:43" x14ac:dyDescent="0.2">
      <c r="A37" s="34">
        <f t="shared" si="0"/>
        <v>1.8076923076923077</v>
      </c>
      <c r="B37" s="17">
        <v>82</v>
      </c>
      <c r="C37" s="17">
        <v>32</v>
      </c>
      <c r="D37" s="34">
        <v>0.5</v>
      </c>
      <c r="E37" s="17">
        <v>3</v>
      </c>
      <c r="F37" s="17">
        <v>2</v>
      </c>
      <c r="G37" s="17">
        <v>2</v>
      </c>
      <c r="H37" s="17">
        <v>2</v>
      </c>
      <c r="I37" s="17">
        <v>1</v>
      </c>
      <c r="J37" s="17">
        <v>2</v>
      </c>
      <c r="K37" s="17">
        <v>2</v>
      </c>
      <c r="L37" s="17">
        <v>2</v>
      </c>
      <c r="M37" s="17">
        <v>2</v>
      </c>
      <c r="N37" s="17">
        <v>-1</v>
      </c>
      <c r="O37" s="17">
        <v>2</v>
      </c>
      <c r="P37" s="17">
        <v>3</v>
      </c>
      <c r="Q37" s="17">
        <v>1</v>
      </c>
      <c r="R37" s="17">
        <v>2</v>
      </c>
      <c r="S37" s="17">
        <v>2</v>
      </c>
      <c r="T37" s="17">
        <v>2.5</v>
      </c>
      <c r="U37" s="17">
        <v>2</v>
      </c>
      <c r="V37" s="17">
        <v>1.5</v>
      </c>
      <c r="W37" s="85">
        <v>2</v>
      </c>
      <c r="X37" s="34">
        <v>0</v>
      </c>
      <c r="Y37" s="17">
        <v>2.5</v>
      </c>
      <c r="Z37" s="17">
        <v>2</v>
      </c>
      <c r="AA37" s="17">
        <v>3</v>
      </c>
      <c r="AB37" s="17">
        <v>2</v>
      </c>
      <c r="AC37" s="17">
        <v>1</v>
      </c>
      <c r="AD37" s="17">
        <v>1.5</v>
      </c>
      <c r="AE37" s="17">
        <v>2</v>
      </c>
      <c r="AF37" s="17">
        <v>2.5</v>
      </c>
      <c r="AG37" s="17">
        <v>2</v>
      </c>
      <c r="AH37" s="17">
        <v>0</v>
      </c>
      <c r="AI37" s="17">
        <v>3</v>
      </c>
      <c r="AJ37" s="17">
        <v>3</v>
      </c>
      <c r="AK37" s="17">
        <v>1.5</v>
      </c>
      <c r="AL37" s="17">
        <v>2</v>
      </c>
      <c r="AM37" s="17">
        <v>2</v>
      </c>
      <c r="AN37" s="17">
        <v>2</v>
      </c>
      <c r="AO37" s="17">
        <v>1</v>
      </c>
      <c r="AP37" s="17">
        <v>2</v>
      </c>
      <c r="AQ37" s="85">
        <v>2</v>
      </c>
    </row>
    <row r="38" spans="1:43" x14ac:dyDescent="0.2">
      <c r="A38" s="34">
        <f t="shared" si="0"/>
        <v>2.6923076923076925</v>
      </c>
      <c r="B38" s="17">
        <v>84</v>
      </c>
      <c r="C38" s="17">
        <v>33</v>
      </c>
      <c r="D38" s="34">
        <v>2</v>
      </c>
      <c r="E38" s="17">
        <v>2</v>
      </c>
      <c r="F38" s="17">
        <v>3</v>
      </c>
      <c r="G38" s="17">
        <v>3</v>
      </c>
      <c r="H38" s="17">
        <v>3</v>
      </c>
      <c r="I38" s="17">
        <v>2</v>
      </c>
      <c r="J38" s="17">
        <v>3</v>
      </c>
      <c r="K38" s="17">
        <v>3</v>
      </c>
      <c r="L38" s="17">
        <v>1</v>
      </c>
      <c r="M38" s="17">
        <v>3</v>
      </c>
      <c r="N38" s="17">
        <v>3</v>
      </c>
      <c r="O38" s="17">
        <v>3</v>
      </c>
      <c r="P38" s="17">
        <v>3</v>
      </c>
      <c r="Q38" s="17">
        <v>3</v>
      </c>
      <c r="R38" s="17">
        <v>3</v>
      </c>
      <c r="S38" s="17">
        <v>3</v>
      </c>
      <c r="T38" s="17">
        <v>3</v>
      </c>
      <c r="U38" s="17">
        <v>3</v>
      </c>
      <c r="V38" s="17">
        <v>3</v>
      </c>
      <c r="W38" s="85">
        <v>3</v>
      </c>
      <c r="X38" s="34">
        <v>3</v>
      </c>
      <c r="Y38" s="17">
        <v>2</v>
      </c>
      <c r="Z38" s="17">
        <v>2</v>
      </c>
      <c r="AA38" s="17">
        <v>3</v>
      </c>
      <c r="AB38" s="17">
        <v>3</v>
      </c>
      <c r="AC38" s="17">
        <v>1</v>
      </c>
      <c r="AD38" s="17">
        <v>3</v>
      </c>
      <c r="AE38" s="17">
        <v>3</v>
      </c>
      <c r="AF38" s="17">
        <v>-1</v>
      </c>
      <c r="AG38" s="17">
        <v>2</v>
      </c>
      <c r="AH38" s="17">
        <v>3</v>
      </c>
      <c r="AI38" s="17">
        <v>3</v>
      </c>
      <c r="AJ38" s="17">
        <v>3</v>
      </c>
      <c r="AK38" s="17">
        <v>3</v>
      </c>
      <c r="AL38" s="17">
        <v>3</v>
      </c>
      <c r="AM38" s="17">
        <v>3</v>
      </c>
      <c r="AN38" s="17">
        <v>3</v>
      </c>
      <c r="AO38" s="17">
        <v>3</v>
      </c>
      <c r="AP38" s="17">
        <v>3</v>
      </c>
      <c r="AQ38" s="85">
        <v>3</v>
      </c>
    </row>
    <row r="39" spans="1:43" x14ac:dyDescent="0.2">
      <c r="A39" s="34">
        <f t="shared" si="0"/>
        <v>1.9615384615384615</v>
      </c>
      <c r="B39" s="17">
        <v>85</v>
      </c>
      <c r="C39" s="17">
        <v>34</v>
      </c>
      <c r="D39" s="34">
        <v>0</v>
      </c>
      <c r="E39" s="17">
        <v>2</v>
      </c>
      <c r="F39" s="17">
        <v>1.5</v>
      </c>
      <c r="G39" s="17">
        <v>2</v>
      </c>
      <c r="H39" s="17">
        <v>2.5</v>
      </c>
      <c r="I39" s="17">
        <v>2</v>
      </c>
      <c r="J39" s="17">
        <v>2</v>
      </c>
      <c r="K39" s="17">
        <v>2</v>
      </c>
      <c r="L39" s="17">
        <v>1.5</v>
      </c>
      <c r="M39" s="17">
        <v>2</v>
      </c>
      <c r="N39" s="17">
        <v>2.5</v>
      </c>
      <c r="O39" s="17">
        <v>2</v>
      </c>
      <c r="P39" s="17">
        <v>2</v>
      </c>
      <c r="Q39" s="17">
        <v>1</v>
      </c>
      <c r="R39" s="17">
        <v>3</v>
      </c>
      <c r="S39" s="17">
        <v>1</v>
      </c>
      <c r="T39" s="17">
        <v>2.5</v>
      </c>
      <c r="U39" s="17">
        <v>2.5</v>
      </c>
      <c r="V39" s="17">
        <v>2</v>
      </c>
      <c r="W39" s="85">
        <v>2.5</v>
      </c>
      <c r="X39" s="34">
        <v>0</v>
      </c>
      <c r="Y39" s="17">
        <v>1.5</v>
      </c>
      <c r="Z39" s="17">
        <v>1.5</v>
      </c>
      <c r="AA39" s="17">
        <v>2.5</v>
      </c>
      <c r="AB39" s="17">
        <v>2.5</v>
      </c>
      <c r="AC39" s="17">
        <v>1.5</v>
      </c>
      <c r="AD39" s="17">
        <v>3</v>
      </c>
      <c r="AE39" s="17">
        <v>2.5</v>
      </c>
      <c r="AF39" s="17">
        <v>1.5</v>
      </c>
      <c r="AG39" s="17">
        <v>1</v>
      </c>
      <c r="AH39" s="17">
        <v>1</v>
      </c>
      <c r="AI39" s="17">
        <v>2.5</v>
      </c>
      <c r="AJ39" s="17">
        <v>2</v>
      </c>
      <c r="AK39" s="17">
        <v>0</v>
      </c>
      <c r="AL39" s="17">
        <v>3</v>
      </c>
      <c r="AM39" s="17">
        <v>2</v>
      </c>
      <c r="AN39" s="17">
        <v>2.5</v>
      </c>
      <c r="AO39" s="17">
        <v>3</v>
      </c>
      <c r="AP39" s="17">
        <v>2</v>
      </c>
      <c r="AQ39" s="85">
        <v>3</v>
      </c>
    </row>
    <row r="40" spans="1:43" x14ac:dyDescent="0.2">
      <c r="A40" s="34">
        <f t="shared" si="0"/>
        <v>1.2307692307692308</v>
      </c>
      <c r="B40" s="17">
        <v>86</v>
      </c>
      <c r="C40" s="17">
        <v>35</v>
      </c>
      <c r="D40" s="34">
        <v>-0.5</v>
      </c>
      <c r="E40" s="17">
        <v>-1</v>
      </c>
      <c r="F40" s="17">
        <v>2</v>
      </c>
      <c r="G40" s="17">
        <v>2</v>
      </c>
      <c r="H40" s="17">
        <v>2.5</v>
      </c>
      <c r="I40" s="17">
        <v>0.5</v>
      </c>
      <c r="J40" s="17">
        <v>3</v>
      </c>
      <c r="K40" s="17">
        <v>1</v>
      </c>
      <c r="L40" s="17">
        <v>0</v>
      </c>
      <c r="M40" s="17">
        <v>1</v>
      </c>
      <c r="N40" s="17">
        <v>1.5</v>
      </c>
      <c r="O40" s="17">
        <v>1</v>
      </c>
      <c r="P40" s="17">
        <v>2</v>
      </c>
      <c r="Q40" s="17">
        <v>1.5</v>
      </c>
      <c r="R40" s="17">
        <v>1.5</v>
      </c>
      <c r="S40" s="17">
        <v>1</v>
      </c>
      <c r="T40" s="17">
        <v>2.5</v>
      </c>
      <c r="U40" s="17">
        <v>2</v>
      </c>
      <c r="V40" s="17">
        <v>1.5</v>
      </c>
      <c r="W40" s="85">
        <v>1.5</v>
      </c>
      <c r="X40" s="34">
        <v>-0.5</v>
      </c>
      <c r="Y40" s="17">
        <v>-1</v>
      </c>
      <c r="Z40" s="17">
        <v>-0.5</v>
      </c>
      <c r="AA40" s="17">
        <v>1</v>
      </c>
      <c r="AB40" s="17">
        <v>3</v>
      </c>
      <c r="AC40" s="17">
        <v>1</v>
      </c>
      <c r="AD40" s="17">
        <v>2</v>
      </c>
      <c r="AE40" s="17">
        <v>2</v>
      </c>
      <c r="AF40" s="17">
        <v>2</v>
      </c>
      <c r="AG40" s="17">
        <v>1.5</v>
      </c>
      <c r="AH40" s="17">
        <v>2</v>
      </c>
      <c r="AI40" s="17">
        <v>1</v>
      </c>
      <c r="AJ40" s="17">
        <v>1.5</v>
      </c>
      <c r="AK40" s="17">
        <v>1.5</v>
      </c>
      <c r="AL40" s="17">
        <v>2</v>
      </c>
      <c r="AM40" s="17">
        <v>0</v>
      </c>
      <c r="AN40" s="17">
        <v>2</v>
      </c>
      <c r="AO40" s="17">
        <v>2.5</v>
      </c>
      <c r="AP40" s="17">
        <v>2</v>
      </c>
      <c r="AQ40" s="85">
        <v>1</v>
      </c>
    </row>
    <row r="41" spans="1:43" x14ac:dyDescent="0.2">
      <c r="A41" s="34">
        <f t="shared" si="0"/>
        <v>1.5</v>
      </c>
      <c r="B41" s="17">
        <v>87</v>
      </c>
      <c r="C41" s="17">
        <v>36</v>
      </c>
      <c r="D41" s="34">
        <v>2</v>
      </c>
      <c r="E41" s="17">
        <v>1.5</v>
      </c>
      <c r="F41" s="17">
        <v>1.5</v>
      </c>
      <c r="G41" s="17">
        <v>3</v>
      </c>
      <c r="H41" s="17">
        <v>1.5</v>
      </c>
      <c r="I41" s="17">
        <v>1.5</v>
      </c>
      <c r="J41" s="17">
        <v>2</v>
      </c>
      <c r="K41" s="17">
        <v>2</v>
      </c>
      <c r="L41" s="17">
        <v>1.5</v>
      </c>
      <c r="M41" s="17">
        <v>0</v>
      </c>
      <c r="N41" s="17">
        <v>2.5</v>
      </c>
      <c r="O41" s="17">
        <v>1.5</v>
      </c>
      <c r="P41" s="17">
        <v>2</v>
      </c>
      <c r="Q41" s="17">
        <v>2</v>
      </c>
      <c r="R41" s="17">
        <v>0.5</v>
      </c>
      <c r="S41" s="17">
        <v>2</v>
      </c>
      <c r="T41" s="17">
        <v>2</v>
      </c>
      <c r="U41" s="17">
        <v>0</v>
      </c>
      <c r="V41" s="17">
        <v>0</v>
      </c>
      <c r="W41" s="85">
        <v>2</v>
      </c>
      <c r="X41" s="34">
        <v>1.5</v>
      </c>
      <c r="Y41" s="17">
        <v>1.5</v>
      </c>
      <c r="Z41" s="17">
        <v>1.5</v>
      </c>
      <c r="AA41" s="17">
        <v>2.5</v>
      </c>
      <c r="AB41" s="17">
        <v>1.5</v>
      </c>
      <c r="AC41" s="17">
        <v>0</v>
      </c>
      <c r="AD41" s="17">
        <v>1.5</v>
      </c>
      <c r="AE41" s="17">
        <v>1.5</v>
      </c>
      <c r="AF41" s="17">
        <v>1</v>
      </c>
      <c r="AG41" s="17">
        <v>2</v>
      </c>
      <c r="AH41" s="17">
        <v>2</v>
      </c>
      <c r="AI41" s="17">
        <v>1</v>
      </c>
      <c r="AJ41" s="17">
        <v>1.5</v>
      </c>
      <c r="AK41" s="17">
        <v>1.5</v>
      </c>
      <c r="AL41" s="17">
        <v>1.5</v>
      </c>
      <c r="AM41" s="17">
        <v>2</v>
      </c>
      <c r="AN41" s="17">
        <v>2</v>
      </c>
      <c r="AO41" s="17">
        <v>0</v>
      </c>
      <c r="AP41" s="17">
        <v>1</v>
      </c>
      <c r="AQ41" s="85">
        <v>2</v>
      </c>
    </row>
    <row r="42" spans="1:43" x14ac:dyDescent="0.2">
      <c r="A42" s="34">
        <f t="shared" si="0"/>
        <v>2.3076923076923075</v>
      </c>
      <c r="B42" s="17">
        <v>88</v>
      </c>
      <c r="C42" s="17">
        <v>37</v>
      </c>
      <c r="D42" s="34">
        <v>1</v>
      </c>
      <c r="E42" s="17">
        <v>1.5</v>
      </c>
      <c r="F42" s="17">
        <v>2.5</v>
      </c>
      <c r="G42" s="17">
        <v>3</v>
      </c>
      <c r="H42" s="17">
        <v>3</v>
      </c>
      <c r="I42" s="17">
        <v>1.5</v>
      </c>
      <c r="J42" s="17">
        <v>2.5</v>
      </c>
      <c r="K42" s="17">
        <v>3</v>
      </c>
      <c r="L42" s="17">
        <v>1.5</v>
      </c>
      <c r="M42" s="17">
        <v>2</v>
      </c>
      <c r="N42" s="17">
        <v>3</v>
      </c>
      <c r="O42" s="17">
        <v>2.5</v>
      </c>
      <c r="P42" s="17">
        <v>2.5</v>
      </c>
      <c r="Q42" s="17">
        <v>1.5</v>
      </c>
      <c r="R42" s="17">
        <v>2.5</v>
      </c>
      <c r="S42" s="17">
        <v>2</v>
      </c>
      <c r="T42" s="17">
        <v>2.5</v>
      </c>
      <c r="U42" s="17">
        <v>3</v>
      </c>
      <c r="V42" s="17">
        <v>3</v>
      </c>
      <c r="W42" s="85">
        <v>3</v>
      </c>
      <c r="X42" s="34">
        <v>1</v>
      </c>
      <c r="Y42" s="17">
        <v>2.5</v>
      </c>
      <c r="Z42" s="17">
        <v>2</v>
      </c>
      <c r="AA42" s="17">
        <v>3</v>
      </c>
      <c r="AB42" s="17">
        <v>2.5</v>
      </c>
      <c r="AC42" s="17">
        <v>1.5</v>
      </c>
      <c r="AD42" s="17">
        <v>1.5</v>
      </c>
      <c r="AE42" s="17">
        <v>1.5</v>
      </c>
      <c r="AF42" s="17">
        <v>3</v>
      </c>
      <c r="AG42" s="17">
        <v>3</v>
      </c>
      <c r="AH42" s="17">
        <v>2.5</v>
      </c>
      <c r="AI42" s="17">
        <v>3</v>
      </c>
      <c r="AJ42" s="17">
        <v>3</v>
      </c>
      <c r="AK42" s="17">
        <v>3</v>
      </c>
      <c r="AL42" s="17">
        <v>2</v>
      </c>
      <c r="AM42" s="17">
        <v>2.5</v>
      </c>
      <c r="AN42" s="17">
        <v>2</v>
      </c>
      <c r="AO42" s="17">
        <v>2</v>
      </c>
      <c r="AP42" s="17">
        <v>3</v>
      </c>
      <c r="AQ42" s="85">
        <v>2.5</v>
      </c>
    </row>
    <row r="43" spans="1:43" x14ac:dyDescent="0.2">
      <c r="A43" s="34">
        <f t="shared" si="0"/>
        <v>2.4807692307692308</v>
      </c>
      <c r="B43" s="17">
        <v>89</v>
      </c>
      <c r="C43" s="17">
        <v>38</v>
      </c>
      <c r="D43" s="34">
        <v>1.5</v>
      </c>
      <c r="E43" s="17">
        <v>2.5</v>
      </c>
      <c r="F43" s="17">
        <v>2.5</v>
      </c>
      <c r="G43" s="17">
        <v>3</v>
      </c>
      <c r="H43" s="17">
        <v>3</v>
      </c>
      <c r="I43" s="17">
        <v>1.5</v>
      </c>
      <c r="J43" s="17">
        <v>3</v>
      </c>
      <c r="K43" s="17">
        <v>2</v>
      </c>
      <c r="L43" s="17">
        <v>3</v>
      </c>
      <c r="M43" s="17">
        <v>2.5</v>
      </c>
      <c r="N43" s="17">
        <v>3</v>
      </c>
      <c r="O43" s="17">
        <v>2.5</v>
      </c>
      <c r="P43" s="17">
        <v>3</v>
      </c>
      <c r="Q43" s="17">
        <v>3</v>
      </c>
      <c r="R43" s="17">
        <v>2.5</v>
      </c>
      <c r="S43" s="17">
        <v>2</v>
      </c>
      <c r="T43" s="17">
        <v>3</v>
      </c>
      <c r="U43" s="17">
        <v>2</v>
      </c>
      <c r="V43" s="17">
        <v>3</v>
      </c>
      <c r="W43" s="85">
        <v>2.5</v>
      </c>
      <c r="X43" s="34">
        <v>1</v>
      </c>
      <c r="Y43" s="17">
        <v>3</v>
      </c>
      <c r="Z43" s="17">
        <v>2</v>
      </c>
      <c r="AA43" s="17">
        <v>2.5</v>
      </c>
      <c r="AB43" s="17">
        <v>3</v>
      </c>
      <c r="AC43" s="17">
        <v>1</v>
      </c>
      <c r="AD43" s="17">
        <v>2.5</v>
      </c>
      <c r="AE43" s="17">
        <v>2</v>
      </c>
      <c r="AF43" s="17">
        <v>1.5</v>
      </c>
      <c r="AG43" s="17">
        <v>3</v>
      </c>
      <c r="AH43" s="17">
        <v>1.5</v>
      </c>
      <c r="AI43" s="17">
        <v>3</v>
      </c>
      <c r="AJ43" s="17">
        <v>3</v>
      </c>
      <c r="AK43" s="17">
        <v>3</v>
      </c>
      <c r="AL43" s="17">
        <v>2.5</v>
      </c>
      <c r="AM43" s="17">
        <v>1.5</v>
      </c>
      <c r="AN43" s="17">
        <v>3</v>
      </c>
      <c r="AO43" s="17">
        <v>2</v>
      </c>
      <c r="AP43" s="17">
        <v>2.5</v>
      </c>
      <c r="AQ43" s="85">
        <v>1.5</v>
      </c>
    </row>
    <row r="44" spans="1:43" x14ac:dyDescent="0.2">
      <c r="A44" s="34">
        <f t="shared" si="0"/>
        <v>2.7884615384615383</v>
      </c>
      <c r="B44" s="17">
        <v>8</v>
      </c>
      <c r="C44" s="17">
        <v>39</v>
      </c>
      <c r="D44" s="34">
        <v>2</v>
      </c>
      <c r="E44" s="17">
        <v>3</v>
      </c>
      <c r="F44" s="17">
        <v>3</v>
      </c>
      <c r="G44" s="17">
        <v>2.5</v>
      </c>
      <c r="H44" s="17">
        <v>3</v>
      </c>
      <c r="I44" s="17">
        <v>3</v>
      </c>
      <c r="J44" s="17">
        <v>3</v>
      </c>
      <c r="K44" s="17">
        <v>3</v>
      </c>
      <c r="L44" s="17">
        <v>2.5</v>
      </c>
      <c r="M44" s="17">
        <v>2</v>
      </c>
      <c r="N44" s="17">
        <v>3</v>
      </c>
      <c r="O44" s="17">
        <v>3</v>
      </c>
      <c r="P44" s="17">
        <v>3</v>
      </c>
      <c r="Q44" s="17">
        <v>1.5</v>
      </c>
      <c r="R44" s="17">
        <v>3</v>
      </c>
      <c r="S44" s="17">
        <v>3</v>
      </c>
      <c r="T44" s="17">
        <v>3</v>
      </c>
      <c r="U44" s="17">
        <v>2.5</v>
      </c>
      <c r="V44" s="17">
        <v>3</v>
      </c>
      <c r="W44" s="85">
        <v>3</v>
      </c>
      <c r="X44" s="34">
        <v>1.5</v>
      </c>
      <c r="Y44" s="17">
        <v>3</v>
      </c>
      <c r="Z44" s="17">
        <v>3</v>
      </c>
      <c r="AA44" s="17">
        <v>3</v>
      </c>
      <c r="AB44" s="17">
        <v>3</v>
      </c>
      <c r="AC44" s="17">
        <v>3</v>
      </c>
      <c r="AD44" s="17">
        <v>3</v>
      </c>
      <c r="AE44" s="17">
        <v>3</v>
      </c>
      <c r="AF44" s="17">
        <v>2.5</v>
      </c>
      <c r="AG44" s="17">
        <v>2</v>
      </c>
      <c r="AH44" s="17">
        <v>3</v>
      </c>
      <c r="AI44" s="17">
        <v>3</v>
      </c>
      <c r="AJ44" s="17">
        <v>2.5</v>
      </c>
      <c r="AK44" s="17">
        <v>2</v>
      </c>
      <c r="AL44" s="17">
        <v>2.5</v>
      </c>
      <c r="AM44" s="17">
        <v>2.5</v>
      </c>
      <c r="AN44" s="17">
        <v>3</v>
      </c>
      <c r="AO44" s="17">
        <v>3</v>
      </c>
      <c r="AP44" s="17">
        <v>3</v>
      </c>
      <c r="AQ44" s="85">
        <v>2.5</v>
      </c>
    </row>
    <row r="45" spans="1:43" x14ac:dyDescent="0.2">
      <c r="A45" s="34">
        <f t="shared" si="0"/>
        <v>1.4038461538461537</v>
      </c>
      <c r="B45" s="17">
        <v>91</v>
      </c>
      <c r="C45" s="17">
        <v>40</v>
      </c>
      <c r="D45" s="34">
        <v>1.5</v>
      </c>
      <c r="E45" s="17">
        <v>1</v>
      </c>
      <c r="F45" s="17">
        <v>0.5</v>
      </c>
      <c r="G45" s="17">
        <v>1</v>
      </c>
      <c r="H45" s="17">
        <v>1.5</v>
      </c>
      <c r="I45" s="17">
        <v>1</v>
      </c>
      <c r="J45" s="17">
        <v>1</v>
      </c>
      <c r="K45" s="17">
        <v>2.5</v>
      </c>
      <c r="L45" s="17">
        <v>1</v>
      </c>
      <c r="M45" s="17">
        <v>1</v>
      </c>
      <c r="N45" s="17">
        <v>1.5</v>
      </c>
      <c r="O45" s="17">
        <v>1.5</v>
      </c>
      <c r="P45" s="17">
        <v>2</v>
      </c>
      <c r="Q45" s="17">
        <v>1.5</v>
      </c>
      <c r="R45" s="17">
        <v>3</v>
      </c>
      <c r="S45" s="17">
        <v>1</v>
      </c>
      <c r="T45" s="17">
        <v>2.5</v>
      </c>
      <c r="U45" s="17">
        <v>1</v>
      </c>
      <c r="V45" s="17">
        <v>1.5</v>
      </c>
      <c r="W45" s="85">
        <v>1</v>
      </c>
      <c r="X45" s="34">
        <v>1.5</v>
      </c>
      <c r="Y45" s="17">
        <v>1</v>
      </c>
      <c r="Z45" s="17">
        <v>1</v>
      </c>
      <c r="AA45" s="17">
        <v>1.5</v>
      </c>
      <c r="AB45" s="17">
        <v>1.5</v>
      </c>
      <c r="AC45" s="17">
        <v>1</v>
      </c>
      <c r="AD45" s="17">
        <v>2</v>
      </c>
      <c r="AE45" s="17">
        <v>2</v>
      </c>
      <c r="AF45" s="17">
        <v>0.5</v>
      </c>
      <c r="AG45" s="17">
        <v>1</v>
      </c>
      <c r="AH45" s="17">
        <v>1</v>
      </c>
      <c r="AI45" s="17">
        <v>1.5</v>
      </c>
      <c r="AJ45" s="17">
        <v>2</v>
      </c>
      <c r="AK45" s="17">
        <v>2.5</v>
      </c>
      <c r="AL45" s="17">
        <v>2.5</v>
      </c>
      <c r="AM45" s="17">
        <v>1</v>
      </c>
      <c r="AN45" s="17">
        <v>2.5</v>
      </c>
      <c r="AO45" s="17">
        <v>2</v>
      </c>
      <c r="AP45" s="17">
        <v>0.5</v>
      </c>
      <c r="AQ45" s="85">
        <v>2</v>
      </c>
    </row>
    <row r="46" spans="1:43" x14ac:dyDescent="0.2">
      <c r="A46" s="34">
        <f t="shared" si="0"/>
        <v>1.8461538461538463</v>
      </c>
      <c r="B46" s="17">
        <v>93</v>
      </c>
      <c r="C46" s="17">
        <v>41</v>
      </c>
      <c r="D46" s="34">
        <v>2</v>
      </c>
      <c r="E46" s="17">
        <v>1.5</v>
      </c>
      <c r="F46" s="17">
        <v>0.5</v>
      </c>
      <c r="G46" s="17">
        <v>1</v>
      </c>
      <c r="H46" s="17">
        <v>2.5</v>
      </c>
      <c r="I46" s="17">
        <v>-2.5</v>
      </c>
      <c r="J46" s="17">
        <v>3</v>
      </c>
      <c r="K46" s="17">
        <v>2.5</v>
      </c>
      <c r="L46" s="17">
        <v>2.5</v>
      </c>
      <c r="M46" s="17">
        <v>3</v>
      </c>
      <c r="N46" s="17">
        <v>2.5</v>
      </c>
      <c r="O46" s="17">
        <v>1.5</v>
      </c>
      <c r="P46" s="17">
        <v>3</v>
      </c>
      <c r="Q46" s="17">
        <v>2</v>
      </c>
      <c r="R46" s="17">
        <v>2</v>
      </c>
      <c r="S46" s="17">
        <v>-1</v>
      </c>
      <c r="T46" s="17">
        <v>3</v>
      </c>
      <c r="U46" s="17">
        <v>3</v>
      </c>
      <c r="V46" s="17">
        <v>3</v>
      </c>
      <c r="W46" s="85">
        <v>3</v>
      </c>
      <c r="X46" s="34">
        <v>1</v>
      </c>
      <c r="Y46" s="17">
        <v>1.5</v>
      </c>
      <c r="Z46" s="17">
        <v>1.5</v>
      </c>
      <c r="AA46" s="17">
        <v>2</v>
      </c>
      <c r="AB46" s="17">
        <v>3</v>
      </c>
      <c r="AC46" s="17">
        <v>0</v>
      </c>
      <c r="AD46" s="17">
        <v>3</v>
      </c>
      <c r="AE46" s="17">
        <v>1.5</v>
      </c>
      <c r="AF46" s="17">
        <v>3</v>
      </c>
      <c r="AG46" s="17">
        <v>3</v>
      </c>
      <c r="AH46" s="17">
        <v>2.5</v>
      </c>
      <c r="AI46" s="17">
        <v>2.5</v>
      </c>
      <c r="AJ46" s="17">
        <v>2.5</v>
      </c>
      <c r="AK46" s="17">
        <v>2</v>
      </c>
      <c r="AL46" s="17">
        <v>1.5</v>
      </c>
      <c r="AM46" s="17">
        <v>1</v>
      </c>
      <c r="AN46" s="17">
        <v>3</v>
      </c>
      <c r="AO46" s="17">
        <v>3</v>
      </c>
      <c r="AP46" s="17">
        <v>3</v>
      </c>
      <c r="AQ46" s="85">
        <v>3</v>
      </c>
    </row>
    <row r="47" spans="1:43" x14ac:dyDescent="0.2">
      <c r="A47" s="34">
        <f t="shared" si="0"/>
        <v>2.1923076923076925</v>
      </c>
      <c r="B47" s="17">
        <v>94</v>
      </c>
      <c r="C47" s="17">
        <v>42</v>
      </c>
      <c r="D47" s="34">
        <v>-1</v>
      </c>
      <c r="E47" s="17">
        <v>2.5</v>
      </c>
      <c r="F47" s="17">
        <v>2.5</v>
      </c>
      <c r="G47" s="17">
        <v>1.5</v>
      </c>
      <c r="H47" s="17">
        <v>1</v>
      </c>
      <c r="I47" s="17">
        <v>3</v>
      </c>
      <c r="J47" s="17">
        <v>3</v>
      </c>
      <c r="K47" s="17">
        <v>1</v>
      </c>
      <c r="L47" s="17">
        <v>2.5</v>
      </c>
      <c r="M47" s="17">
        <v>1.5</v>
      </c>
      <c r="N47" s="17">
        <v>3</v>
      </c>
      <c r="O47" s="17">
        <v>3</v>
      </c>
      <c r="P47" s="17">
        <v>3</v>
      </c>
      <c r="Q47" s="17">
        <v>2.5</v>
      </c>
      <c r="R47" s="17">
        <v>3</v>
      </c>
      <c r="S47" s="17">
        <v>2.5</v>
      </c>
      <c r="T47" s="17">
        <v>3</v>
      </c>
      <c r="U47" s="17">
        <v>3</v>
      </c>
      <c r="V47" s="17">
        <v>1</v>
      </c>
      <c r="W47" s="85">
        <v>3</v>
      </c>
      <c r="X47" s="34">
        <v>0</v>
      </c>
      <c r="Y47" s="17">
        <v>3</v>
      </c>
      <c r="Z47" s="17">
        <v>2</v>
      </c>
      <c r="AA47" s="17">
        <v>1.5</v>
      </c>
      <c r="AB47" s="17">
        <v>2.5</v>
      </c>
      <c r="AC47" s="17">
        <v>0</v>
      </c>
      <c r="AD47" s="17">
        <v>2.5</v>
      </c>
      <c r="AE47" s="17">
        <v>-1</v>
      </c>
      <c r="AF47" s="17">
        <v>0</v>
      </c>
      <c r="AG47" s="17">
        <v>1.5</v>
      </c>
      <c r="AH47" s="17">
        <v>3</v>
      </c>
      <c r="AI47" s="17">
        <v>2.5</v>
      </c>
      <c r="AJ47" s="17">
        <v>3</v>
      </c>
      <c r="AK47" s="17">
        <v>1</v>
      </c>
      <c r="AL47" s="17">
        <v>2</v>
      </c>
      <c r="AM47" s="17">
        <v>2</v>
      </c>
      <c r="AN47" s="17">
        <v>2.5</v>
      </c>
      <c r="AO47" s="17">
        <v>1.5</v>
      </c>
      <c r="AP47" s="17">
        <v>2</v>
      </c>
      <c r="AQ47" s="85">
        <v>3</v>
      </c>
    </row>
    <row r="48" spans="1:43" x14ac:dyDescent="0.2">
      <c r="A48" s="34">
        <f t="shared" si="0"/>
        <v>1.0384615384615385</v>
      </c>
      <c r="B48" s="17">
        <v>95</v>
      </c>
      <c r="C48" s="17">
        <v>43</v>
      </c>
      <c r="D48" s="34">
        <v>-1.5</v>
      </c>
      <c r="E48" s="17">
        <v>1</v>
      </c>
      <c r="F48" s="17">
        <v>-0.5</v>
      </c>
      <c r="G48" s="17">
        <v>2</v>
      </c>
      <c r="H48" s="17">
        <v>1.5</v>
      </c>
      <c r="I48" s="17">
        <v>1</v>
      </c>
      <c r="J48" s="17">
        <v>2</v>
      </c>
      <c r="K48" s="17">
        <v>1</v>
      </c>
      <c r="L48" s="17">
        <v>-1</v>
      </c>
      <c r="M48" s="17">
        <v>1</v>
      </c>
      <c r="N48" s="17">
        <v>0.5</v>
      </c>
      <c r="O48" s="17">
        <v>1.5</v>
      </c>
      <c r="P48" s="17">
        <v>1.5</v>
      </c>
      <c r="Q48" s="17">
        <v>1</v>
      </c>
      <c r="R48" s="17">
        <v>1.5</v>
      </c>
      <c r="S48" s="17">
        <v>1.5</v>
      </c>
      <c r="T48" s="17">
        <v>1.5</v>
      </c>
      <c r="U48" s="17">
        <v>2</v>
      </c>
      <c r="V48" s="17">
        <v>1.5</v>
      </c>
      <c r="W48" s="85">
        <v>2</v>
      </c>
      <c r="X48" s="34">
        <v>-1</v>
      </c>
      <c r="Y48" s="17">
        <v>1</v>
      </c>
      <c r="Z48" s="17">
        <v>-1</v>
      </c>
      <c r="AA48" s="17">
        <v>2</v>
      </c>
      <c r="AB48" s="17">
        <v>1.5</v>
      </c>
      <c r="AC48" s="17">
        <v>1</v>
      </c>
      <c r="AD48" s="17">
        <v>1</v>
      </c>
      <c r="AE48" s="17">
        <v>1.5</v>
      </c>
      <c r="AF48" s="17">
        <v>0</v>
      </c>
      <c r="AG48" s="17">
        <v>1.5</v>
      </c>
      <c r="AH48" s="17">
        <v>-0.5</v>
      </c>
      <c r="AI48" s="17">
        <v>2</v>
      </c>
      <c r="AJ48" s="17">
        <v>2</v>
      </c>
      <c r="AK48" s="17">
        <v>1</v>
      </c>
      <c r="AL48" s="17">
        <v>1.5</v>
      </c>
      <c r="AM48" s="17">
        <v>1.5</v>
      </c>
      <c r="AN48" s="17">
        <v>2</v>
      </c>
      <c r="AO48" s="17">
        <v>0.5</v>
      </c>
      <c r="AP48" s="17">
        <v>2</v>
      </c>
      <c r="AQ48" s="85">
        <v>2</v>
      </c>
    </row>
    <row r="49" spans="1:43" x14ac:dyDescent="0.2">
      <c r="A49" s="34">
        <f t="shared" si="0"/>
        <v>1.0961538461538463</v>
      </c>
      <c r="B49" s="17">
        <v>96</v>
      </c>
      <c r="C49" s="17">
        <v>44</v>
      </c>
      <c r="D49" s="34">
        <v>-3</v>
      </c>
      <c r="E49" s="17">
        <v>-1.5</v>
      </c>
      <c r="F49" s="17">
        <v>0.5</v>
      </c>
      <c r="G49" s="17">
        <v>2.5</v>
      </c>
      <c r="H49" s="17">
        <v>3</v>
      </c>
      <c r="I49" s="17">
        <v>-2.5</v>
      </c>
      <c r="J49" s="17">
        <v>0</v>
      </c>
      <c r="K49" s="17">
        <v>2</v>
      </c>
      <c r="L49" s="17">
        <v>2.5</v>
      </c>
      <c r="M49" s="17">
        <v>3</v>
      </c>
      <c r="N49" s="17">
        <v>3</v>
      </c>
      <c r="O49" s="17">
        <v>3</v>
      </c>
      <c r="P49" s="17">
        <v>-1.5</v>
      </c>
      <c r="Q49" s="17">
        <v>2</v>
      </c>
      <c r="R49" s="17">
        <v>3</v>
      </c>
      <c r="S49" s="17">
        <v>2</v>
      </c>
      <c r="T49" s="17">
        <v>2.5</v>
      </c>
      <c r="U49" s="17">
        <v>3</v>
      </c>
      <c r="V49" s="17">
        <v>0</v>
      </c>
      <c r="W49" s="85">
        <v>2</v>
      </c>
      <c r="X49" s="34">
        <v>-3</v>
      </c>
      <c r="Y49" s="17">
        <v>0</v>
      </c>
      <c r="Z49" s="17">
        <v>0</v>
      </c>
      <c r="AA49" s="17">
        <v>3</v>
      </c>
      <c r="AB49" s="17">
        <v>3</v>
      </c>
      <c r="AC49" s="17">
        <v>-2</v>
      </c>
      <c r="AD49" s="17">
        <v>-1</v>
      </c>
      <c r="AE49" s="17">
        <v>2.5</v>
      </c>
      <c r="AF49" s="17">
        <v>0</v>
      </c>
      <c r="AG49" s="17">
        <v>2.5</v>
      </c>
      <c r="AH49" s="17">
        <v>3</v>
      </c>
      <c r="AI49" s="17">
        <v>3</v>
      </c>
      <c r="AJ49" s="17">
        <v>-1.5</v>
      </c>
      <c r="AK49" s="17">
        <v>2</v>
      </c>
      <c r="AL49" s="17">
        <v>2.5</v>
      </c>
      <c r="AM49" s="17">
        <v>3</v>
      </c>
      <c r="AN49" s="17">
        <v>2</v>
      </c>
      <c r="AO49" s="17">
        <v>2</v>
      </c>
      <c r="AP49" s="17">
        <v>-0.5</v>
      </c>
      <c r="AQ49" s="85">
        <v>-1</v>
      </c>
    </row>
    <row r="50" spans="1:43" x14ac:dyDescent="0.2">
      <c r="A50" s="86">
        <f t="shared" si="0"/>
        <v>1.3461538461538463</v>
      </c>
      <c r="B50" s="87">
        <v>9</v>
      </c>
      <c r="C50" s="87">
        <v>45</v>
      </c>
      <c r="D50" s="86">
        <v>-1</v>
      </c>
      <c r="E50" s="87">
        <v>1</v>
      </c>
      <c r="F50" s="87">
        <v>2</v>
      </c>
      <c r="G50" s="87">
        <v>1.5</v>
      </c>
      <c r="H50" s="87">
        <v>1.5</v>
      </c>
      <c r="I50" s="87">
        <v>0.5</v>
      </c>
      <c r="J50" s="87">
        <v>1.5</v>
      </c>
      <c r="K50" s="87">
        <v>2</v>
      </c>
      <c r="L50" s="87">
        <v>2</v>
      </c>
      <c r="M50" s="87">
        <v>1</v>
      </c>
      <c r="N50" s="87">
        <v>1.5</v>
      </c>
      <c r="O50" s="87">
        <v>1</v>
      </c>
      <c r="P50" s="87">
        <v>1.5</v>
      </c>
      <c r="Q50" s="87">
        <v>1.5</v>
      </c>
      <c r="R50" s="87">
        <v>1.5</v>
      </c>
      <c r="S50" s="87">
        <v>1</v>
      </c>
      <c r="T50" s="87">
        <v>2</v>
      </c>
      <c r="U50" s="87">
        <v>2</v>
      </c>
      <c r="V50" s="87">
        <v>2.5</v>
      </c>
      <c r="W50" s="88">
        <v>2</v>
      </c>
      <c r="X50" s="86">
        <v>-0.5</v>
      </c>
      <c r="Y50" s="87">
        <v>1.5</v>
      </c>
      <c r="Z50" s="87">
        <v>1</v>
      </c>
      <c r="AA50" s="87">
        <v>1</v>
      </c>
      <c r="AB50" s="87">
        <v>1</v>
      </c>
      <c r="AC50" s="87">
        <v>0</v>
      </c>
      <c r="AD50" s="87">
        <v>1.5</v>
      </c>
      <c r="AE50" s="87">
        <v>1</v>
      </c>
      <c r="AF50" s="87">
        <v>1.5</v>
      </c>
      <c r="AG50" s="87">
        <v>1</v>
      </c>
      <c r="AH50" s="87">
        <v>2.5</v>
      </c>
      <c r="AI50" s="87">
        <v>2</v>
      </c>
      <c r="AJ50" s="87">
        <v>1.5</v>
      </c>
      <c r="AK50" s="87">
        <v>1.5</v>
      </c>
      <c r="AL50" s="87">
        <v>2</v>
      </c>
      <c r="AM50" s="87">
        <v>1.5</v>
      </c>
      <c r="AN50" s="87">
        <v>1</v>
      </c>
      <c r="AO50" s="87">
        <v>2</v>
      </c>
      <c r="AP50" s="87">
        <v>2.5</v>
      </c>
      <c r="AQ50" s="88">
        <v>1.5</v>
      </c>
    </row>
    <row r="52" spans="1:43" ht="15.75" x14ac:dyDescent="0.2">
      <c r="A52" s="342" t="s">
        <v>135</v>
      </c>
      <c r="B52" s="343"/>
      <c r="C52" s="343"/>
      <c r="D52" s="344" t="s">
        <v>137</v>
      </c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5"/>
      <c r="X52" s="344" t="s">
        <v>138</v>
      </c>
      <c r="Y52" s="344"/>
      <c r="Z52" s="344"/>
      <c r="AA52" s="344"/>
      <c r="AB52" s="344"/>
      <c r="AC52" s="344"/>
      <c r="AD52" s="344"/>
      <c r="AE52" s="344"/>
      <c r="AF52" s="344"/>
      <c r="AG52" s="344"/>
      <c r="AH52" s="344"/>
      <c r="AI52" s="344"/>
      <c r="AJ52" s="344"/>
      <c r="AK52" s="344"/>
      <c r="AL52" s="344"/>
      <c r="AM52" s="344"/>
      <c r="AN52" s="344"/>
      <c r="AO52" s="344"/>
      <c r="AP52" s="344"/>
      <c r="AQ52" s="345"/>
    </row>
    <row r="53" spans="1:43" ht="15.75" x14ac:dyDescent="0.2">
      <c r="A53" s="89" t="s">
        <v>97</v>
      </c>
      <c r="B53" s="92"/>
      <c r="C53" s="9" t="s">
        <v>46</v>
      </c>
      <c r="D53" s="10">
        <v>2</v>
      </c>
      <c r="E53" s="10">
        <v>11</v>
      </c>
      <c r="F53" s="10">
        <v>12</v>
      </c>
      <c r="G53" s="10">
        <v>18</v>
      </c>
      <c r="H53" s="10">
        <v>15</v>
      </c>
      <c r="I53" s="10">
        <v>3</v>
      </c>
      <c r="J53" s="10">
        <v>20</v>
      </c>
      <c r="K53" s="10">
        <v>19</v>
      </c>
      <c r="L53" s="10">
        <v>7</v>
      </c>
      <c r="M53" s="10">
        <v>8</v>
      </c>
      <c r="N53" s="10">
        <v>1</v>
      </c>
      <c r="O53" s="10">
        <v>16</v>
      </c>
      <c r="P53" s="10">
        <v>9</v>
      </c>
      <c r="Q53" s="10">
        <v>4</v>
      </c>
      <c r="R53" s="10">
        <v>5</v>
      </c>
      <c r="S53" s="10">
        <v>13</v>
      </c>
      <c r="T53" s="10">
        <v>17</v>
      </c>
      <c r="U53" s="10">
        <v>14</v>
      </c>
      <c r="V53" s="10">
        <v>10</v>
      </c>
      <c r="W53" s="10">
        <v>6</v>
      </c>
      <c r="X53" s="33">
        <v>2</v>
      </c>
      <c r="Y53" s="10">
        <v>11</v>
      </c>
      <c r="Z53" s="10">
        <v>12</v>
      </c>
      <c r="AA53" s="10">
        <v>18</v>
      </c>
      <c r="AB53" s="10">
        <v>15</v>
      </c>
      <c r="AC53" s="10">
        <v>3</v>
      </c>
      <c r="AD53" s="10">
        <v>20</v>
      </c>
      <c r="AE53" s="10">
        <v>19</v>
      </c>
      <c r="AF53" s="10">
        <v>7</v>
      </c>
      <c r="AG53" s="10">
        <v>8</v>
      </c>
      <c r="AH53" s="10">
        <v>1</v>
      </c>
      <c r="AI53" s="10">
        <v>16</v>
      </c>
      <c r="AJ53" s="10">
        <v>9</v>
      </c>
      <c r="AK53" s="10">
        <v>4</v>
      </c>
      <c r="AL53" s="10">
        <v>5</v>
      </c>
      <c r="AM53" s="10">
        <v>13</v>
      </c>
      <c r="AN53" s="10">
        <v>17</v>
      </c>
      <c r="AO53" s="10">
        <v>14</v>
      </c>
      <c r="AP53" s="10">
        <v>10</v>
      </c>
      <c r="AQ53" s="90">
        <v>6</v>
      </c>
    </row>
    <row r="54" spans="1:43" ht="15.75" x14ac:dyDescent="0.2">
      <c r="A54" s="89"/>
      <c r="B54" s="92"/>
      <c r="C54" s="9" t="s">
        <v>47</v>
      </c>
      <c r="D54" s="10">
        <v>1</v>
      </c>
      <c r="E54" s="11">
        <v>2</v>
      </c>
      <c r="F54" s="11">
        <v>3</v>
      </c>
      <c r="G54" s="12">
        <v>4</v>
      </c>
      <c r="H54" s="13">
        <v>5</v>
      </c>
      <c r="I54" s="14">
        <v>6</v>
      </c>
      <c r="J54" s="10">
        <v>7</v>
      </c>
      <c r="K54" s="12">
        <v>8</v>
      </c>
      <c r="L54" s="15">
        <v>9</v>
      </c>
      <c r="M54" s="15">
        <v>10</v>
      </c>
      <c r="N54" s="16">
        <v>11</v>
      </c>
      <c r="O54" s="13">
        <v>12</v>
      </c>
      <c r="P54" s="15">
        <v>13</v>
      </c>
      <c r="Q54" s="14">
        <v>14</v>
      </c>
      <c r="R54" s="14">
        <v>15</v>
      </c>
      <c r="S54" s="11">
        <v>16</v>
      </c>
      <c r="T54" s="13">
        <v>17</v>
      </c>
      <c r="U54" s="11">
        <v>18</v>
      </c>
      <c r="V54" s="15">
        <v>19</v>
      </c>
      <c r="W54" s="14">
        <v>20</v>
      </c>
      <c r="X54" s="33">
        <v>1</v>
      </c>
      <c r="Y54" s="11">
        <v>2</v>
      </c>
      <c r="Z54" s="11">
        <v>3</v>
      </c>
      <c r="AA54" s="12">
        <v>4</v>
      </c>
      <c r="AB54" s="13">
        <v>5</v>
      </c>
      <c r="AC54" s="14">
        <v>6</v>
      </c>
      <c r="AD54" s="10">
        <v>7</v>
      </c>
      <c r="AE54" s="12">
        <v>8</v>
      </c>
      <c r="AF54" s="15">
        <v>9</v>
      </c>
      <c r="AG54" s="15">
        <v>10</v>
      </c>
      <c r="AH54" s="16">
        <v>11</v>
      </c>
      <c r="AI54" s="13">
        <v>12</v>
      </c>
      <c r="AJ54" s="15">
        <v>13</v>
      </c>
      <c r="AK54" s="14">
        <v>14</v>
      </c>
      <c r="AL54" s="14">
        <v>15</v>
      </c>
      <c r="AM54" s="11">
        <v>16</v>
      </c>
      <c r="AN54" s="13">
        <v>17</v>
      </c>
      <c r="AO54" s="11">
        <v>18</v>
      </c>
      <c r="AP54" s="15">
        <v>19</v>
      </c>
      <c r="AQ54" s="91">
        <v>20</v>
      </c>
    </row>
    <row r="55" spans="1:43" ht="15.75" x14ac:dyDescent="0.2">
      <c r="A55" s="89"/>
      <c r="B55" s="92"/>
      <c r="C55" s="9"/>
      <c r="D55" s="10" t="s">
        <v>0</v>
      </c>
      <c r="E55" s="11" t="s">
        <v>2</v>
      </c>
      <c r="F55" s="11" t="s">
        <v>4</v>
      </c>
      <c r="G55" s="12" t="s">
        <v>6</v>
      </c>
      <c r="H55" s="13" t="s">
        <v>8</v>
      </c>
      <c r="I55" s="14" t="s">
        <v>10</v>
      </c>
      <c r="J55" s="10" t="s">
        <v>12</v>
      </c>
      <c r="K55" s="12" t="s">
        <v>14</v>
      </c>
      <c r="L55" s="15" t="s">
        <v>16</v>
      </c>
      <c r="M55" s="15" t="s">
        <v>18</v>
      </c>
      <c r="N55" s="16" t="s">
        <v>20</v>
      </c>
      <c r="O55" s="13" t="s">
        <v>22</v>
      </c>
      <c r="P55" s="15" t="s">
        <v>24</v>
      </c>
      <c r="Q55" s="14" t="s">
        <v>26</v>
      </c>
      <c r="R55" s="14" t="s">
        <v>28</v>
      </c>
      <c r="S55" s="11" t="s">
        <v>30</v>
      </c>
      <c r="T55" s="13" t="s">
        <v>32</v>
      </c>
      <c r="U55" s="11" t="s">
        <v>34</v>
      </c>
      <c r="V55" s="15" t="s">
        <v>36</v>
      </c>
      <c r="W55" s="14" t="s">
        <v>38</v>
      </c>
      <c r="X55" s="33" t="s">
        <v>0</v>
      </c>
      <c r="Y55" s="11" t="s">
        <v>2</v>
      </c>
      <c r="Z55" s="11" t="s">
        <v>4</v>
      </c>
      <c r="AA55" s="12" t="s">
        <v>6</v>
      </c>
      <c r="AB55" s="13" t="s">
        <v>8</v>
      </c>
      <c r="AC55" s="14" t="s">
        <v>10</v>
      </c>
      <c r="AD55" s="10" t="s">
        <v>12</v>
      </c>
      <c r="AE55" s="12" t="s">
        <v>14</v>
      </c>
      <c r="AF55" s="15" t="s">
        <v>16</v>
      </c>
      <c r="AG55" s="15" t="s">
        <v>18</v>
      </c>
      <c r="AH55" s="16" t="s">
        <v>20</v>
      </c>
      <c r="AI55" s="13" t="s">
        <v>22</v>
      </c>
      <c r="AJ55" s="15" t="s">
        <v>24</v>
      </c>
      <c r="AK55" s="14" t="s">
        <v>26</v>
      </c>
      <c r="AL55" s="14" t="s">
        <v>28</v>
      </c>
      <c r="AM55" s="11" t="s">
        <v>30</v>
      </c>
      <c r="AN55" s="13" t="s">
        <v>32</v>
      </c>
      <c r="AO55" s="11" t="s">
        <v>34</v>
      </c>
      <c r="AP55" s="15" t="s">
        <v>36</v>
      </c>
      <c r="AQ55" s="91" t="s">
        <v>38</v>
      </c>
    </row>
    <row r="56" spans="1:43" ht="22.5" x14ac:dyDescent="0.2">
      <c r="A56" s="89" t="s">
        <v>94</v>
      </c>
      <c r="B56" s="9" t="s">
        <v>58</v>
      </c>
      <c r="C56" s="17" t="s">
        <v>45</v>
      </c>
      <c r="D56" s="10" t="s">
        <v>1</v>
      </c>
      <c r="E56" s="11" t="s">
        <v>3</v>
      </c>
      <c r="F56" s="11" t="s">
        <v>5</v>
      </c>
      <c r="G56" s="12" t="s">
        <v>7</v>
      </c>
      <c r="H56" s="13" t="s">
        <v>9</v>
      </c>
      <c r="I56" s="14" t="s">
        <v>11</v>
      </c>
      <c r="J56" s="10" t="s">
        <v>13</v>
      </c>
      <c r="K56" s="12" t="s">
        <v>15</v>
      </c>
      <c r="L56" s="15" t="s">
        <v>17</v>
      </c>
      <c r="M56" s="15" t="s">
        <v>19</v>
      </c>
      <c r="N56" s="16" t="s">
        <v>21</v>
      </c>
      <c r="O56" s="13" t="s">
        <v>23</v>
      </c>
      <c r="P56" s="15" t="s">
        <v>25</v>
      </c>
      <c r="Q56" s="14" t="s">
        <v>27</v>
      </c>
      <c r="R56" s="14" t="s">
        <v>29</v>
      </c>
      <c r="S56" s="11" t="s">
        <v>31</v>
      </c>
      <c r="T56" s="13" t="s">
        <v>33</v>
      </c>
      <c r="U56" s="11" t="s">
        <v>35</v>
      </c>
      <c r="V56" s="15" t="s">
        <v>37</v>
      </c>
      <c r="W56" s="14" t="s">
        <v>39</v>
      </c>
      <c r="X56" s="33" t="s">
        <v>1</v>
      </c>
      <c r="Y56" s="11" t="s">
        <v>3</v>
      </c>
      <c r="Z56" s="11" t="s">
        <v>5</v>
      </c>
      <c r="AA56" s="12" t="s">
        <v>7</v>
      </c>
      <c r="AB56" s="13" t="s">
        <v>9</v>
      </c>
      <c r="AC56" s="14" t="s">
        <v>11</v>
      </c>
      <c r="AD56" s="10" t="s">
        <v>13</v>
      </c>
      <c r="AE56" s="12" t="s">
        <v>15</v>
      </c>
      <c r="AF56" s="15" t="s">
        <v>17</v>
      </c>
      <c r="AG56" s="15" t="s">
        <v>19</v>
      </c>
      <c r="AH56" s="16" t="s">
        <v>21</v>
      </c>
      <c r="AI56" s="13" t="s">
        <v>23</v>
      </c>
      <c r="AJ56" s="15" t="s">
        <v>25</v>
      </c>
      <c r="AK56" s="14" t="s">
        <v>27</v>
      </c>
      <c r="AL56" s="14" t="s">
        <v>29</v>
      </c>
      <c r="AM56" s="11" t="s">
        <v>31</v>
      </c>
      <c r="AN56" s="13" t="s">
        <v>33</v>
      </c>
      <c r="AO56" s="11" t="s">
        <v>35</v>
      </c>
      <c r="AP56" s="15" t="s">
        <v>37</v>
      </c>
      <c r="AQ56" s="91" t="s">
        <v>39</v>
      </c>
    </row>
    <row r="57" spans="1:43" x14ac:dyDescent="0.2">
      <c r="A57" s="34">
        <f>AVERAGE(E57:AD57)</f>
        <v>1.0769230769230769</v>
      </c>
      <c r="B57" s="17">
        <v>100</v>
      </c>
      <c r="C57" s="17">
        <v>1</v>
      </c>
      <c r="D57" s="82">
        <v>-1</v>
      </c>
      <c r="E57" s="83">
        <v>0.5</v>
      </c>
      <c r="F57" s="83">
        <v>0.5</v>
      </c>
      <c r="G57" s="83">
        <v>1.5</v>
      </c>
      <c r="H57" s="83">
        <v>2</v>
      </c>
      <c r="I57" s="83">
        <v>-1</v>
      </c>
      <c r="J57" s="83">
        <v>2</v>
      </c>
      <c r="K57" s="83">
        <v>2</v>
      </c>
      <c r="L57" s="83">
        <v>0.5</v>
      </c>
      <c r="M57" s="83">
        <v>1</v>
      </c>
      <c r="N57" s="83">
        <v>1.5</v>
      </c>
      <c r="O57" s="83">
        <v>1.5</v>
      </c>
      <c r="P57" s="83">
        <v>0.5</v>
      </c>
      <c r="Q57" s="83">
        <v>2</v>
      </c>
      <c r="R57" s="83">
        <v>2</v>
      </c>
      <c r="S57" s="83">
        <v>1</v>
      </c>
      <c r="T57" s="83">
        <v>2.5</v>
      </c>
      <c r="U57" s="83">
        <v>2.5</v>
      </c>
      <c r="V57" s="83">
        <v>2</v>
      </c>
      <c r="W57" s="84">
        <v>1.5</v>
      </c>
      <c r="X57" s="82">
        <v>-2</v>
      </c>
      <c r="Y57" s="83">
        <v>0</v>
      </c>
      <c r="Z57" s="83">
        <v>0.5</v>
      </c>
      <c r="AA57" s="83">
        <v>1</v>
      </c>
      <c r="AB57" s="83">
        <v>1.5</v>
      </c>
      <c r="AC57" s="83">
        <v>-0.5</v>
      </c>
      <c r="AD57" s="83">
        <v>1.5</v>
      </c>
      <c r="AE57" s="83">
        <v>2</v>
      </c>
      <c r="AF57" s="83">
        <v>0.5</v>
      </c>
      <c r="AG57" s="83">
        <v>0.5</v>
      </c>
      <c r="AH57" s="83">
        <v>1</v>
      </c>
      <c r="AI57" s="83">
        <v>1.5</v>
      </c>
      <c r="AJ57" s="83">
        <v>1</v>
      </c>
      <c r="AK57" s="83">
        <v>1</v>
      </c>
      <c r="AL57" s="83">
        <v>1</v>
      </c>
      <c r="AM57" s="83">
        <v>1</v>
      </c>
      <c r="AN57" s="83">
        <v>2</v>
      </c>
      <c r="AO57" s="83">
        <v>2</v>
      </c>
      <c r="AP57" s="83">
        <v>1.5</v>
      </c>
      <c r="AQ57" s="84">
        <v>1.5</v>
      </c>
    </row>
    <row r="58" spans="1:43" x14ac:dyDescent="0.2">
      <c r="A58" s="34">
        <f t="shared" ref="A58:A95" si="1">AVERAGE(E58:AD58)</f>
        <v>0.7857142857142857</v>
      </c>
      <c r="B58" s="17">
        <v>103</v>
      </c>
      <c r="C58" s="17">
        <v>2</v>
      </c>
      <c r="D58" s="34" t="s">
        <v>44</v>
      </c>
      <c r="E58" s="17" t="s">
        <v>44</v>
      </c>
      <c r="F58" s="17" t="s">
        <v>44</v>
      </c>
      <c r="G58" s="17" t="s">
        <v>44</v>
      </c>
      <c r="H58" s="17" t="s">
        <v>44</v>
      </c>
      <c r="I58" s="17" t="s">
        <v>44</v>
      </c>
      <c r="J58" s="17" t="s">
        <v>44</v>
      </c>
      <c r="K58" s="17" t="s">
        <v>44</v>
      </c>
      <c r="L58" s="17" t="s">
        <v>44</v>
      </c>
      <c r="M58" s="17" t="s">
        <v>44</v>
      </c>
      <c r="N58" s="17" t="s">
        <v>44</v>
      </c>
      <c r="O58" s="17" t="s">
        <v>44</v>
      </c>
      <c r="P58" s="17" t="s">
        <v>44</v>
      </c>
      <c r="Q58" s="17" t="s">
        <v>44</v>
      </c>
      <c r="R58" s="17" t="s">
        <v>44</v>
      </c>
      <c r="S58" s="17" t="s">
        <v>44</v>
      </c>
      <c r="T58" s="17" t="s">
        <v>44</v>
      </c>
      <c r="U58" s="17" t="s">
        <v>44</v>
      </c>
      <c r="V58" s="17" t="s">
        <v>44</v>
      </c>
      <c r="W58" s="85" t="s">
        <v>44</v>
      </c>
      <c r="X58" s="34">
        <v>1.5</v>
      </c>
      <c r="Y58" s="17">
        <v>2</v>
      </c>
      <c r="Z58" s="17">
        <v>0.5</v>
      </c>
      <c r="AA58" s="17">
        <v>0.5</v>
      </c>
      <c r="AB58" s="17">
        <v>1</v>
      </c>
      <c r="AC58" s="17">
        <v>-1</v>
      </c>
      <c r="AD58" s="17">
        <v>1</v>
      </c>
      <c r="AE58" s="17">
        <v>1</v>
      </c>
      <c r="AF58" s="17">
        <v>1.5</v>
      </c>
      <c r="AG58" s="17">
        <v>1</v>
      </c>
      <c r="AH58" s="17">
        <v>0.5</v>
      </c>
      <c r="AI58" s="17">
        <v>1.5</v>
      </c>
      <c r="AJ58" s="17">
        <v>0.5</v>
      </c>
      <c r="AK58" s="17">
        <v>1</v>
      </c>
      <c r="AL58" s="17">
        <v>0.5</v>
      </c>
      <c r="AM58" s="17">
        <v>1</v>
      </c>
      <c r="AN58" s="17">
        <v>1.5</v>
      </c>
      <c r="AO58" s="17">
        <v>2</v>
      </c>
      <c r="AP58" s="17">
        <v>1.5</v>
      </c>
      <c r="AQ58" s="85">
        <v>1</v>
      </c>
    </row>
    <row r="59" spans="1:43" x14ac:dyDescent="0.2">
      <c r="A59" s="34">
        <f t="shared" si="1"/>
        <v>1.4615384615384615</v>
      </c>
      <c r="B59" s="17">
        <v>105</v>
      </c>
      <c r="C59" s="17">
        <v>3</v>
      </c>
      <c r="D59" s="34">
        <v>1</v>
      </c>
      <c r="E59" s="17">
        <v>0</v>
      </c>
      <c r="F59" s="17">
        <v>0.5</v>
      </c>
      <c r="G59" s="17">
        <v>2</v>
      </c>
      <c r="H59" s="17">
        <v>2.5</v>
      </c>
      <c r="I59" s="17">
        <v>-1</v>
      </c>
      <c r="J59" s="17">
        <v>2</v>
      </c>
      <c r="K59" s="17">
        <v>2</v>
      </c>
      <c r="L59" s="17">
        <v>2</v>
      </c>
      <c r="M59" s="17">
        <v>2</v>
      </c>
      <c r="N59" s="17">
        <v>2</v>
      </c>
      <c r="O59" s="17">
        <v>2</v>
      </c>
      <c r="P59" s="17">
        <v>2</v>
      </c>
      <c r="Q59" s="17">
        <v>1</v>
      </c>
      <c r="R59" s="17">
        <v>2</v>
      </c>
      <c r="S59" s="17">
        <v>1.5</v>
      </c>
      <c r="T59" s="17">
        <v>2</v>
      </c>
      <c r="U59" s="17">
        <v>1</v>
      </c>
      <c r="V59" s="17">
        <v>1</v>
      </c>
      <c r="W59" s="85">
        <v>2</v>
      </c>
      <c r="X59" s="34">
        <v>1</v>
      </c>
      <c r="Y59" s="17">
        <v>1.5</v>
      </c>
      <c r="Z59" s="17">
        <v>1</v>
      </c>
      <c r="AA59" s="17">
        <v>2</v>
      </c>
      <c r="AB59" s="17">
        <v>1</v>
      </c>
      <c r="AC59" s="17">
        <v>1</v>
      </c>
      <c r="AD59" s="17">
        <v>2</v>
      </c>
      <c r="AE59" s="17">
        <v>2</v>
      </c>
      <c r="AF59" s="17">
        <v>2</v>
      </c>
      <c r="AG59" s="17">
        <v>1.5</v>
      </c>
      <c r="AH59" s="17">
        <v>2</v>
      </c>
      <c r="AI59" s="17">
        <v>2</v>
      </c>
      <c r="AJ59" s="17">
        <v>1</v>
      </c>
      <c r="AK59" s="17">
        <v>1</v>
      </c>
      <c r="AL59" s="17">
        <v>2</v>
      </c>
      <c r="AM59" s="17">
        <v>1</v>
      </c>
      <c r="AN59" s="17">
        <v>1.5</v>
      </c>
      <c r="AO59" s="17">
        <v>1.5</v>
      </c>
      <c r="AP59" s="17">
        <v>1.5</v>
      </c>
      <c r="AQ59" s="85">
        <v>2</v>
      </c>
    </row>
    <row r="60" spans="1:43" x14ac:dyDescent="0.2">
      <c r="A60" s="34">
        <f t="shared" si="1"/>
        <v>0.69230769230769229</v>
      </c>
      <c r="B60" s="17">
        <v>107</v>
      </c>
      <c r="C60" s="17">
        <v>4</v>
      </c>
      <c r="D60" s="34">
        <v>-1</v>
      </c>
      <c r="E60" s="17">
        <v>1</v>
      </c>
      <c r="F60" s="17">
        <v>1</v>
      </c>
      <c r="G60" s="17">
        <v>2</v>
      </c>
      <c r="H60" s="17">
        <v>1</v>
      </c>
      <c r="I60" s="17">
        <v>0</v>
      </c>
      <c r="J60" s="17">
        <v>1</v>
      </c>
      <c r="K60" s="17">
        <v>0.5</v>
      </c>
      <c r="L60" s="17">
        <v>0</v>
      </c>
      <c r="M60" s="17">
        <v>0.5</v>
      </c>
      <c r="N60" s="17">
        <v>0</v>
      </c>
      <c r="O60" s="17">
        <v>1</v>
      </c>
      <c r="P60" s="17">
        <v>1</v>
      </c>
      <c r="Q60" s="17">
        <v>1</v>
      </c>
      <c r="R60" s="17">
        <v>0.5</v>
      </c>
      <c r="S60" s="17">
        <v>0.5</v>
      </c>
      <c r="T60" s="17">
        <v>1</v>
      </c>
      <c r="U60" s="17">
        <v>1</v>
      </c>
      <c r="V60" s="17">
        <v>0.5</v>
      </c>
      <c r="W60" s="85">
        <v>0.5</v>
      </c>
      <c r="X60" s="34">
        <v>-1</v>
      </c>
      <c r="Y60" s="17">
        <v>1</v>
      </c>
      <c r="Z60" s="17">
        <v>0.5</v>
      </c>
      <c r="AA60" s="17">
        <v>1</v>
      </c>
      <c r="AB60" s="17">
        <v>1</v>
      </c>
      <c r="AC60" s="17">
        <v>0.5</v>
      </c>
      <c r="AD60" s="17">
        <v>1</v>
      </c>
      <c r="AE60" s="17">
        <v>1</v>
      </c>
      <c r="AF60" s="17">
        <v>0.5</v>
      </c>
      <c r="AG60" s="17">
        <v>-0.5</v>
      </c>
      <c r="AH60" s="17">
        <v>0.5</v>
      </c>
      <c r="AI60" s="17">
        <v>1</v>
      </c>
      <c r="AJ60" s="17">
        <v>1</v>
      </c>
      <c r="AK60" s="17">
        <v>1</v>
      </c>
      <c r="AL60" s="17">
        <v>0</v>
      </c>
      <c r="AM60" s="17">
        <v>0.5</v>
      </c>
      <c r="AN60" s="17">
        <v>1</v>
      </c>
      <c r="AO60" s="17">
        <v>1</v>
      </c>
      <c r="AP60" s="17">
        <v>1</v>
      </c>
      <c r="AQ60" s="85">
        <v>0.5</v>
      </c>
    </row>
    <row r="61" spans="1:43" x14ac:dyDescent="0.2">
      <c r="A61" s="34">
        <f t="shared" si="1"/>
        <v>1.5384615384615385</v>
      </c>
      <c r="B61" s="17">
        <v>10</v>
      </c>
      <c r="C61" s="17">
        <v>5</v>
      </c>
      <c r="D61" s="34">
        <v>1</v>
      </c>
      <c r="E61" s="17">
        <v>1.5</v>
      </c>
      <c r="F61" s="17">
        <v>1.5</v>
      </c>
      <c r="G61" s="17">
        <v>1.5</v>
      </c>
      <c r="H61" s="17">
        <v>1.5</v>
      </c>
      <c r="I61" s="17">
        <v>1</v>
      </c>
      <c r="J61" s="17">
        <v>1.5</v>
      </c>
      <c r="K61" s="17">
        <v>2</v>
      </c>
      <c r="L61" s="17">
        <v>1.5</v>
      </c>
      <c r="M61" s="17">
        <v>1</v>
      </c>
      <c r="N61" s="17">
        <v>1.5</v>
      </c>
      <c r="O61" s="17">
        <v>2</v>
      </c>
      <c r="P61" s="17">
        <v>1.5</v>
      </c>
      <c r="Q61" s="17">
        <v>1.5</v>
      </c>
      <c r="R61" s="17">
        <v>2</v>
      </c>
      <c r="S61" s="17">
        <v>1.5</v>
      </c>
      <c r="T61" s="17">
        <v>1.5</v>
      </c>
      <c r="U61" s="17">
        <v>1.5</v>
      </c>
      <c r="V61" s="17">
        <v>2</v>
      </c>
      <c r="W61" s="85">
        <v>2</v>
      </c>
      <c r="X61" s="34">
        <v>1</v>
      </c>
      <c r="Y61" s="17">
        <v>1.5</v>
      </c>
      <c r="Z61" s="17">
        <v>1</v>
      </c>
      <c r="AA61" s="17">
        <v>2</v>
      </c>
      <c r="AB61" s="17">
        <v>1.5</v>
      </c>
      <c r="AC61" s="17">
        <v>1.5</v>
      </c>
      <c r="AD61" s="17">
        <v>1.5</v>
      </c>
      <c r="AE61" s="17">
        <v>2</v>
      </c>
      <c r="AF61" s="17">
        <v>2</v>
      </c>
      <c r="AG61" s="17">
        <v>1.5</v>
      </c>
      <c r="AH61" s="17">
        <v>2</v>
      </c>
      <c r="AI61" s="17">
        <v>2</v>
      </c>
      <c r="AJ61" s="17">
        <v>1.5</v>
      </c>
      <c r="AK61" s="17">
        <v>1.5</v>
      </c>
      <c r="AL61" s="17">
        <v>1.5</v>
      </c>
      <c r="AM61" s="17">
        <v>1.5</v>
      </c>
      <c r="AN61" s="17">
        <v>1.5</v>
      </c>
      <c r="AO61" s="17">
        <v>1.5</v>
      </c>
      <c r="AP61" s="17">
        <v>2</v>
      </c>
      <c r="AQ61" s="85">
        <v>2</v>
      </c>
    </row>
    <row r="62" spans="1:43" x14ac:dyDescent="0.2">
      <c r="A62" s="34">
        <f t="shared" si="1"/>
        <v>2.3653846153846154</v>
      </c>
      <c r="B62" s="17">
        <v>13</v>
      </c>
      <c r="C62" s="17">
        <v>6</v>
      </c>
      <c r="D62" s="34">
        <v>2</v>
      </c>
      <c r="E62" s="17">
        <v>2</v>
      </c>
      <c r="F62" s="17">
        <v>2</v>
      </c>
      <c r="G62" s="17">
        <v>3</v>
      </c>
      <c r="H62" s="17">
        <v>3</v>
      </c>
      <c r="I62" s="17">
        <v>2</v>
      </c>
      <c r="J62" s="17">
        <v>3</v>
      </c>
      <c r="K62" s="17">
        <v>2</v>
      </c>
      <c r="L62" s="17">
        <v>2.5</v>
      </c>
      <c r="M62" s="17">
        <v>1</v>
      </c>
      <c r="N62" s="17">
        <v>2</v>
      </c>
      <c r="O62" s="17">
        <v>3</v>
      </c>
      <c r="P62" s="17">
        <v>2.5</v>
      </c>
      <c r="Q62" s="17">
        <v>2</v>
      </c>
      <c r="R62" s="17">
        <v>2.5</v>
      </c>
      <c r="S62" s="17">
        <v>2</v>
      </c>
      <c r="T62" s="17">
        <v>2.5</v>
      </c>
      <c r="U62" s="17">
        <v>3</v>
      </c>
      <c r="V62" s="17">
        <v>2.5</v>
      </c>
      <c r="W62" s="85">
        <v>3</v>
      </c>
      <c r="X62" s="34">
        <v>2</v>
      </c>
      <c r="Y62" s="17">
        <v>2</v>
      </c>
      <c r="Z62" s="17">
        <v>2</v>
      </c>
      <c r="AA62" s="17">
        <v>3</v>
      </c>
      <c r="AB62" s="17">
        <v>2.5</v>
      </c>
      <c r="AC62" s="17">
        <v>2</v>
      </c>
      <c r="AD62" s="17">
        <v>2.5</v>
      </c>
      <c r="AE62" s="17">
        <v>2.5</v>
      </c>
      <c r="AF62" s="17">
        <v>2</v>
      </c>
      <c r="AG62" s="17">
        <v>1</v>
      </c>
      <c r="AH62" s="17">
        <v>2</v>
      </c>
      <c r="AI62" s="17">
        <v>3</v>
      </c>
      <c r="AJ62" s="17">
        <v>2</v>
      </c>
      <c r="AK62" s="17">
        <v>2</v>
      </c>
      <c r="AL62" s="17">
        <v>2</v>
      </c>
      <c r="AM62" s="17">
        <v>2</v>
      </c>
      <c r="AN62" s="17">
        <v>2</v>
      </c>
      <c r="AO62" s="17">
        <v>2.5</v>
      </c>
      <c r="AP62" s="17">
        <v>2.5</v>
      </c>
      <c r="AQ62" s="85">
        <v>2.5</v>
      </c>
    </row>
    <row r="63" spans="1:43" x14ac:dyDescent="0.2">
      <c r="A63" s="34">
        <f t="shared" si="1"/>
        <v>1.9423076923076923</v>
      </c>
      <c r="B63" s="17">
        <v>14</v>
      </c>
      <c r="C63" s="17">
        <v>7</v>
      </c>
      <c r="D63" s="34">
        <v>1.5</v>
      </c>
      <c r="E63" s="17">
        <v>1.5</v>
      </c>
      <c r="F63" s="17">
        <v>2</v>
      </c>
      <c r="G63" s="17">
        <v>2</v>
      </c>
      <c r="H63" s="17">
        <v>2</v>
      </c>
      <c r="I63" s="17">
        <v>2</v>
      </c>
      <c r="J63" s="17">
        <v>2</v>
      </c>
      <c r="K63" s="17">
        <v>2</v>
      </c>
      <c r="L63" s="17">
        <v>2</v>
      </c>
      <c r="M63" s="17">
        <v>1.5</v>
      </c>
      <c r="N63" s="17">
        <v>2</v>
      </c>
      <c r="O63" s="17">
        <v>2</v>
      </c>
      <c r="P63" s="17">
        <v>2</v>
      </c>
      <c r="Q63" s="17">
        <v>2</v>
      </c>
      <c r="R63" s="17">
        <v>2</v>
      </c>
      <c r="S63" s="17">
        <v>1.5</v>
      </c>
      <c r="T63" s="17">
        <v>2</v>
      </c>
      <c r="U63" s="17">
        <v>2</v>
      </c>
      <c r="V63" s="17">
        <v>2</v>
      </c>
      <c r="W63" s="85">
        <v>2</v>
      </c>
      <c r="X63" s="34">
        <v>2</v>
      </c>
      <c r="Y63" s="17">
        <v>2</v>
      </c>
      <c r="Z63" s="17">
        <v>2</v>
      </c>
      <c r="AA63" s="17">
        <v>2</v>
      </c>
      <c r="AB63" s="17">
        <v>2</v>
      </c>
      <c r="AC63" s="17">
        <v>2</v>
      </c>
      <c r="AD63" s="17">
        <v>2</v>
      </c>
      <c r="AE63" s="17">
        <v>2</v>
      </c>
      <c r="AF63" s="17">
        <v>0.5</v>
      </c>
      <c r="AG63" s="17">
        <v>0.5</v>
      </c>
      <c r="AH63" s="17">
        <v>2</v>
      </c>
      <c r="AI63" s="17">
        <v>2</v>
      </c>
      <c r="AJ63" s="17">
        <v>0</v>
      </c>
      <c r="AK63" s="17">
        <v>2</v>
      </c>
      <c r="AL63" s="17">
        <v>2</v>
      </c>
      <c r="AM63" s="17">
        <v>2</v>
      </c>
      <c r="AN63" s="17">
        <v>1.5</v>
      </c>
      <c r="AO63" s="17">
        <v>2</v>
      </c>
      <c r="AP63" s="17">
        <v>2</v>
      </c>
      <c r="AQ63" s="85">
        <v>2</v>
      </c>
    </row>
    <row r="64" spans="1:43" x14ac:dyDescent="0.2">
      <c r="A64" s="34">
        <f t="shared" si="1"/>
        <v>1.2115384615384615</v>
      </c>
      <c r="B64" s="17">
        <v>19</v>
      </c>
      <c r="C64" s="17">
        <v>8</v>
      </c>
      <c r="D64" s="34">
        <v>1</v>
      </c>
      <c r="E64" s="17">
        <v>1</v>
      </c>
      <c r="F64" s="17">
        <v>1.5</v>
      </c>
      <c r="G64" s="17">
        <v>0.5</v>
      </c>
      <c r="H64" s="17">
        <v>1</v>
      </c>
      <c r="I64" s="17">
        <v>1</v>
      </c>
      <c r="J64" s="17">
        <v>1</v>
      </c>
      <c r="K64" s="17">
        <v>0.5</v>
      </c>
      <c r="L64" s="17">
        <v>1</v>
      </c>
      <c r="M64" s="17">
        <v>1</v>
      </c>
      <c r="N64" s="17">
        <v>1.5</v>
      </c>
      <c r="O64" s="17">
        <v>1</v>
      </c>
      <c r="P64" s="17">
        <v>1</v>
      </c>
      <c r="Q64" s="17">
        <v>1</v>
      </c>
      <c r="R64" s="17">
        <v>0.5</v>
      </c>
      <c r="S64" s="17">
        <v>1</v>
      </c>
      <c r="T64" s="17">
        <v>1.5</v>
      </c>
      <c r="U64" s="17">
        <v>1.5</v>
      </c>
      <c r="V64" s="17">
        <v>1.5</v>
      </c>
      <c r="W64" s="85">
        <v>2</v>
      </c>
      <c r="X64" s="34">
        <v>1.5</v>
      </c>
      <c r="Y64" s="17">
        <v>1.5</v>
      </c>
      <c r="Z64" s="17">
        <v>1</v>
      </c>
      <c r="AA64" s="17">
        <v>1.5</v>
      </c>
      <c r="AB64" s="17">
        <v>1</v>
      </c>
      <c r="AC64" s="17">
        <v>2</v>
      </c>
      <c r="AD64" s="17">
        <v>2</v>
      </c>
      <c r="AE64" s="17">
        <v>2</v>
      </c>
      <c r="AF64" s="17">
        <v>2</v>
      </c>
      <c r="AG64" s="17">
        <v>2</v>
      </c>
      <c r="AH64" s="17">
        <v>1.5</v>
      </c>
      <c r="AI64" s="17">
        <v>1.5</v>
      </c>
      <c r="AJ64" s="17">
        <v>2</v>
      </c>
      <c r="AK64" s="17">
        <v>1</v>
      </c>
      <c r="AL64" s="17">
        <v>1.5</v>
      </c>
      <c r="AM64" s="17">
        <v>0.5</v>
      </c>
      <c r="AN64" s="17">
        <v>2</v>
      </c>
      <c r="AO64" s="17">
        <v>1.5</v>
      </c>
      <c r="AP64" s="17">
        <v>2</v>
      </c>
      <c r="AQ64" s="85">
        <v>1.5</v>
      </c>
    </row>
    <row r="65" spans="1:43" x14ac:dyDescent="0.2">
      <c r="A65" s="34">
        <f t="shared" si="1"/>
        <v>1.9423076923076923</v>
      </c>
      <c r="B65" s="17">
        <v>21</v>
      </c>
      <c r="C65" s="17">
        <v>9</v>
      </c>
      <c r="D65" s="34">
        <v>1.5</v>
      </c>
      <c r="E65" s="17">
        <v>2</v>
      </c>
      <c r="F65" s="17">
        <v>2</v>
      </c>
      <c r="G65" s="17">
        <v>1.5</v>
      </c>
      <c r="H65" s="17">
        <v>3</v>
      </c>
      <c r="I65" s="17">
        <v>2.5</v>
      </c>
      <c r="J65" s="17">
        <v>2.5</v>
      </c>
      <c r="K65" s="17">
        <v>2</v>
      </c>
      <c r="L65" s="17">
        <v>3</v>
      </c>
      <c r="M65" s="17">
        <v>1.5</v>
      </c>
      <c r="N65" s="17">
        <v>0.5</v>
      </c>
      <c r="O65" s="17">
        <v>2</v>
      </c>
      <c r="P65" s="17">
        <v>3</v>
      </c>
      <c r="Q65" s="17">
        <v>1.5</v>
      </c>
      <c r="R65" s="17">
        <v>2.5</v>
      </c>
      <c r="S65" s="17">
        <v>2.5</v>
      </c>
      <c r="T65" s="17">
        <v>2</v>
      </c>
      <c r="U65" s="17">
        <v>1.5</v>
      </c>
      <c r="V65" s="17">
        <v>1.5</v>
      </c>
      <c r="W65" s="85">
        <v>3</v>
      </c>
      <c r="X65" s="34">
        <v>1</v>
      </c>
      <c r="Y65" s="17">
        <v>3</v>
      </c>
      <c r="Z65" s="17">
        <v>0</v>
      </c>
      <c r="AA65" s="17">
        <v>2</v>
      </c>
      <c r="AB65" s="17">
        <v>3</v>
      </c>
      <c r="AC65" s="17">
        <v>-1.5</v>
      </c>
      <c r="AD65" s="17">
        <v>3</v>
      </c>
      <c r="AE65" s="17">
        <v>3</v>
      </c>
      <c r="AF65" s="17">
        <v>3</v>
      </c>
      <c r="AG65" s="17">
        <v>1.5</v>
      </c>
      <c r="AH65" s="17">
        <v>2</v>
      </c>
      <c r="AI65" s="17">
        <v>1.5</v>
      </c>
      <c r="AJ65" s="17">
        <v>2.5</v>
      </c>
      <c r="AK65" s="17">
        <v>2</v>
      </c>
      <c r="AL65" s="17">
        <v>2.5</v>
      </c>
      <c r="AM65" s="17">
        <v>2.5</v>
      </c>
      <c r="AN65" s="17">
        <v>3</v>
      </c>
      <c r="AO65" s="17">
        <v>2.5</v>
      </c>
      <c r="AP65" s="17">
        <v>3</v>
      </c>
      <c r="AQ65" s="85">
        <v>2.5</v>
      </c>
    </row>
    <row r="66" spans="1:43" x14ac:dyDescent="0.2">
      <c r="A66" s="34">
        <f t="shared" si="1"/>
        <v>1.6538461538461537</v>
      </c>
      <c r="B66" s="17">
        <v>23</v>
      </c>
      <c r="C66" s="17">
        <v>10</v>
      </c>
      <c r="D66" s="34">
        <v>-1</v>
      </c>
      <c r="E66" s="17">
        <v>1</v>
      </c>
      <c r="F66" s="17">
        <v>1.5</v>
      </c>
      <c r="G66" s="17">
        <v>1.5</v>
      </c>
      <c r="H66" s="17">
        <v>2</v>
      </c>
      <c r="I66" s="17">
        <v>1.5</v>
      </c>
      <c r="J66" s="17">
        <v>2</v>
      </c>
      <c r="K66" s="17">
        <v>2</v>
      </c>
      <c r="L66" s="17">
        <v>1.5</v>
      </c>
      <c r="M66" s="17">
        <v>1.5</v>
      </c>
      <c r="N66" s="17">
        <v>1</v>
      </c>
      <c r="O66" s="17">
        <v>2</v>
      </c>
      <c r="P66" s="17">
        <v>1.5</v>
      </c>
      <c r="Q66" s="17">
        <v>2</v>
      </c>
      <c r="R66" s="17">
        <v>2</v>
      </c>
      <c r="S66" s="17">
        <v>1</v>
      </c>
      <c r="T66" s="17">
        <v>2.5</v>
      </c>
      <c r="U66" s="17">
        <v>2</v>
      </c>
      <c r="V66" s="17">
        <v>2</v>
      </c>
      <c r="W66" s="85">
        <v>2</v>
      </c>
      <c r="X66" s="34">
        <v>0.5</v>
      </c>
      <c r="Y66" s="17">
        <v>1.5</v>
      </c>
      <c r="Z66" s="17">
        <v>1.5</v>
      </c>
      <c r="AA66" s="17">
        <v>1.5</v>
      </c>
      <c r="AB66" s="17">
        <v>2</v>
      </c>
      <c r="AC66" s="17">
        <v>1.5</v>
      </c>
      <c r="AD66" s="17">
        <v>2</v>
      </c>
      <c r="AE66" s="17">
        <v>2</v>
      </c>
      <c r="AF66" s="17">
        <v>2</v>
      </c>
      <c r="AG66" s="17">
        <v>2</v>
      </c>
      <c r="AH66" s="17">
        <v>2</v>
      </c>
      <c r="AI66" s="17">
        <v>2</v>
      </c>
      <c r="AJ66" s="17">
        <v>2</v>
      </c>
      <c r="AK66" s="17">
        <v>2</v>
      </c>
      <c r="AL66" s="17">
        <v>2</v>
      </c>
      <c r="AM66" s="17">
        <v>2</v>
      </c>
      <c r="AN66" s="17">
        <v>2</v>
      </c>
      <c r="AO66" s="17">
        <v>2</v>
      </c>
      <c r="AP66" s="17">
        <v>2</v>
      </c>
      <c r="AQ66" s="85">
        <v>2</v>
      </c>
    </row>
    <row r="67" spans="1:43" x14ac:dyDescent="0.2">
      <c r="A67" s="34">
        <f t="shared" si="1"/>
        <v>1.9230769230769231</v>
      </c>
      <c r="B67" s="17">
        <v>27</v>
      </c>
      <c r="C67" s="17">
        <v>11</v>
      </c>
      <c r="D67" s="34">
        <v>1</v>
      </c>
      <c r="E67" s="17">
        <v>2</v>
      </c>
      <c r="F67" s="17">
        <v>2</v>
      </c>
      <c r="G67" s="17">
        <v>2</v>
      </c>
      <c r="H67" s="17">
        <v>2</v>
      </c>
      <c r="I67" s="17">
        <v>1</v>
      </c>
      <c r="J67" s="17">
        <v>2</v>
      </c>
      <c r="K67" s="17">
        <v>2</v>
      </c>
      <c r="L67" s="17">
        <v>2</v>
      </c>
      <c r="M67" s="17">
        <v>2</v>
      </c>
      <c r="N67" s="17">
        <v>2</v>
      </c>
      <c r="O67" s="17">
        <v>2</v>
      </c>
      <c r="P67" s="17">
        <v>2</v>
      </c>
      <c r="Q67" s="17">
        <v>2</v>
      </c>
      <c r="R67" s="17">
        <v>2</v>
      </c>
      <c r="S67" s="17">
        <v>2</v>
      </c>
      <c r="T67" s="17">
        <v>2</v>
      </c>
      <c r="U67" s="17">
        <v>2</v>
      </c>
      <c r="V67" s="17">
        <v>2</v>
      </c>
      <c r="W67" s="85">
        <v>2</v>
      </c>
      <c r="X67" s="34">
        <v>1.5</v>
      </c>
      <c r="Y67" s="17">
        <v>2</v>
      </c>
      <c r="Z67" s="17">
        <v>2</v>
      </c>
      <c r="AA67" s="17">
        <v>2</v>
      </c>
      <c r="AB67" s="17">
        <v>2</v>
      </c>
      <c r="AC67" s="17">
        <v>1.5</v>
      </c>
      <c r="AD67" s="17">
        <v>2</v>
      </c>
      <c r="AE67" s="17">
        <v>2</v>
      </c>
      <c r="AF67" s="17">
        <v>2</v>
      </c>
      <c r="AG67" s="17">
        <v>2</v>
      </c>
      <c r="AH67" s="17">
        <v>2</v>
      </c>
      <c r="AI67" s="17">
        <v>2</v>
      </c>
      <c r="AJ67" s="17">
        <v>2</v>
      </c>
      <c r="AK67" s="17">
        <v>2</v>
      </c>
      <c r="AL67" s="17">
        <v>2</v>
      </c>
      <c r="AM67" s="17">
        <v>2</v>
      </c>
      <c r="AN67" s="17">
        <v>2</v>
      </c>
      <c r="AO67" s="17">
        <v>2</v>
      </c>
      <c r="AP67" s="17">
        <v>2</v>
      </c>
      <c r="AQ67" s="85">
        <v>2</v>
      </c>
    </row>
    <row r="68" spans="1:43" x14ac:dyDescent="0.2">
      <c r="A68" s="34">
        <f t="shared" si="1"/>
        <v>2.8461538461538463</v>
      </c>
      <c r="B68" s="17">
        <v>28</v>
      </c>
      <c r="C68" s="17">
        <v>12</v>
      </c>
      <c r="D68" s="34">
        <v>3</v>
      </c>
      <c r="E68" s="17">
        <v>3</v>
      </c>
      <c r="F68" s="17">
        <v>3</v>
      </c>
      <c r="G68" s="17">
        <v>3</v>
      </c>
      <c r="H68" s="17">
        <v>3</v>
      </c>
      <c r="I68" s="17">
        <v>2.5</v>
      </c>
      <c r="J68" s="17">
        <v>3</v>
      </c>
      <c r="K68" s="17">
        <v>3</v>
      </c>
      <c r="L68" s="17">
        <v>3</v>
      </c>
      <c r="M68" s="17">
        <v>2.5</v>
      </c>
      <c r="N68" s="17">
        <v>3</v>
      </c>
      <c r="O68" s="17">
        <v>3</v>
      </c>
      <c r="P68" s="17">
        <v>3</v>
      </c>
      <c r="Q68" s="17">
        <v>3</v>
      </c>
      <c r="R68" s="17">
        <v>3</v>
      </c>
      <c r="S68" s="17">
        <v>1.5</v>
      </c>
      <c r="T68" s="17">
        <v>3</v>
      </c>
      <c r="U68" s="17">
        <v>3</v>
      </c>
      <c r="V68" s="17">
        <v>3</v>
      </c>
      <c r="W68" s="85">
        <v>3</v>
      </c>
      <c r="X68" s="34">
        <v>2</v>
      </c>
      <c r="Y68" s="17">
        <v>3</v>
      </c>
      <c r="Z68" s="17">
        <v>3</v>
      </c>
      <c r="AA68" s="17">
        <v>3</v>
      </c>
      <c r="AB68" s="17">
        <v>3</v>
      </c>
      <c r="AC68" s="17">
        <v>2.5</v>
      </c>
      <c r="AD68" s="17">
        <v>3</v>
      </c>
      <c r="AE68" s="17">
        <v>3</v>
      </c>
      <c r="AF68" s="17">
        <v>2.5</v>
      </c>
      <c r="AG68" s="17">
        <v>3</v>
      </c>
      <c r="AH68" s="17">
        <v>3</v>
      </c>
      <c r="AI68" s="17">
        <v>3</v>
      </c>
      <c r="AJ68" s="17">
        <v>3</v>
      </c>
      <c r="AK68" s="17">
        <v>3</v>
      </c>
      <c r="AL68" s="17">
        <v>3</v>
      </c>
      <c r="AM68" s="17">
        <v>3</v>
      </c>
      <c r="AN68" s="17">
        <v>3</v>
      </c>
      <c r="AO68" s="17">
        <v>3</v>
      </c>
      <c r="AP68" s="17">
        <v>3</v>
      </c>
      <c r="AQ68" s="85">
        <v>2.5</v>
      </c>
    </row>
    <row r="69" spans="1:43" x14ac:dyDescent="0.2">
      <c r="A69" s="34">
        <f t="shared" si="1"/>
        <v>2.2884615384615383</v>
      </c>
      <c r="B69" s="17">
        <v>35</v>
      </c>
      <c r="C69" s="17">
        <v>13</v>
      </c>
      <c r="D69" s="34">
        <v>1</v>
      </c>
      <c r="E69" s="17">
        <v>2.5</v>
      </c>
      <c r="F69" s="17">
        <v>1.5</v>
      </c>
      <c r="G69" s="17">
        <v>2</v>
      </c>
      <c r="H69" s="17">
        <v>3</v>
      </c>
      <c r="I69" s="17">
        <v>2.5</v>
      </c>
      <c r="J69" s="17">
        <v>2</v>
      </c>
      <c r="K69" s="17">
        <v>3</v>
      </c>
      <c r="L69" s="17">
        <v>1.5</v>
      </c>
      <c r="M69" s="17">
        <v>1.5</v>
      </c>
      <c r="N69" s="17">
        <v>2</v>
      </c>
      <c r="O69" s="17">
        <v>2.5</v>
      </c>
      <c r="P69" s="17">
        <v>3</v>
      </c>
      <c r="Q69" s="17">
        <v>2</v>
      </c>
      <c r="R69" s="17">
        <v>2.5</v>
      </c>
      <c r="S69" s="17">
        <v>2</v>
      </c>
      <c r="T69" s="17">
        <v>3</v>
      </c>
      <c r="U69" s="17">
        <v>2.5</v>
      </c>
      <c r="V69" s="17">
        <v>2.5</v>
      </c>
      <c r="W69" s="85">
        <v>2</v>
      </c>
      <c r="X69" s="34">
        <v>1</v>
      </c>
      <c r="Y69" s="17">
        <v>2</v>
      </c>
      <c r="Z69" s="17">
        <v>2.5</v>
      </c>
      <c r="AA69" s="17">
        <v>3</v>
      </c>
      <c r="AB69" s="17">
        <v>3</v>
      </c>
      <c r="AC69" s="17">
        <v>2</v>
      </c>
      <c r="AD69" s="17">
        <v>2.5</v>
      </c>
      <c r="AE69" s="17">
        <v>2</v>
      </c>
      <c r="AF69" s="17">
        <v>2</v>
      </c>
      <c r="AG69" s="17">
        <v>1.5</v>
      </c>
      <c r="AH69" s="17">
        <v>2.5</v>
      </c>
      <c r="AI69" s="17">
        <v>2</v>
      </c>
      <c r="AJ69" s="17">
        <v>2.5</v>
      </c>
      <c r="AK69" s="17">
        <v>1</v>
      </c>
      <c r="AL69" s="17">
        <v>2.5</v>
      </c>
      <c r="AM69" s="17">
        <v>2</v>
      </c>
      <c r="AN69" s="17">
        <v>2.5</v>
      </c>
      <c r="AO69" s="17">
        <v>2</v>
      </c>
      <c r="AP69" s="17">
        <v>2</v>
      </c>
      <c r="AQ69" s="85">
        <v>2.5</v>
      </c>
    </row>
    <row r="70" spans="1:43" x14ac:dyDescent="0.2">
      <c r="A70" s="34">
        <f t="shared" si="1"/>
        <v>2</v>
      </c>
      <c r="B70" s="17">
        <v>38</v>
      </c>
      <c r="C70" s="17">
        <v>14</v>
      </c>
      <c r="D70" s="34">
        <v>1.5</v>
      </c>
      <c r="E70" s="17">
        <v>2.5</v>
      </c>
      <c r="F70" s="17">
        <v>2.5</v>
      </c>
      <c r="G70" s="17">
        <v>3</v>
      </c>
      <c r="H70" s="17">
        <v>3</v>
      </c>
      <c r="I70" s="17">
        <v>1.5</v>
      </c>
      <c r="J70" s="17">
        <v>1.5</v>
      </c>
      <c r="K70" s="17">
        <v>2</v>
      </c>
      <c r="L70" s="17">
        <v>2</v>
      </c>
      <c r="M70" s="17">
        <v>1.5</v>
      </c>
      <c r="N70" s="17">
        <v>1.5</v>
      </c>
      <c r="O70" s="17">
        <v>2</v>
      </c>
      <c r="P70" s="17">
        <v>2.5</v>
      </c>
      <c r="Q70" s="17">
        <v>1.5</v>
      </c>
      <c r="R70" s="17">
        <v>2</v>
      </c>
      <c r="S70" s="17">
        <v>2.5</v>
      </c>
      <c r="T70" s="17">
        <v>2</v>
      </c>
      <c r="U70" s="17">
        <v>2</v>
      </c>
      <c r="V70" s="17">
        <v>2</v>
      </c>
      <c r="W70" s="85">
        <v>1</v>
      </c>
      <c r="X70" s="34">
        <v>1.5</v>
      </c>
      <c r="Y70" s="17">
        <v>2</v>
      </c>
      <c r="Z70" s="17">
        <v>2</v>
      </c>
      <c r="AA70" s="17">
        <v>2.5</v>
      </c>
      <c r="AB70" s="17">
        <v>2.5</v>
      </c>
      <c r="AC70" s="17">
        <v>1</v>
      </c>
      <c r="AD70" s="17">
        <v>2</v>
      </c>
      <c r="AE70" s="17">
        <v>2</v>
      </c>
      <c r="AF70" s="17">
        <v>2</v>
      </c>
      <c r="AG70" s="17">
        <v>2</v>
      </c>
      <c r="AH70" s="17">
        <v>1.5</v>
      </c>
      <c r="AI70" s="17">
        <v>2</v>
      </c>
      <c r="AJ70" s="17">
        <v>2</v>
      </c>
      <c r="AK70" s="17">
        <v>1.5</v>
      </c>
      <c r="AL70" s="17">
        <v>2</v>
      </c>
      <c r="AM70" s="17">
        <v>2.5</v>
      </c>
      <c r="AN70" s="17">
        <v>2</v>
      </c>
      <c r="AO70" s="17">
        <v>2</v>
      </c>
      <c r="AP70" s="17">
        <v>2</v>
      </c>
      <c r="AQ70" s="85">
        <v>2</v>
      </c>
    </row>
    <row r="71" spans="1:43" x14ac:dyDescent="0.2">
      <c r="A71" s="34">
        <f t="shared" si="1"/>
        <v>1.1538461538461537</v>
      </c>
      <c r="B71" s="17">
        <v>43</v>
      </c>
      <c r="C71" s="17">
        <v>15</v>
      </c>
      <c r="D71" s="34">
        <v>0.5</v>
      </c>
      <c r="E71" s="17">
        <v>1</v>
      </c>
      <c r="F71" s="17">
        <v>1</v>
      </c>
      <c r="G71" s="17">
        <v>2</v>
      </c>
      <c r="H71" s="17">
        <v>1.5</v>
      </c>
      <c r="I71" s="17">
        <v>0.5</v>
      </c>
      <c r="J71" s="17">
        <v>2</v>
      </c>
      <c r="K71" s="17">
        <v>2</v>
      </c>
      <c r="L71" s="17">
        <v>1</v>
      </c>
      <c r="M71" s="17">
        <v>0.5</v>
      </c>
      <c r="N71" s="17">
        <v>-0.5</v>
      </c>
      <c r="O71" s="17">
        <v>1.5</v>
      </c>
      <c r="P71" s="17">
        <v>1</v>
      </c>
      <c r="Q71" s="17">
        <v>2</v>
      </c>
      <c r="R71" s="17">
        <v>0.5</v>
      </c>
      <c r="S71" s="17">
        <v>0.5</v>
      </c>
      <c r="T71" s="17">
        <v>2</v>
      </c>
      <c r="U71" s="17">
        <v>1</v>
      </c>
      <c r="V71" s="17">
        <v>2</v>
      </c>
      <c r="W71" s="85">
        <v>1.5</v>
      </c>
      <c r="X71" s="34">
        <v>0.5</v>
      </c>
      <c r="Y71" s="17">
        <v>1</v>
      </c>
      <c r="Z71" s="17">
        <v>1</v>
      </c>
      <c r="AA71" s="17">
        <v>1</v>
      </c>
      <c r="AB71" s="17">
        <v>1.5</v>
      </c>
      <c r="AC71" s="17">
        <v>0</v>
      </c>
      <c r="AD71" s="17">
        <v>2</v>
      </c>
      <c r="AE71" s="17">
        <v>1.5</v>
      </c>
      <c r="AF71" s="17">
        <v>1.5</v>
      </c>
      <c r="AG71" s="17">
        <v>0.5</v>
      </c>
      <c r="AH71" s="17">
        <v>1</v>
      </c>
      <c r="AI71" s="17">
        <v>1.5</v>
      </c>
      <c r="AJ71" s="17">
        <v>1</v>
      </c>
      <c r="AK71" s="17">
        <v>1</v>
      </c>
      <c r="AL71" s="17">
        <v>1</v>
      </c>
      <c r="AM71" s="17">
        <v>0.5</v>
      </c>
      <c r="AN71" s="17">
        <v>2</v>
      </c>
      <c r="AO71" s="17">
        <v>1</v>
      </c>
      <c r="AP71" s="17">
        <v>1.5</v>
      </c>
      <c r="AQ71" s="85">
        <v>2</v>
      </c>
    </row>
    <row r="72" spans="1:43" x14ac:dyDescent="0.2">
      <c r="A72" s="34">
        <f t="shared" si="1"/>
        <v>1.8461538461538463</v>
      </c>
      <c r="B72" s="17">
        <v>44</v>
      </c>
      <c r="C72" s="17">
        <v>16</v>
      </c>
      <c r="D72" s="34">
        <v>0.5</v>
      </c>
      <c r="E72" s="17">
        <v>1</v>
      </c>
      <c r="F72" s="17">
        <v>1</v>
      </c>
      <c r="G72" s="17">
        <v>2</v>
      </c>
      <c r="H72" s="17">
        <v>2</v>
      </c>
      <c r="I72" s="17">
        <v>1</v>
      </c>
      <c r="J72" s="17">
        <v>1.5</v>
      </c>
      <c r="K72" s="17">
        <v>2</v>
      </c>
      <c r="L72" s="17">
        <v>2</v>
      </c>
      <c r="M72" s="17">
        <v>2</v>
      </c>
      <c r="N72" s="17">
        <v>1.5</v>
      </c>
      <c r="O72" s="17">
        <v>2</v>
      </c>
      <c r="P72" s="17">
        <v>2.5</v>
      </c>
      <c r="Q72" s="17">
        <v>2</v>
      </c>
      <c r="R72" s="17">
        <v>2.5</v>
      </c>
      <c r="S72" s="17">
        <v>2</v>
      </c>
      <c r="T72" s="17">
        <v>2.5</v>
      </c>
      <c r="U72" s="17">
        <v>2</v>
      </c>
      <c r="V72" s="17">
        <v>2</v>
      </c>
      <c r="W72" s="85">
        <v>2</v>
      </c>
      <c r="X72" s="34">
        <v>1</v>
      </c>
      <c r="Y72" s="17">
        <v>2</v>
      </c>
      <c r="Z72" s="17">
        <v>2</v>
      </c>
      <c r="AA72" s="17">
        <v>2</v>
      </c>
      <c r="AB72" s="17">
        <v>2</v>
      </c>
      <c r="AC72" s="17">
        <v>1.5</v>
      </c>
      <c r="AD72" s="17">
        <v>2</v>
      </c>
      <c r="AE72" s="17">
        <v>2</v>
      </c>
      <c r="AF72" s="17">
        <v>2</v>
      </c>
      <c r="AG72" s="17">
        <v>2</v>
      </c>
      <c r="AH72" s="17">
        <v>2</v>
      </c>
      <c r="AI72" s="17">
        <v>2</v>
      </c>
      <c r="AJ72" s="17">
        <v>2</v>
      </c>
      <c r="AK72" s="17">
        <v>2</v>
      </c>
      <c r="AL72" s="17">
        <v>2</v>
      </c>
      <c r="AM72" s="17">
        <v>2</v>
      </c>
      <c r="AN72" s="17">
        <v>2</v>
      </c>
      <c r="AO72" s="17">
        <v>2</v>
      </c>
      <c r="AP72" s="17">
        <v>2</v>
      </c>
      <c r="AQ72" s="85">
        <v>2</v>
      </c>
    </row>
    <row r="73" spans="1:43" x14ac:dyDescent="0.2">
      <c r="A73" s="34">
        <f t="shared" si="1"/>
        <v>1.9230769230769231</v>
      </c>
      <c r="B73" s="17">
        <v>45</v>
      </c>
      <c r="C73" s="17">
        <v>17</v>
      </c>
      <c r="D73" s="34">
        <v>0.5</v>
      </c>
      <c r="E73" s="17">
        <v>1.5</v>
      </c>
      <c r="F73" s="17">
        <v>2</v>
      </c>
      <c r="G73" s="17">
        <v>2</v>
      </c>
      <c r="H73" s="17">
        <v>2.5</v>
      </c>
      <c r="I73" s="17">
        <v>0.5</v>
      </c>
      <c r="J73" s="17">
        <v>2</v>
      </c>
      <c r="K73" s="17">
        <v>1.5</v>
      </c>
      <c r="L73" s="17">
        <v>2.5</v>
      </c>
      <c r="M73" s="17">
        <v>1.5</v>
      </c>
      <c r="N73" s="17">
        <v>2</v>
      </c>
      <c r="O73" s="17">
        <v>2</v>
      </c>
      <c r="P73" s="17">
        <v>2.5</v>
      </c>
      <c r="Q73" s="17">
        <v>2.5</v>
      </c>
      <c r="R73" s="17">
        <v>3</v>
      </c>
      <c r="S73" s="17">
        <v>1.5</v>
      </c>
      <c r="T73" s="17">
        <v>2</v>
      </c>
      <c r="U73" s="17">
        <v>2.5</v>
      </c>
      <c r="V73" s="17">
        <v>2.5</v>
      </c>
      <c r="W73" s="85">
        <v>1</v>
      </c>
      <c r="X73" s="34">
        <v>1</v>
      </c>
      <c r="Y73" s="17">
        <v>2</v>
      </c>
      <c r="Z73" s="17">
        <v>2</v>
      </c>
      <c r="AA73" s="17">
        <v>2</v>
      </c>
      <c r="AB73" s="17">
        <v>2.5</v>
      </c>
      <c r="AC73" s="17">
        <v>1.5</v>
      </c>
      <c r="AD73" s="17">
        <v>1.5</v>
      </c>
      <c r="AE73" s="17">
        <v>2</v>
      </c>
      <c r="AF73" s="17">
        <v>2</v>
      </c>
      <c r="AG73" s="17">
        <v>2</v>
      </c>
      <c r="AH73" s="17">
        <v>2</v>
      </c>
      <c r="AI73" s="17">
        <v>2.5</v>
      </c>
      <c r="AJ73" s="17">
        <v>2.5</v>
      </c>
      <c r="AK73" s="17">
        <v>2</v>
      </c>
      <c r="AL73" s="17">
        <v>2</v>
      </c>
      <c r="AM73" s="17">
        <v>2.5</v>
      </c>
      <c r="AN73" s="17">
        <v>2</v>
      </c>
      <c r="AO73" s="17">
        <v>2</v>
      </c>
      <c r="AP73" s="17">
        <v>2</v>
      </c>
      <c r="AQ73" s="85">
        <v>1.5</v>
      </c>
    </row>
    <row r="74" spans="1:43" x14ac:dyDescent="0.2">
      <c r="A74" s="34">
        <f t="shared" si="1"/>
        <v>0.88461538461538458</v>
      </c>
      <c r="B74" s="17">
        <v>48</v>
      </c>
      <c r="C74" s="17">
        <v>18</v>
      </c>
      <c r="D74" s="34">
        <v>-0.5</v>
      </c>
      <c r="E74" s="17">
        <v>1</v>
      </c>
      <c r="F74" s="17">
        <v>0</v>
      </c>
      <c r="G74" s="17">
        <v>-0.5</v>
      </c>
      <c r="H74" s="17">
        <v>2</v>
      </c>
      <c r="I74" s="17">
        <v>-2</v>
      </c>
      <c r="J74" s="17">
        <v>0.5</v>
      </c>
      <c r="K74" s="17">
        <v>2</v>
      </c>
      <c r="L74" s="17">
        <v>1</v>
      </c>
      <c r="M74" s="17">
        <v>-0.5</v>
      </c>
      <c r="N74" s="17">
        <v>1</v>
      </c>
      <c r="O74" s="17">
        <v>2</v>
      </c>
      <c r="P74" s="17">
        <v>1.5</v>
      </c>
      <c r="Q74" s="17">
        <v>2</v>
      </c>
      <c r="R74" s="17">
        <v>3</v>
      </c>
      <c r="S74" s="17">
        <v>1</v>
      </c>
      <c r="T74" s="17">
        <v>2.5</v>
      </c>
      <c r="U74" s="17">
        <v>1.5</v>
      </c>
      <c r="V74" s="17">
        <v>3</v>
      </c>
      <c r="W74" s="85">
        <v>1</v>
      </c>
      <c r="X74" s="34">
        <v>-1.5</v>
      </c>
      <c r="Y74" s="17">
        <v>1</v>
      </c>
      <c r="Z74" s="17">
        <v>-1</v>
      </c>
      <c r="AA74" s="17">
        <v>1</v>
      </c>
      <c r="AB74" s="17">
        <v>1</v>
      </c>
      <c r="AC74" s="17">
        <v>-1</v>
      </c>
      <c r="AD74" s="17">
        <v>1.5</v>
      </c>
      <c r="AE74" s="17">
        <v>2</v>
      </c>
      <c r="AF74" s="17">
        <v>2</v>
      </c>
      <c r="AG74" s="17">
        <v>1</v>
      </c>
      <c r="AH74" s="17">
        <v>1</v>
      </c>
      <c r="AI74" s="17">
        <v>2</v>
      </c>
      <c r="AJ74" s="17">
        <v>1.5</v>
      </c>
      <c r="AK74" s="17">
        <v>1</v>
      </c>
      <c r="AL74" s="17">
        <v>2</v>
      </c>
      <c r="AM74" s="17">
        <v>0.5</v>
      </c>
      <c r="AN74" s="17">
        <v>2</v>
      </c>
      <c r="AO74" s="17">
        <v>1.5</v>
      </c>
      <c r="AP74" s="17">
        <v>1.5</v>
      </c>
      <c r="AQ74" s="85">
        <v>2</v>
      </c>
    </row>
    <row r="75" spans="1:43" x14ac:dyDescent="0.2">
      <c r="A75" s="34">
        <f t="shared" si="1"/>
        <v>0.48076923076923078</v>
      </c>
      <c r="B75" s="17">
        <v>49</v>
      </c>
      <c r="C75" s="17">
        <v>19</v>
      </c>
      <c r="D75" s="34">
        <v>-3</v>
      </c>
      <c r="E75" s="17">
        <v>1</v>
      </c>
      <c r="F75" s="17">
        <v>0</v>
      </c>
      <c r="G75" s="17">
        <v>3</v>
      </c>
      <c r="H75" s="17">
        <v>1.5</v>
      </c>
      <c r="I75" s="17">
        <v>-1</v>
      </c>
      <c r="J75" s="17">
        <v>0.5</v>
      </c>
      <c r="K75" s="17">
        <v>2.5</v>
      </c>
      <c r="L75" s="17">
        <v>-0.5</v>
      </c>
      <c r="M75" s="17">
        <v>-0.5</v>
      </c>
      <c r="N75" s="17">
        <v>1</v>
      </c>
      <c r="O75" s="17">
        <v>1</v>
      </c>
      <c r="P75" s="17">
        <v>0</v>
      </c>
      <c r="Q75" s="17">
        <v>-1</v>
      </c>
      <c r="R75" s="17">
        <v>1.5</v>
      </c>
      <c r="S75" s="17">
        <v>1.5</v>
      </c>
      <c r="T75" s="17">
        <v>2.5</v>
      </c>
      <c r="U75" s="17">
        <v>0.5</v>
      </c>
      <c r="V75" s="17">
        <v>-1</v>
      </c>
      <c r="W75" s="85">
        <v>-0.5</v>
      </c>
      <c r="X75" s="34">
        <v>-3</v>
      </c>
      <c r="Y75" s="17">
        <v>1</v>
      </c>
      <c r="Z75" s="17">
        <v>1</v>
      </c>
      <c r="AA75" s="17">
        <v>1.5</v>
      </c>
      <c r="AB75" s="17">
        <v>1.5</v>
      </c>
      <c r="AC75" s="17">
        <v>0.5</v>
      </c>
      <c r="AD75" s="17">
        <v>-2</v>
      </c>
      <c r="AE75" s="17">
        <v>2</v>
      </c>
      <c r="AF75" s="17">
        <v>-1.5</v>
      </c>
      <c r="AG75" s="17">
        <v>-1</v>
      </c>
      <c r="AH75" s="17">
        <v>1</v>
      </c>
      <c r="AI75" s="17">
        <v>1</v>
      </c>
      <c r="AJ75" s="17">
        <v>-1</v>
      </c>
      <c r="AK75" s="17">
        <v>-2</v>
      </c>
      <c r="AL75" s="17">
        <v>1</v>
      </c>
      <c r="AM75" s="17">
        <v>1.5</v>
      </c>
      <c r="AN75" s="17">
        <v>2</v>
      </c>
      <c r="AO75" s="17">
        <v>0.5</v>
      </c>
      <c r="AP75" s="17">
        <v>-1</v>
      </c>
      <c r="AQ75" s="85">
        <v>-0.5</v>
      </c>
    </row>
    <row r="76" spans="1:43" x14ac:dyDescent="0.2">
      <c r="A76" s="34">
        <f t="shared" si="1"/>
        <v>1.6730769230769231</v>
      </c>
      <c r="B76" s="17">
        <v>51</v>
      </c>
      <c r="C76" s="17">
        <v>20</v>
      </c>
      <c r="D76" s="34">
        <v>-0.5</v>
      </c>
      <c r="E76" s="17">
        <v>2</v>
      </c>
      <c r="F76" s="17">
        <v>1</v>
      </c>
      <c r="G76" s="17">
        <v>1.5</v>
      </c>
      <c r="H76" s="17">
        <v>2.5</v>
      </c>
      <c r="I76" s="17">
        <v>0</v>
      </c>
      <c r="J76" s="17">
        <v>3</v>
      </c>
      <c r="K76" s="17">
        <v>1</v>
      </c>
      <c r="L76" s="17">
        <v>2</v>
      </c>
      <c r="M76" s="17">
        <v>2</v>
      </c>
      <c r="N76" s="17">
        <v>0</v>
      </c>
      <c r="O76" s="17">
        <v>2.5</v>
      </c>
      <c r="P76" s="17">
        <v>1.5</v>
      </c>
      <c r="Q76" s="17">
        <v>2.5</v>
      </c>
      <c r="R76" s="17">
        <v>3</v>
      </c>
      <c r="S76" s="17">
        <v>1</v>
      </c>
      <c r="T76" s="17">
        <v>3</v>
      </c>
      <c r="U76" s="17">
        <v>3</v>
      </c>
      <c r="V76" s="17">
        <v>3</v>
      </c>
      <c r="W76" s="85">
        <v>2.5</v>
      </c>
      <c r="X76" s="34">
        <v>-0.5</v>
      </c>
      <c r="Y76" s="17">
        <v>0.5</v>
      </c>
      <c r="Z76" s="17">
        <v>0.5</v>
      </c>
      <c r="AA76" s="17">
        <v>2</v>
      </c>
      <c r="AB76" s="17">
        <v>2</v>
      </c>
      <c r="AC76" s="17">
        <v>-0.5</v>
      </c>
      <c r="AD76" s="17">
        <v>2.5</v>
      </c>
      <c r="AE76" s="17">
        <v>0.5</v>
      </c>
      <c r="AF76" s="17">
        <v>1.5</v>
      </c>
      <c r="AG76" s="17">
        <v>2</v>
      </c>
      <c r="AH76" s="17">
        <v>0</v>
      </c>
      <c r="AI76" s="17">
        <v>2.5</v>
      </c>
      <c r="AJ76" s="17">
        <v>2</v>
      </c>
      <c r="AK76" s="17">
        <v>2</v>
      </c>
      <c r="AL76" s="17">
        <v>3</v>
      </c>
      <c r="AM76" s="17">
        <v>1</v>
      </c>
      <c r="AN76" s="17">
        <v>2.5</v>
      </c>
      <c r="AO76" s="17">
        <v>2.5</v>
      </c>
      <c r="AP76" s="17">
        <v>3</v>
      </c>
      <c r="AQ76" s="85">
        <v>2</v>
      </c>
    </row>
    <row r="77" spans="1:43" x14ac:dyDescent="0.2">
      <c r="A77" s="34">
        <f t="shared" si="1"/>
        <v>0.88461538461538458</v>
      </c>
      <c r="B77" s="17">
        <v>53</v>
      </c>
      <c r="C77" s="17">
        <v>21</v>
      </c>
      <c r="D77" s="34">
        <v>0</v>
      </c>
      <c r="E77" s="17">
        <v>1</v>
      </c>
      <c r="F77" s="17">
        <v>0.5</v>
      </c>
      <c r="G77" s="17">
        <v>2.5</v>
      </c>
      <c r="H77" s="17">
        <v>1</v>
      </c>
      <c r="I77" s="17">
        <v>-2.5</v>
      </c>
      <c r="J77" s="17">
        <v>1.5</v>
      </c>
      <c r="K77" s="17">
        <v>1</v>
      </c>
      <c r="L77" s="17">
        <v>1</v>
      </c>
      <c r="M77" s="17">
        <v>1.5</v>
      </c>
      <c r="N77" s="17">
        <v>0</v>
      </c>
      <c r="O77" s="17">
        <v>0.5</v>
      </c>
      <c r="P77" s="17">
        <v>1.5</v>
      </c>
      <c r="Q77" s="17">
        <v>1</v>
      </c>
      <c r="R77" s="17">
        <v>0.5</v>
      </c>
      <c r="S77" s="17">
        <v>0.5</v>
      </c>
      <c r="T77" s="17">
        <v>2</v>
      </c>
      <c r="U77" s="17">
        <v>2.5</v>
      </c>
      <c r="V77" s="17">
        <v>2</v>
      </c>
      <c r="W77" s="85">
        <v>2.5</v>
      </c>
      <c r="X77" s="34">
        <v>0.5</v>
      </c>
      <c r="Y77" s="17">
        <v>0.5</v>
      </c>
      <c r="Z77" s="17">
        <v>0</v>
      </c>
      <c r="AA77" s="17">
        <v>1.5</v>
      </c>
      <c r="AB77" s="17">
        <v>0.5</v>
      </c>
      <c r="AC77" s="17">
        <v>-2</v>
      </c>
      <c r="AD77" s="17">
        <v>1.5</v>
      </c>
      <c r="AE77" s="17">
        <v>1.5</v>
      </c>
      <c r="AF77" s="17">
        <v>1</v>
      </c>
      <c r="AG77" s="17">
        <v>0</v>
      </c>
      <c r="AH77" s="17">
        <v>0.5</v>
      </c>
      <c r="AI77" s="17">
        <v>0</v>
      </c>
      <c r="AJ77" s="17">
        <v>0</v>
      </c>
      <c r="AK77" s="17">
        <v>1</v>
      </c>
      <c r="AL77" s="17">
        <v>0.5</v>
      </c>
      <c r="AM77" s="17">
        <v>-1</v>
      </c>
      <c r="AN77" s="17">
        <v>2</v>
      </c>
      <c r="AO77" s="17">
        <v>1.5</v>
      </c>
      <c r="AP77" s="17">
        <v>2.5</v>
      </c>
      <c r="AQ77" s="85">
        <v>2</v>
      </c>
    </row>
    <row r="78" spans="1:43" x14ac:dyDescent="0.2">
      <c r="A78" s="34">
        <f t="shared" si="1"/>
        <v>1.1153846153846154</v>
      </c>
      <c r="B78" s="17">
        <v>55</v>
      </c>
      <c r="C78" s="17">
        <v>22</v>
      </c>
      <c r="D78" s="34">
        <v>1</v>
      </c>
      <c r="E78" s="17">
        <v>1</v>
      </c>
      <c r="F78" s="17">
        <v>1</v>
      </c>
      <c r="G78" s="17">
        <v>1</v>
      </c>
      <c r="H78" s="17">
        <v>1.5</v>
      </c>
      <c r="I78" s="17">
        <v>0.5</v>
      </c>
      <c r="J78" s="17">
        <v>1.5</v>
      </c>
      <c r="K78" s="17">
        <v>1</v>
      </c>
      <c r="L78" s="17">
        <v>0.5</v>
      </c>
      <c r="M78" s="17">
        <v>1.5</v>
      </c>
      <c r="N78" s="17">
        <v>1</v>
      </c>
      <c r="O78" s="17">
        <v>1</v>
      </c>
      <c r="P78" s="17">
        <v>1.5</v>
      </c>
      <c r="Q78" s="17">
        <v>1.5</v>
      </c>
      <c r="R78" s="17">
        <v>2</v>
      </c>
      <c r="S78" s="17">
        <v>1</v>
      </c>
      <c r="T78" s="17">
        <v>1.5</v>
      </c>
      <c r="U78" s="17">
        <v>1</v>
      </c>
      <c r="V78" s="17">
        <v>2</v>
      </c>
      <c r="W78" s="85">
        <v>1.5</v>
      </c>
      <c r="X78" s="34">
        <v>0</v>
      </c>
      <c r="Y78" s="17">
        <v>1.5</v>
      </c>
      <c r="Z78" s="17">
        <v>1</v>
      </c>
      <c r="AA78" s="17">
        <v>1</v>
      </c>
      <c r="AB78" s="17">
        <v>1</v>
      </c>
      <c r="AC78" s="17">
        <v>0</v>
      </c>
      <c r="AD78" s="17">
        <v>1</v>
      </c>
      <c r="AE78" s="17">
        <v>1</v>
      </c>
      <c r="AF78" s="17">
        <v>1</v>
      </c>
      <c r="AG78" s="17">
        <v>0.5</v>
      </c>
      <c r="AH78" s="17">
        <v>1</v>
      </c>
      <c r="AI78" s="17">
        <v>1</v>
      </c>
      <c r="AJ78" s="17">
        <v>0.5</v>
      </c>
      <c r="AK78" s="17">
        <v>1</v>
      </c>
      <c r="AL78" s="17">
        <v>0.5</v>
      </c>
      <c r="AM78" s="17">
        <v>1</v>
      </c>
      <c r="AN78" s="17">
        <v>1</v>
      </c>
      <c r="AO78" s="17">
        <v>1</v>
      </c>
      <c r="AP78" s="17">
        <v>1</v>
      </c>
      <c r="AQ78" s="85">
        <v>1</v>
      </c>
    </row>
    <row r="79" spans="1:43" x14ac:dyDescent="0.2">
      <c r="A79" s="34">
        <f t="shared" si="1"/>
        <v>1.9807692307692308</v>
      </c>
      <c r="B79" s="17">
        <v>57</v>
      </c>
      <c r="C79" s="17">
        <v>23</v>
      </c>
      <c r="D79" s="34">
        <v>1</v>
      </c>
      <c r="E79" s="17">
        <v>1</v>
      </c>
      <c r="F79" s="17">
        <v>1.5</v>
      </c>
      <c r="G79" s="17">
        <v>2.5</v>
      </c>
      <c r="H79" s="17">
        <v>2.5</v>
      </c>
      <c r="I79" s="17">
        <v>1.5</v>
      </c>
      <c r="J79" s="17">
        <v>2</v>
      </c>
      <c r="K79" s="17">
        <v>3</v>
      </c>
      <c r="L79" s="17">
        <v>1.5</v>
      </c>
      <c r="M79" s="17">
        <v>1.5</v>
      </c>
      <c r="N79" s="17">
        <v>2</v>
      </c>
      <c r="O79" s="17">
        <v>2.5</v>
      </c>
      <c r="P79" s="17">
        <v>2</v>
      </c>
      <c r="Q79" s="17">
        <v>2</v>
      </c>
      <c r="R79" s="17">
        <v>3</v>
      </c>
      <c r="S79" s="17">
        <v>1</v>
      </c>
      <c r="T79" s="17">
        <v>3</v>
      </c>
      <c r="U79" s="17">
        <v>2</v>
      </c>
      <c r="V79" s="17">
        <v>2</v>
      </c>
      <c r="W79" s="85">
        <v>3</v>
      </c>
      <c r="X79" s="34">
        <v>1</v>
      </c>
      <c r="Y79" s="17">
        <v>1.5</v>
      </c>
      <c r="Z79" s="17">
        <v>1.5</v>
      </c>
      <c r="AA79" s="17">
        <v>2.5</v>
      </c>
      <c r="AB79" s="17">
        <v>2.5</v>
      </c>
      <c r="AC79" s="17">
        <v>0.5</v>
      </c>
      <c r="AD79" s="17">
        <v>2.5</v>
      </c>
      <c r="AE79" s="17">
        <v>3</v>
      </c>
      <c r="AF79" s="17">
        <v>1.5</v>
      </c>
      <c r="AG79" s="17">
        <v>1</v>
      </c>
      <c r="AH79" s="17">
        <v>2</v>
      </c>
      <c r="AI79" s="17">
        <v>2.5</v>
      </c>
      <c r="AJ79" s="17">
        <v>1.5</v>
      </c>
      <c r="AK79" s="17">
        <v>1</v>
      </c>
      <c r="AL79" s="17">
        <v>2.5</v>
      </c>
      <c r="AM79" s="17">
        <v>2.5</v>
      </c>
      <c r="AN79" s="17">
        <v>2.5</v>
      </c>
      <c r="AO79" s="17">
        <v>1.5</v>
      </c>
      <c r="AP79" s="17">
        <v>2.5</v>
      </c>
      <c r="AQ79" s="85">
        <v>2</v>
      </c>
    </row>
    <row r="80" spans="1:43" x14ac:dyDescent="0.2">
      <c r="A80" s="34">
        <f t="shared" si="1"/>
        <v>1.5961538461538463</v>
      </c>
      <c r="B80" s="17">
        <v>60</v>
      </c>
      <c r="C80" s="17">
        <v>24</v>
      </c>
      <c r="D80" s="34">
        <v>0</v>
      </c>
      <c r="E80" s="17">
        <v>2</v>
      </c>
      <c r="F80" s="17">
        <v>2</v>
      </c>
      <c r="G80" s="17">
        <v>2</v>
      </c>
      <c r="H80" s="17">
        <v>2</v>
      </c>
      <c r="I80" s="17">
        <v>1.5</v>
      </c>
      <c r="J80" s="17">
        <v>1.5</v>
      </c>
      <c r="K80" s="17">
        <v>0.5</v>
      </c>
      <c r="L80" s="17">
        <v>2.5</v>
      </c>
      <c r="M80" s="17">
        <v>1.5</v>
      </c>
      <c r="N80" s="17">
        <v>1.5</v>
      </c>
      <c r="O80" s="17">
        <v>2</v>
      </c>
      <c r="P80" s="17">
        <v>2.5</v>
      </c>
      <c r="Q80" s="17">
        <v>2</v>
      </c>
      <c r="R80" s="17">
        <v>2.5</v>
      </c>
      <c r="S80" s="17">
        <v>1</v>
      </c>
      <c r="T80" s="17">
        <v>2</v>
      </c>
      <c r="U80" s="17">
        <v>1.5</v>
      </c>
      <c r="V80" s="17">
        <v>1.5</v>
      </c>
      <c r="W80" s="85">
        <v>1.5</v>
      </c>
      <c r="X80" s="34">
        <v>-1</v>
      </c>
      <c r="Y80" s="17">
        <v>1.5</v>
      </c>
      <c r="Z80" s="17">
        <v>1.5</v>
      </c>
      <c r="AA80" s="17">
        <v>1.5</v>
      </c>
      <c r="AB80" s="17">
        <v>2</v>
      </c>
      <c r="AC80" s="17">
        <v>0.5</v>
      </c>
      <c r="AD80" s="17">
        <v>2</v>
      </c>
      <c r="AE80" s="17">
        <v>1.5</v>
      </c>
      <c r="AF80" s="17">
        <v>2</v>
      </c>
      <c r="AG80" s="17">
        <v>1.5</v>
      </c>
      <c r="AH80" s="17">
        <v>2</v>
      </c>
      <c r="AI80" s="17">
        <v>1.5</v>
      </c>
      <c r="AJ80" s="17">
        <v>3</v>
      </c>
      <c r="AK80" s="17">
        <v>2</v>
      </c>
      <c r="AL80" s="17">
        <v>2</v>
      </c>
      <c r="AM80" s="17">
        <v>0.5</v>
      </c>
      <c r="AN80" s="17">
        <v>2.5</v>
      </c>
      <c r="AO80" s="17">
        <v>2</v>
      </c>
      <c r="AP80" s="17">
        <v>2.5</v>
      </c>
      <c r="AQ80" s="85">
        <v>2</v>
      </c>
    </row>
    <row r="81" spans="1:43" x14ac:dyDescent="0.2">
      <c r="A81" s="34">
        <f t="shared" si="1"/>
        <v>2.0769230769230771</v>
      </c>
      <c r="B81" s="17">
        <v>62</v>
      </c>
      <c r="C81" s="17">
        <v>25</v>
      </c>
      <c r="D81" s="34">
        <v>0.5</v>
      </c>
      <c r="E81" s="17">
        <v>2</v>
      </c>
      <c r="F81" s="17">
        <v>0.5</v>
      </c>
      <c r="G81" s="17">
        <v>3</v>
      </c>
      <c r="H81" s="17">
        <v>3</v>
      </c>
      <c r="I81" s="17">
        <v>1</v>
      </c>
      <c r="J81" s="17">
        <v>3</v>
      </c>
      <c r="K81" s="17">
        <v>3</v>
      </c>
      <c r="L81" s="17">
        <v>2</v>
      </c>
      <c r="M81" s="17">
        <v>1.5</v>
      </c>
      <c r="N81" s="17">
        <v>2</v>
      </c>
      <c r="O81" s="17">
        <v>3</v>
      </c>
      <c r="P81" s="17">
        <v>1.5</v>
      </c>
      <c r="Q81" s="17">
        <v>0.5</v>
      </c>
      <c r="R81" s="17">
        <v>2.5</v>
      </c>
      <c r="S81" s="17">
        <v>1</v>
      </c>
      <c r="T81" s="17">
        <v>3</v>
      </c>
      <c r="U81" s="17">
        <v>2.5</v>
      </c>
      <c r="V81" s="17">
        <v>2.5</v>
      </c>
      <c r="W81" s="85">
        <v>3</v>
      </c>
      <c r="X81" s="34">
        <v>0.5</v>
      </c>
      <c r="Y81" s="17">
        <v>2</v>
      </c>
      <c r="Z81" s="17">
        <v>2</v>
      </c>
      <c r="AA81" s="17">
        <v>2</v>
      </c>
      <c r="AB81" s="17">
        <v>3</v>
      </c>
      <c r="AC81" s="17">
        <v>1.5</v>
      </c>
      <c r="AD81" s="17">
        <v>2.5</v>
      </c>
      <c r="AE81" s="17">
        <v>2</v>
      </c>
      <c r="AF81" s="17">
        <v>1.5</v>
      </c>
      <c r="AG81" s="17">
        <v>1.5</v>
      </c>
      <c r="AH81" s="17">
        <v>2.5</v>
      </c>
      <c r="AI81" s="17">
        <v>3</v>
      </c>
      <c r="AJ81" s="17">
        <v>1.5</v>
      </c>
      <c r="AK81" s="17">
        <v>-1</v>
      </c>
      <c r="AL81" s="17">
        <v>3</v>
      </c>
      <c r="AM81" s="17">
        <v>1</v>
      </c>
      <c r="AN81" s="17">
        <v>3</v>
      </c>
      <c r="AO81" s="17">
        <v>3</v>
      </c>
      <c r="AP81" s="17">
        <v>2.5</v>
      </c>
      <c r="AQ81" s="85">
        <v>3</v>
      </c>
    </row>
    <row r="82" spans="1:43" x14ac:dyDescent="0.2">
      <c r="A82" s="34">
        <f t="shared" si="1"/>
        <v>2.1346153846153846</v>
      </c>
      <c r="B82" s="17">
        <v>64</v>
      </c>
      <c r="C82" s="17">
        <v>26</v>
      </c>
      <c r="D82" s="34">
        <v>1</v>
      </c>
      <c r="E82" s="17">
        <v>3</v>
      </c>
      <c r="F82" s="17">
        <v>3</v>
      </c>
      <c r="G82" s="17">
        <v>2</v>
      </c>
      <c r="H82" s="17">
        <v>3</v>
      </c>
      <c r="I82" s="17">
        <v>1</v>
      </c>
      <c r="J82" s="17">
        <v>2.5</v>
      </c>
      <c r="K82" s="17">
        <v>2.5</v>
      </c>
      <c r="L82" s="17">
        <v>2.5</v>
      </c>
      <c r="M82" s="17">
        <v>1</v>
      </c>
      <c r="N82" s="17">
        <v>2.5</v>
      </c>
      <c r="O82" s="17">
        <v>3</v>
      </c>
      <c r="P82" s="17">
        <v>3</v>
      </c>
      <c r="Q82" s="17">
        <v>1.5</v>
      </c>
      <c r="R82" s="17">
        <v>2.5</v>
      </c>
      <c r="S82" s="17">
        <v>1</v>
      </c>
      <c r="T82" s="17">
        <v>3</v>
      </c>
      <c r="U82" s="17">
        <v>2</v>
      </c>
      <c r="V82" s="17">
        <v>3</v>
      </c>
      <c r="W82" s="85">
        <v>1</v>
      </c>
      <c r="X82" s="34">
        <v>1</v>
      </c>
      <c r="Y82" s="17">
        <v>1.5</v>
      </c>
      <c r="Z82" s="17">
        <v>1</v>
      </c>
      <c r="AA82" s="17">
        <v>3</v>
      </c>
      <c r="AB82" s="17">
        <v>3</v>
      </c>
      <c r="AC82" s="17">
        <v>1</v>
      </c>
      <c r="AD82" s="17">
        <v>2</v>
      </c>
      <c r="AE82" s="17">
        <v>3</v>
      </c>
      <c r="AF82" s="17">
        <v>3</v>
      </c>
      <c r="AG82" s="17">
        <v>1</v>
      </c>
      <c r="AH82" s="17">
        <v>3</v>
      </c>
      <c r="AI82" s="17">
        <v>3</v>
      </c>
      <c r="AJ82" s="17">
        <v>2.5</v>
      </c>
      <c r="AK82" s="17">
        <v>1.5</v>
      </c>
      <c r="AL82" s="17">
        <v>3</v>
      </c>
      <c r="AM82" s="17">
        <v>2.5</v>
      </c>
      <c r="AN82" s="17">
        <v>3</v>
      </c>
      <c r="AO82" s="17">
        <v>1.5</v>
      </c>
      <c r="AP82" s="17">
        <v>2</v>
      </c>
      <c r="AQ82" s="85">
        <v>1.5</v>
      </c>
    </row>
    <row r="83" spans="1:43" x14ac:dyDescent="0.2">
      <c r="A83" s="34">
        <f t="shared" si="1"/>
        <v>2.3269230769230771</v>
      </c>
      <c r="B83" s="17">
        <v>66</v>
      </c>
      <c r="C83" s="17">
        <v>27</v>
      </c>
      <c r="D83" s="34">
        <v>0.5</v>
      </c>
      <c r="E83" s="17">
        <v>2</v>
      </c>
      <c r="F83" s="17">
        <v>1</v>
      </c>
      <c r="G83" s="17">
        <v>3</v>
      </c>
      <c r="H83" s="17">
        <v>2.5</v>
      </c>
      <c r="I83" s="17">
        <v>1</v>
      </c>
      <c r="J83" s="17">
        <v>3</v>
      </c>
      <c r="K83" s="17">
        <v>3</v>
      </c>
      <c r="L83" s="17">
        <v>3</v>
      </c>
      <c r="M83" s="17">
        <v>2</v>
      </c>
      <c r="N83" s="17">
        <v>3</v>
      </c>
      <c r="O83" s="17">
        <v>3</v>
      </c>
      <c r="P83" s="17">
        <v>2.5</v>
      </c>
      <c r="Q83" s="17">
        <v>3</v>
      </c>
      <c r="R83" s="17">
        <v>3</v>
      </c>
      <c r="S83" s="17">
        <v>1</v>
      </c>
      <c r="T83" s="17">
        <v>3</v>
      </c>
      <c r="U83" s="17">
        <v>2.5</v>
      </c>
      <c r="V83" s="17">
        <v>3</v>
      </c>
      <c r="W83" s="85">
        <v>2.5</v>
      </c>
      <c r="X83" s="34">
        <v>0.5</v>
      </c>
      <c r="Y83" s="17">
        <v>2</v>
      </c>
      <c r="Z83" s="17">
        <v>1.5</v>
      </c>
      <c r="AA83" s="17">
        <v>3</v>
      </c>
      <c r="AB83" s="17">
        <v>2.5</v>
      </c>
      <c r="AC83" s="17">
        <v>1.5</v>
      </c>
      <c r="AD83" s="17">
        <v>2.5</v>
      </c>
      <c r="AE83" s="17">
        <v>3</v>
      </c>
      <c r="AF83" s="17">
        <v>3</v>
      </c>
      <c r="AG83" s="17">
        <v>2.5</v>
      </c>
      <c r="AH83" s="17">
        <v>3</v>
      </c>
      <c r="AI83" s="17">
        <v>2.5</v>
      </c>
      <c r="AJ83" s="17">
        <v>2</v>
      </c>
      <c r="AK83" s="17">
        <v>3</v>
      </c>
      <c r="AL83" s="17">
        <v>2.5</v>
      </c>
      <c r="AM83" s="17">
        <v>2</v>
      </c>
      <c r="AN83" s="17">
        <v>3</v>
      </c>
      <c r="AO83" s="17">
        <v>3</v>
      </c>
      <c r="AP83" s="17">
        <v>3</v>
      </c>
      <c r="AQ83" s="85">
        <v>2.5</v>
      </c>
    </row>
    <row r="84" spans="1:43" x14ac:dyDescent="0.2">
      <c r="A84" s="34">
        <f t="shared" si="1"/>
        <v>1.2692307692307692</v>
      </c>
      <c r="B84" s="17">
        <v>68</v>
      </c>
      <c r="C84" s="17">
        <v>28</v>
      </c>
      <c r="D84" s="34">
        <v>-1.5</v>
      </c>
      <c r="E84" s="17">
        <v>0.5</v>
      </c>
      <c r="F84" s="17">
        <v>2</v>
      </c>
      <c r="G84" s="17">
        <v>2</v>
      </c>
      <c r="H84" s="17">
        <v>3</v>
      </c>
      <c r="I84" s="17">
        <v>0.5</v>
      </c>
      <c r="J84" s="17">
        <v>1</v>
      </c>
      <c r="K84" s="17">
        <v>2.5</v>
      </c>
      <c r="L84" s="17">
        <v>1</v>
      </c>
      <c r="M84" s="17">
        <v>0.5</v>
      </c>
      <c r="N84" s="17">
        <v>0</v>
      </c>
      <c r="O84" s="17">
        <v>2.5</v>
      </c>
      <c r="P84" s="17">
        <v>1.5</v>
      </c>
      <c r="Q84" s="17">
        <v>-0.5</v>
      </c>
      <c r="R84" s="17">
        <v>0</v>
      </c>
      <c r="S84" s="17">
        <v>0.5</v>
      </c>
      <c r="T84" s="17">
        <v>2.5</v>
      </c>
      <c r="U84" s="17">
        <v>2.5</v>
      </c>
      <c r="V84" s="17">
        <v>3</v>
      </c>
      <c r="W84" s="85">
        <v>2</v>
      </c>
      <c r="X84" s="34">
        <v>-2</v>
      </c>
      <c r="Y84" s="17">
        <v>1</v>
      </c>
      <c r="Z84" s="17">
        <v>1</v>
      </c>
      <c r="AA84" s="17">
        <v>2</v>
      </c>
      <c r="AB84" s="17">
        <v>2</v>
      </c>
      <c r="AC84" s="17">
        <v>-0.5</v>
      </c>
      <c r="AD84" s="17">
        <v>2.5</v>
      </c>
      <c r="AE84" s="17">
        <v>2</v>
      </c>
      <c r="AF84" s="17">
        <v>1</v>
      </c>
      <c r="AG84" s="17">
        <v>1.5</v>
      </c>
      <c r="AH84" s="17">
        <v>0</v>
      </c>
      <c r="AI84" s="17">
        <v>1.5</v>
      </c>
      <c r="AJ84" s="17">
        <v>1</v>
      </c>
      <c r="AK84" s="17">
        <v>1</v>
      </c>
      <c r="AL84" s="17">
        <v>1</v>
      </c>
      <c r="AM84" s="17">
        <v>1</v>
      </c>
      <c r="AN84" s="17">
        <v>2</v>
      </c>
      <c r="AO84" s="17">
        <v>3</v>
      </c>
      <c r="AP84" s="17">
        <v>3</v>
      </c>
      <c r="AQ84" s="85">
        <v>2</v>
      </c>
    </row>
    <row r="85" spans="1:43" x14ac:dyDescent="0.2">
      <c r="A85" s="34">
        <f t="shared" si="1"/>
        <v>1.6346153846153846</v>
      </c>
      <c r="B85" s="17">
        <v>71</v>
      </c>
      <c r="C85" s="17">
        <v>29</v>
      </c>
      <c r="D85" s="34">
        <v>-1</v>
      </c>
      <c r="E85" s="17">
        <v>0.5</v>
      </c>
      <c r="F85" s="17">
        <v>2</v>
      </c>
      <c r="G85" s="17">
        <v>2</v>
      </c>
      <c r="H85" s="17">
        <v>2</v>
      </c>
      <c r="I85" s="17">
        <v>1.5</v>
      </c>
      <c r="J85" s="17">
        <v>2</v>
      </c>
      <c r="K85" s="17">
        <v>2.5</v>
      </c>
      <c r="L85" s="17">
        <v>1</v>
      </c>
      <c r="M85" s="17">
        <v>0.5</v>
      </c>
      <c r="N85" s="17">
        <v>2</v>
      </c>
      <c r="O85" s="17">
        <v>0.5</v>
      </c>
      <c r="P85" s="17">
        <v>2</v>
      </c>
      <c r="Q85" s="17">
        <v>1.5</v>
      </c>
      <c r="R85" s="17">
        <v>3</v>
      </c>
      <c r="S85" s="17">
        <v>1.5</v>
      </c>
      <c r="T85" s="17">
        <v>3</v>
      </c>
      <c r="U85" s="17">
        <v>2.5</v>
      </c>
      <c r="V85" s="17">
        <v>3</v>
      </c>
      <c r="W85" s="85">
        <v>2</v>
      </c>
      <c r="X85" s="34">
        <v>1</v>
      </c>
      <c r="Y85" s="17">
        <v>0.5</v>
      </c>
      <c r="Z85" s="17">
        <v>0</v>
      </c>
      <c r="AA85" s="17">
        <v>1.5</v>
      </c>
      <c r="AB85" s="17">
        <v>1.5</v>
      </c>
      <c r="AC85" s="17">
        <v>0.5</v>
      </c>
      <c r="AD85" s="17">
        <v>2.5</v>
      </c>
      <c r="AE85" s="17">
        <v>3</v>
      </c>
      <c r="AF85" s="17">
        <v>2</v>
      </c>
      <c r="AG85" s="17">
        <v>1.5</v>
      </c>
      <c r="AH85" s="17">
        <v>2</v>
      </c>
      <c r="AI85" s="17">
        <v>2</v>
      </c>
      <c r="AJ85" s="17">
        <v>2</v>
      </c>
      <c r="AK85" s="17">
        <v>2</v>
      </c>
      <c r="AL85" s="17">
        <v>3</v>
      </c>
      <c r="AM85" s="17">
        <v>2</v>
      </c>
      <c r="AN85" s="17">
        <v>3</v>
      </c>
      <c r="AO85" s="17">
        <v>2.5</v>
      </c>
      <c r="AP85" s="17">
        <v>3</v>
      </c>
      <c r="AQ85" s="85">
        <v>2.5</v>
      </c>
    </row>
    <row r="86" spans="1:43" x14ac:dyDescent="0.2">
      <c r="A86" s="34">
        <f t="shared" si="1"/>
        <v>1.3846153846153846</v>
      </c>
      <c r="B86" s="17">
        <v>73</v>
      </c>
      <c r="C86" s="17">
        <v>30</v>
      </c>
      <c r="D86" s="34">
        <v>0</v>
      </c>
      <c r="E86" s="17">
        <v>2</v>
      </c>
      <c r="F86" s="17">
        <v>1</v>
      </c>
      <c r="G86" s="17">
        <v>0.5</v>
      </c>
      <c r="H86" s="17">
        <v>1.5</v>
      </c>
      <c r="I86" s="17">
        <v>1</v>
      </c>
      <c r="J86" s="17">
        <v>2</v>
      </c>
      <c r="K86" s="17">
        <v>2</v>
      </c>
      <c r="L86" s="17">
        <v>0.5</v>
      </c>
      <c r="M86" s="17">
        <v>-1</v>
      </c>
      <c r="N86" s="17">
        <v>1</v>
      </c>
      <c r="O86" s="17">
        <v>2</v>
      </c>
      <c r="P86" s="17">
        <v>3</v>
      </c>
      <c r="Q86" s="17">
        <v>1.5</v>
      </c>
      <c r="R86" s="17">
        <v>3</v>
      </c>
      <c r="S86" s="17">
        <v>2</v>
      </c>
      <c r="T86" s="17">
        <v>2.5</v>
      </c>
      <c r="U86" s="17">
        <v>2</v>
      </c>
      <c r="V86" s="17">
        <v>1.5</v>
      </c>
      <c r="W86" s="85">
        <v>2</v>
      </c>
      <c r="X86" s="34">
        <v>0</v>
      </c>
      <c r="Y86" s="17">
        <v>1</v>
      </c>
      <c r="Z86" s="17">
        <v>0</v>
      </c>
      <c r="AA86" s="17">
        <v>0</v>
      </c>
      <c r="AB86" s="17">
        <v>1.5</v>
      </c>
      <c r="AC86" s="17">
        <v>1.5</v>
      </c>
      <c r="AD86" s="17">
        <v>2</v>
      </c>
      <c r="AE86" s="17">
        <v>3</v>
      </c>
      <c r="AF86" s="17">
        <v>1</v>
      </c>
      <c r="AG86" s="17">
        <v>0.5</v>
      </c>
      <c r="AH86" s="17">
        <v>1.5</v>
      </c>
      <c r="AI86" s="17">
        <v>1.5</v>
      </c>
      <c r="AJ86" s="17">
        <v>2</v>
      </c>
      <c r="AK86" s="17">
        <v>1</v>
      </c>
      <c r="AL86" s="17">
        <v>3</v>
      </c>
      <c r="AM86" s="17">
        <v>1</v>
      </c>
      <c r="AN86" s="17">
        <v>2.5</v>
      </c>
      <c r="AO86" s="17">
        <v>2</v>
      </c>
      <c r="AP86" s="17">
        <v>1.5</v>
      </c>
      <c r="AQ86" s="85">
        <v>2</v>
      </c>
    </row>
    <row r="87" spans="1:43" x14ac:dyDescent="0.2">
      <c r="A87" s="34">
        <f t="shared" si="1"/>
        <v>0.92307692307692313</v>
      </c>
      <c r="B87" s="17">
        <v>76</v>
      </c>
      <c r="C87" s="17">
        <v>31</v>
      </c>
      <c r="D87" s="34">
        <v>0</v>
      </c>
      <c r="E87" s="17">
        <v>0</v>
      </c>
      <c r="F87" s="17">
        <v>1</v>
      </c>
      <c r="G87" s="17">
        <v>2</v>
      </c>
      <c r="H87" s="17">
        <v>1.5</v>
      </c>
      <c r="I87" s="17">
        <v>0.5</v>
      </c>
      <c r="J87" s="17">
        <v>1.5</v>
      </c>
      <c r="K87" s="17">
        <v>2</v>
      </c>
      <c r="L87" s="17">
        <v>0.5</v>
      </c>
      <c r="M87" s="17">
        <v>1</v>
      </c>
      <c r="N87" s="17">
        <v>1</v>
      </c>
      <c r="O87" s="17">
        <v>1.5</v>
      </c>
      <c r="P87" s="17">
        <v>-0.5</v>
      </c>
      <c r="Q87" s="17">
        <v>1</v>
      </c>
      <c r="R87" s="17">
        <v>2</v>
      </c>
      <c r="S87" s="17">
        <v>0.5</v>
      </c>
      <c r="T87" s="17">
        <v>2</v>
      </c>
      <c r="U87" s="17">
        <v>2</v>
      </c>
      <c r="V87" s="17">
        <v>1.5</v>
      </c>
      <c r="W87" s="85">
        <v>1</v>
      </c>
      <c r="X87" s="34">
        <v>-2</v>
      </c>
      <c r="Y87" s="17">
        <v>-1</v>
      </c>
      <c r="Z87" s="17">
        <v>0.5</v>
      </c>
      <c r="AA87" s="17">
        <v>1.5</v>
      </c>
      <c r="AB87" s="17">
        <v>1.5</v>
      </c>
      <c r="AC87" s="17">
        <v>-0.5</v>
      </c>
      <c r="AD87" s="17">
        <v>2</v>
      </c>
      <c r="AE87" s="17">
        <v>1</v>
      </c>
      <c r="AF87" s="17">
        <v>-0.5</v>
      </c>
      <c r="AG87" s="17">
        <v>-0.5</v>
      </c>
      <c r="AH87" s="17">
        <v>0.5</v>
      </c>
      <c r="AI87" s="17">
        <v>1</v>
      </c>
      <c r="AJ87" s="17">
        <v>-0.5</v>
      </c>
      <c r="AK87" s="17">
        <v>0</v>
      </c>
      <c r="AL87" s="17">
        <v>2</v>
      </c>
      <c r="AM87" s="17">
        <v>1</v>
      </c>
      <c r="AN87" s="17">
        <v>1</v>
      </c>
      <c r="AO87" s="17">
        <v>1</v>
      </c>
      <c r="AP87" s="17">
        <v>1</v>
      </c>
      <c r="AQ87" s="85">
        <v>1</v>
      </c>
    </row>
    <row r="88" spans="1:43" x14ac:dyDescent="0.2">
      <c r="A88" s="34">
        <f t="shared" si="1"/>
        <v>1.8269230769230769</v>
      </c>
      <c r="B88" s="17">
        <v>77</v>
      </c>
      <c r="C88" s="17">
        <v>32</v>
      </c>
      <c r="D88" s="34">
        <v>1</v>
      </c>
      <c r="E88" s="17">
        <v>1</v>
      </c>
      <c r="F88" s="17">
        <v>0.5</v>
      </c>
      <c r="G88" s="17">
        <v>2.5</v>
      </c>
      <c r="H88" s="17">
        <v>3</v>
      </c>
      <c r="I88" s="17">
        <v>0.5</v>
      </c>
      <c r="J88" s="17">
        <v>2</v>
      </c>
      <c r="K88" s="17">
        <v>3</v>
      </c>
      <c r="L88" s="17">
        <v>2.5</v>
      </c>
      <c r="M88" s="17">
        <v>2</v>
      </c>
      <c r="N88" s="17">
        <v>1.5</v>
      </c>
      <c r="O88" s="17">
        <v>1.5</v>
      </c>
      <c r="P88" s="17">
        <v>3</v>
      </c>
      <c r="Q88" s="17">
        <v>2</v>
      </c>
      <c r="R88" s="17">
        <v>2.5</v>
      </c>
      <c r="S88" s="17">
        <v>0</v>
      </c>
      <c r="T88" s="17">
        <v>3</v>
      </c>
      <c r="U88" s="17">
        <v>1</v>
      </c>
      <c r="V88" s="17">
        <v>3</v>
      </c>
      <c r="W88" s="85">
        <v>3</v>
      </c>
      <c r="X88" s="34">
        <v>1.5</v>
      </c>
      <c r="Y88" s="17">
        <v>-0.5</v>
      </c>
      <c r="Z88" s="17">
        <v>1</v>
      </c>
      <c r="AA88" s="17">
        <v>2.5</v>
      </c>
      <c r="AB88" s="17">
        <v>3</v>
      </c>
      <c r="AC88" s="17">
        <v>0</v>
      </c>
      <c r="AD88" s="17">
        <v>2.5</v>
      </c>
      <c r="AE88" s="17">
        <v>3</v>
      </c>
      <c r="AF88" s="17">
        <v>3</v>
      </c>
      <c r="AG88" s="17">
        <v>2</v>
      </c>
      <c r="AH88" s="17">
        <v>2</v>
      </c>
      <c r="AI88" s="17">
        <v>3</v>
      </c>
      <c r="AJ88" s="17">
        <v>3</v>
      </c>
      <c r="AK88" s="17">
        <v>2</v>
      </c>
      <c r="AL88" s="17">
        <v>2</v>
      </c>
      <c r="AM88" s="17">
        <v>2</v>
      </c>
      <c r="AN88" s="17">
        <v>3</v>
      </c>
      <c r="AO88" s="17">
        <v>2</v>
      </c>
      <c r="AP88" s="17">
        <v>3</v>
      </c>
      <c r="AQ88" s="85">
        <v>3</v>
      </c>
    </row>
    <row r="89" spans="1:43" x14ac:dyDescent="0.2">
      <c r="A89" s="34">
        <f t="shared" si="1"/>
        <v>1.5769230769230769</v>
      </c>
      <c r="B89" s="17">
        <v>79</v>
      </c>
      <c r="C89" s="17">
        <v>33</v>
      </c>
      <c r="D89" s="34">
        <v>0.5</v>
      </c>
      <c r="E89" s="17">
        <v>1.5</v>
      </c>
      <c r="F89" s="17">
        <v>1.5</v>
      </c>
      <c r="G89" s="17">
        <v>2</v>
      </c>
      <c r="H89" s="17">
        <v>2.5</v>
      </c>
      <c r="I89" s="17">
        <v>1</v>
      </c>
      <c r="J89" s="17">
        <v>3</v>
      </c>
      <c r="K89" s="17">
        <v>2</v>
      </c>
      <c r="L89" s="17">
        <v>2</v>
      </c>
      <c r="M89" s="17">
        <v>1</v>
      </c>
      <c r="N89" s="17">
        <v>0</v>
      </c>
      <c r="O89" s="17">
        <v>2</v>
      </c>
      <c r="P89" s="17">
        <v>1.5</v>
      </c>
      <c r="Q89" s="17">
        <v>1.5</v>
      </c>
      <c r="R89" s="17">
        <v>2</v>
      </c>
      <c r="S89" s="17">
        <v>0.5</v>
      </c>
      <c r="T89" s="17">
        <v>2</v>
      </c>
      <c r="U89" s="17">
        <v>2</v>
      </c>
      <c r="V89" s="17">
        <v>2.5</v>
      </c>
      <c r="W89" s="85">
        <v>2</v>
      </c>
      <c r="X89" s="34">
        <v>0.5</v>
      </c>
      <c r="Y89" s="17">
        <v>1</v>
      </c>
      <c r="Z89" s="17">
        <v>1</v>
      </c>
      <c r="AA89" s="17">
        <v>1.5</v>
      </c>
      <c r="AB89" s="17">
        <v>2</v>
      </c>
      <c r="AC89" s="17">
        <v>0.5</v>
      </c>
      <c r="AD89" s="17">
        <v>2</v>
      </c>
      <c r="AE89" s="17">
        <v>2</v>
      </c>
      <c r="AF89" s="17">
        <v>1.5</v>
      </c>
      <c r="AG89" s="17">
        <v>1.5</v>
      </c>
      <c r="AH89" s="17">
        <v>0.5</v>
      </c>
      <c r="AI89" s="17">
        <v>1.5</v>
      </c>
      <c r="AJ89" s="17">
        <v>1</v>
      </c>
      <c r="AK89" s="17">
        <v>2</v>
      </c>
      <c r="AL89" s="17">
        <v>2</v>
      </c>
      <c r="AM89" s="17">
        <v>1.5</v>
      </c>
      <c r="AN89" s="17">
        <v>2.5</v>
      </c>
      <c r="AO89" s="17">
        <v>2</v>
      </c>
      <c r="AP89" s="17">
        <v>2.5</v>
      </c>
      <c r="AQ89" s="85">
        <v>2</v>
      </c>
    </row>
    <row r="90" spans="1:43" x14ac:dyDescent="0.2">
      <c r="A90" s="34">
        <f t="shared" si="1"/>
        <v>2.2884615384615383</v>
      </c>
      <c r="B90" s="17">
        <v>81</v>
      </c>
      <c r="C90" s="17">
        <v>34</v>
      </c>
      <c r="D90" s="34">
        <v>0.5</v>
      </c>
      <c r="E90" s="17">
        <v>2</v>
      </c>
      <c r="F90" s="17">
        <v>2.5</v>
      </c>
      <c r="G90" s="17">
        <v>2</v>
      </c>
      <c r="H90" s="17">
        <v>2</v>
      </c>
      <c r="I90" s="17">
        <v>1</v>
      </c>
      <c r="J90" s="17">
        <v>2</v>
      </c>
      <c r="K90" s="17">
        <v>2.5</v>
      </c>
      <c r="L90" s="17">
        <v>3</v>
      </c>
      <c r="M90" s="17">
        <v>2.5</v>
      </c>
      <c r="N90" s="17">
        <v>2.5</v>
      </c>
      <c r="O90" s="17">
        <v>2.5</v>
      </c>
      <c r="P90" s="17">
        <v>2.5</v>
      </c>
      <c r="Q90" s="17">
        <v>2.5</v>
      </c>
      <c r="R90" s="17">
        <v>1.5</v>
      </c>
      <c r="S90" s="17">
        <v>2.5</v>
      </c>
      <c r="T90" s="17">
        <v>2.5</v>
      </c>
      <c r="U90" s="17">
        <v>3</v>
      </c>
      <c r="V90" s="17">
        <v>2.5</v>
      </c>
      <c r="W90" s="85">
        <v>2.5</v>
      </c>
      <c r="X90" s="34">
        <v>1.5</v>
      </c>
      <c r="Y90" s="17">
        <v>2.5</v>
      </c>
      <c r="Z90" s="17">
        <v>3</v>
      </c>
      <c r="AA90" s="17">
        <v>2</v>
      </c>
      <c r="AB90" s="17">
        <v>2.5</v>
      </c>
      <c r="AC90" s="17">
        <v>1.5</v>
      </c>
      <c r="AD90" s="17">
        <v>2.5</v>
      </c>
      <c r="AE90" s="17">
        <v>2</v>
      </c>
      <c r="AF90" s="17">
        <v>2</v>
      </c>
      <c r="AG90" s="17">
        <v>1.5</v>
      </c>
      <c r="AH90" s="17">
        <v>1.5</v>
      </c>
      <c r="AI90" s="17">
        <v>2</v>
      </c>
      <c r="AJ90" s="17">
        <v>3</v>
      </c>
      <c r="AK90" s="17">
        <v>2.5</v>
      </c>
      <c r="AL90" s="17">
        <v>2.5</v>
      </c>
      <c r="AM90" s="17">
        <v>2.5</v>
      </c>
      <c r="AN90" s="17">
        <v>2</v>
      </c>
      <c r="AO90" s="17">
        <v>3</v>
      </c>
      <c r="AP90" s="17">
        <v>2.5</v>
      </c>
      <c r="AQ90" s="85">
        <v>3</v>
      </c>
    </row>
    <row r="91" spans="1:43" x14ac:dyDescent="0.2">
      <c r="A91" s="34">
        <f t="shared" si="1"/>
        <v>1.0192307692307692</v>
      </c>
      <c r="B91" s="17">
        <v>83</v>
      </c>
      <c r="C91" s="17">
        <v>35</v>
      </c>
      <c r="D91" s="34">
        <v>0</v>
      </c>
      <c r="E91" s="17">
        <v>0</v>
      </c>
      <c r="F91" s="17">
        <v>1</v>
      </c>
      <c r="G91" s="17">
        <v>1.5</v>
      </c>
      <c r="H91" s="17">
        <v>1.5</v>
      </c>
      <c r="I91" s="17">
        <v>-1</v>
      </c>
      <c r="J91" s="17">
        <v>1</v>
      </c>
      <c r="K91" s="17">
        <v>2</v>
      </c>
      <c r="L91" s="17">
        <v>0.5</v>
      </c>
      <c r="M91" s="17">
        <v>0.5</v>
      </c>
      <c r="N91" s="17">
        <v>2</v>
      </c>
      <c r="O91" s="17">
        <v>2</v>
      </c>
      <c r="P91" s="17">
        <v>2</v>
      </c>
      <c r="Q91" s="17">
        <v>1.5</v>
      </c>
      <c r="R91" s="17">
        <v>1</v>
      </c>
      <c r="S91" s="17">
        <v>-0.5</v>
      </c>
      <c r="T91" s="17">
        <v>1</v>
      </c>
      <c r="U91" s="17">
        <v>1</v>
      </c>
      <c r="V91" s="17">
        <v>1.5</v>
      </c>
      <c r="W91" s="85">
        <v>1</v>
      </c>
      <c r="X91" s="34">
        <v>0.5</v>
      </c>
      <c r="Y91" s="17">
        <v>1</v>
      </c>
      <c r="Z91" s="17">
        <v>1.5</v>
      </c>
      <c r="AA91" s="17">
        <v>1.5</v>
      </c>
      <c r="AB91" s="17">
        <v>2</v>
      </c>
      <c r="AC91" s="17">
        <v>-1</v>
      </c>
      <c r="AD91" s="17">
        <v>1.5</v>
      </c>
      <c r="AE91" s="17">
        <v>1.5</v>
      </c>
      <c r="AF91" s="17">
        <v>1</v>
      </c>
      <c r="AG91" s="17">
        <v>1</v>
      </c>
      <c r="AH91" s="17">
        <v>2</v>
      </c>
      <c r="AI91" s="17">
        <v>0</v>
      </c>
      <c r="AJ91" s="17">
        <v>2</v>
      </c>
      <c r="AK91" s="17">
        <v>1</v>
      </c>
      <c r="AL91" s="17">
        <v>1</v>
      </c>
      <c r="AM91" s="17">
        <v>1</v>
      </c>
      <c r="AN91" s="17">
        <v>1</v>
      </c>
      <c r="AO91" s="17">
        <v>0.5</v>
      </c>
      <c r="AP91" s="17">
        <v>1.5</v>
      </c>
      <c r="AQ91" s="85">
        <v>1</v>
      </c>
    </row>
    <row r="92" spans="1:43" x14ac:dyDescent="0.2">
      <c r="A92" s="34">
        <f t="shared" si="1"/>
        <v>2.4807692307692308</v>
      </c>
      <c r="B92" s="17">
        <v>90</v>
      </c>
      <c r="C92" s="17">
        <v>36</v>
      </c>
      <c r="D92" s="34">
        <v>0</v>
      </c>
      <c r="E92" s="17">
        <v>2</v>
      </c>
      <c r="F92" s="17">
        <v>2.5</v>
      </c>
      <c r="G92" s="17">
        <v>3</v>
      </c>
      <c r="H92" s="17">
        <v>2.5</v>
      </c>
      <c r="I92" s="17">
        <v>1.5</v>
      </c>
      <c r="J92" s="17">
        <v>3</v>
      </c>
      <c r="K92" s="17">
        <v>3</v>
      </c>
      <c r="L92" s="17">
        <v>2</v>
      </c>
      <c r="M92" s="17">
        <v>2</v>
      </c>
      <c r="N92" s="17">
        <v>2.5</v>
      </c>
      <c r="O92" s="17">
        <v>3</v>
      </c>
      <c r="P92" s="17">
        <v>2.5</v>
      </c>
      <c r="Q92" s="17">
        <v>2</v>
      </c>
      <c r="R92" s="17">
        <v>3</v>
      </c>
      <c r="S92" s="17">
        <v>3</v>
      </c>
      <c r="T92" s="17">
        <v>3</v>
      </c>
      <c r="U92" s="17">
        <v>1.5</v>
      </c>
      <c r="V92" s="17">
        <v>2.5</v>
      </c>
      <c r="W92" s="85">
        <v>2.5</v>
      </c>
      <c r="X92" s="34">
        <v>1.5</v>
      </c>
      <c r="Y92" s="17">
        <v>2.5</v>
      </c>
      <c r="Z92" s="17">
        <v>2.5</v>
      </c>
      <c r="AA92" s="17">
        <v>3</v>
      </c>
      <c r="AB92" s="17">
        <v>2.5</v>
      </c>
      <c r="AC92" s="17">
        <v>2.5</v>
      </c>
      <c r="AD92" s="17">
        <v>3</v>
      </c>
      <c r="AE92" s="17">
        <v>3</v>
      </c>
      <c r="AF92" s="17">
        <v>3</v>
      </c>
      <c r="AG92" s="17">
        <v>1.5</v>
      </c>
      <c r="AH92" s="17">
        <v>2</v>
      </c>
      <c r="AI92" s="17">
        <v>3</v>
      </c>
      <c r="AJ92" s="17">
        <v>2.5</v>
      </c>
      <c r="AK92" s="17">
        <v>2</v>
      </c>
      <c r="AL92" s="17">
        <v>2.5</v>
      </c>
      <c r="AM92" s="17">
        <v>3</v>
      </c>
      <c r="AN92" s="17">
        <v>2.5</v>
      </c>
      <c r="AO92" s="17">
        <v>2.5</v>
      </c>
      <c r="AP92" s="17">
        <v>3</v>
      </c>
      <c r="AQ92" s="85">
        <v>3</v>
      </c>
    </row>
    <row r="93" spans="1:43" x14ac:dyDescent="0.2">
      <c r="A93" s="34">
        <f t="shared" si="1"/>
        <v>1.3076923076923077</v>
      </c>
      <c r="B93" s="17">
        <v>92</v>
      </c>
      <c r="C93" s="17">
        <v>37</v>
      </c>
      <c r="D93" s="34">
        <v>-1.5</v>
      </c>
      <c r="E93" s="17">
        <v>1</v>
      </c>
      <c r="F93" s="17">
        <v>1</v>
      </c>
      <c r="G93" s="17">
        <v>2</v>
      </c>
      <c r="H93" s="17">
        <v>1.5</v>
      </c>
      <c r="I93" s="17">
        <v>1</v>
      </c>
      <c r="J93" s="17">
        <v>2.5</v>
      </c>
      <c r="K93" s="17">
        <v>1</v>
      </c>
      <c r="L93" s="17">
        <v>2</v>
      </c>
      <c r="M93" s="17">
        <v>1</v>
      </c>
      <c r="N93" s="17">
        <v>0</v>
      </c>
      <c r="O93" s="17">
        <v>1.5</v>
      </c>
      <c r="P93" s="17">
        <v>1</v>
      </c>
      <c r="Q93" s="17">
        <v>1.5</v>
      </c>
      <c r="R93" s="17">
        <v>2.5</v>
      </c>
      <c r="S93" s="17">
        <v>0.5</v>
      </c>
      <c r="T93" s="17">
        <v>1.5</v>
      </c>
      <c r="U93" s="17">
        <v>1</v>
      </c>
      <c r="V93" s="17">
        <v>2</v>
      </c>
      <c r="W93" s="85">
        <v>1</v>
      </c>
      <c r="X93" s="34">
        <v>0.5</v>
      </c>
      <c r="Y93" s="17">
        <v>0.5</v>
      </c>
      <c r="Z93" s="17">
        <v>2</v>
      </c>
      <c r="AA93" s="17">
        <v>0</v>
      </c>
      <c r="AB93" s="17">
        <v>2</v>
      </c>
      <c r="AC93" s="17">
        <v>1.5</v>
      </c>
      <c r="AD93" s="17">
        <v>2</v>
      </c>
      <c r="AE93" s="17">
        <v>2</v>
      </c>
      <c r="AF93" s="17">
        <v>2</v>
      </c>
      <c r="AG93" s="17">
        <v>1.5</v>
      </c>
      <c r="AH93" s="17">
        <v>0.5</v>
      </c>
      <c r="AI93" s="17">
        <v>1</v>
      </c>
      <c r="AJ93" s="17">
        <v>2</v>
      </c>
      <c r="AK93" s="17">
        <v>1.5</v>
      </c>
      <c r="AL93" s="17">
        <v>2</v>
      </c>
      <c r="AM93" s="17">
        <v>1</v>
      </c>
      <c r="AN93" s="17">
        <v>2</v>
      </c>
      <c r="AO93" s="17">
        <v>0.5</v>
      </c>
      <c r="AP93" s="17">
        <v>2</v>
      </c>
      <c r="AQ93" s="85">
        <v>0.5</v>
      </c>
    </row>
    <row r="94" spans="1:43" x14ac:dyDescent="0.2">
      <c r="A94" s="34">
        <f t="shared" si="1"/>
        <v>1.5961538461538463</v>
      </c>
      <c r="B94" s="17">
        <v>97</v>
      </c>
      <c r="C94" s="17">
        <v>38</v>
      </c>
      <c r="D94" s="34">
        <v>0</v>
      </c>
      <c r="E94" s="17">
        <v>1</v>
      </c>
      <c r="F94" s="17">
        <v>2</v>
      </c>
      <c r="G94" s="17">
        <v>1.5</v>
      </c>
      <c r="H94" s="17">
        <v>2</v>
      </c>
      <c r="I94" s="17">
        <v>1</v>
      </c>
      <c r="J94" s="17">
        <v>2.5</v>
      </c>
      <c r="K94" s="17">
        <v>2</v>
      </c>
      <c r="L94" s="17">
        <v>1</v>
      </c>
      <c r="M94" s="17">
        <v>1.5</v>
      </c>
      <c r="N94" s="17">
        <v>1</v>
      </c>
      <c r="O94" s="17">
        <v>2</v>
      </c>
      <c r="P94" s="17">
        <v>2</v>
      </c>
      <c r="Q94" s="17">
        <v>1.5</v>
      </c>
      <c r="R94" s="17">
        <v>2</v>
      </c>
      <c r="S94" s="17">
        <v>1.5</v>
      </c>
      <c r="T94" s="17">
        <v>2</v>
      </c>
      <c r="U94" s="17">
        <v>1.5</v>
      </c>
      <c r="V94" s="17">
        <v>2</v>
      </c>
      <c r="W94" s="85">
        <v>2</v>
      </c>
      <c r="X94" s="34">
        <v>1</v>
      </c>
      <c r="Y94" s="17">
        <v>1</v>
      </c>
      <c r="Z94" s="17">
        <v>1</v>
      </c>
      <c r="AA94" s="17">
        <v>2</v>
      </c>
      <c r="AB94" s="17">
        <v>1.5</v>
      </c>
      <c r="AC94" s="17">
        <v>1</v>
      </c>
      <c r="AD94" s="17">
        <v>2</v>
      </c>
      <c r="AE94" s="17">
        <v>2.5</v>
      </c>
      <c r="AF94" s="17">
        <v>1</v>
      </c>
      <c r="AG94" s="17">
        <v>1</v>
      </c>
      <c r="AH94" s="17">
        <v>1</v>
      </c>
      <c r="AI94" s="17">
        <v>2</v>
      </c>
      <c r="AJ94" s="17">
        <v>2</v>
      </c>
      <c r="AK94" s="17">
        <v>1.5</v>
      </c>
      <c r="AL94" s="17">
        <v>2</v>
      </c>
      <c r="AM94" s="17">
        <v>2</v>
      </c>
      <c r="AN94" s="17">
        <v>2</v>
      </c>
      <c r="AO94" s="17">
        <v>2</v>
      </c>
      <c r="AP94" s="17">
        <v>3</v>
      </c>
      <c r="AQ94" s="85">
        <v>2</v>
      </c>
    </row>
    <row r="95" spans="1:43" x14ac:dyDescent="0.2">
      <c r="A95" s="86">
        <f t="shared" si="1"/>
        <v>1.9038461538461537</v>
      </c>
      <c r="B95" s="87">
        <v>98</v>
      </c>
      <c r="C95" s="87">
        <v>39</v>
      </c>
      <c r="D95" s="86">
        <v>1</v>
      </c>
      <c r="E95" s="87">
        <v>1.5</v>
      </c>
      <c r="F95" s="87">
        <v>3</v>
      </c>
      <c r="G95" s="87">
        <v>2</v>
      </c>
      <c r="H95" s="87">
        <v>2.5</v>
      </c>
      <c r="I95" s="87">
        <v>1</v>
      </c>
      <c r="J95" s="87">
        <v>3</v>
      </c>
      <c r="K95" s="87">
        <v>3</v>
      </c>
      <c r="L95" s="87">
        <v>2</v>
      </c>
      <c r="M95" s="87">
        <v>3</v>
      </c>
      <c r="N95" s="87">
        <v>1.5</v>
      </c>
      <c r="O95" s="87">
        <v>2</v>
      </c>
      <c r="P95" s="87">
        <v>1.5</v>
      </c>
      <c r="Q95" s="87">
        <v>1</v>
      </c>
      <c r="R95" s="87">
        <v>2.5</v>
      </c>
      <c r="S95" s="87">
        <v>2</v>
      </c>
      <c r="T95" s="87">
        <v>2</v>
      </c>
      <c r="U95" s="87">
        <v>2.5</v>
      </c>
      <c r="V95" s="87">
        <v>0.5</v>
      </c>
      <c r="W95" s="88">
        <v>2.5</v>
      </c>
      <c r="X95" s="86">
        <v>1</v>
      </c>
      <c r="Y95" s="87">
        <v>2</v>
      </c>
      <c r="Z95" s="87">
        <v>1</v>
      </c>
      <c r="AA95" s="87">
        <v>3</v>
      </c>
      <c r="AB95" s="87">
        <v>2</v>
      </c>
      <c r="AC95" s="87">
        <v>0</v>
      </c>
      <c r="AD95" s="87">
        <v>1.5</v>
      </c>
      <c r="AE95" s="87">
        <v>2.5</v>
      </c>
      <c r="AF95" s="87">
        <v>2</v>
      </c>
      <c r="AG95" s="87">
        <v>2.5</v>
      </c>
      <c r="AH95" s="87">
        <v>1</v>
      </c>
      <c r="AI95" s="87">
        <v>1</v>
      </c>
      <c r="AJ95" s="87">
        <v>2</v>
      </c>
      <c r="AK95" s="87">
        <v>1.5</v>
      </c>
      <c r="AL95" s="87">
        <v>2.5</v>
      </c>
      <c r="AM95" s="87">
        <v>2.5</v>
      </c>
      <c r="AN95" s="87">
        <v>3</v>
      </c>
      <c r="AO95" s="87">
        <v>1.5</v>
      </c>
      <c r="AP95" s="87">
        <v>1</v>
      </c>
      <c r="AQ95" s="88">
        <v>2.5</v>
      </c>
    </row>
  </sheetData>
  <mergeCells count="6">
    <mergeCell ref="A1:C1"/>
    <mergeCell ref="D1:W1"/>
    <mergeCell ref="X1:AQ1"/>
    <mergeCell ref="A52:C52"/>
    <mergeCell ref="D52:W52"/>
    <mergeCell ref="X52:AQ52"/>
  </mergeCells>
  <phoneticPr fontId="1" type="noConversion"/>
  <conditionalFormatting sqref="A5:A50">
    <cfRule type="aboveAverage" dxfId="13" priority="3"/>
  </conditionalFormatting>
  <conditionalFormatting sqref="A56:A95">
    <cfRule type="aboveAverage" dxfId="12" priority="2"/>
  </conditionalFormatting>
  <conditionalFormatting sqref="B96:B98">
    <cfRule type="aboveAverage" dxfId="11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E840-19B0-4057-A9D8-77A26D5F41F6}">
  <dimension ref="A1:AQ95"/>
  <sheetViews>
    <sheetView zoomScale="85" zoomScaleNormal="85" workbookViewId="0">
      <selection activeCell="C34" sqref="C34"/>
    </sheetView>
  </sheetViews>
  <sheetFormatPr defaultColWidth="8.625" defaultRowHeight="11.25" x14ac:dyDescent="0.2"/>
  <cols>
    <col min="1" max="3" width="8.625" style="17"/>
    <col min="4" max="4" width="8.625" style="17" customWidth="1"/>
    <col min="5" max="23" width="8.625" style="17"/>
    <col min="24" max="24" width="8.625" style="34"/>
    <col min="25" max="16384" width="8.625" style="17"/>
  </cols>
  <sheetData>
    <row r="1" spans="1:43" ht="15.75" x14ac:dyDescent="0.2">
      <c r="A1" s="342" t="s">
        <v>134</v>
      </c>
      <c r="B1" s="343"/>
      <c r="C1" s="343"/>
      <c r="D1" s="344" t="s">
        <v>136</v>
      </c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5"/>
      <c r="X1" s="344" t="s">
        <v>139</v>
      </c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5"/>
    </row>
    <row r="2" spans="1:43" s="9" customFormat="1" x14ac:dyDescent="0.2">
      <c r="A2" s="89" t="s">
        <v>97</v>
      </c>
      <c r="C2" s="9" t="s">
        <v>46</v>
      </c>
      <c r="D2" s="10">
        <v>2</v>
      </c>
      <c r="E2" s="10">
        <v>11</v>
      </c>
      <c r="F2" s="10">
        <v>12</v>
      </c>
      <c r="G2" s="10">
        <v>18</v>
      </c>
      <c r="H2" s="10">
        <v>15</v>
      </c>
      <c r="I2" s="10">
        <v>3</v>
      </c>
      <c r="J2" s="10">
        <v>20</v>
      </c>
      <c r="K2" s="10">
        <v>19</v>
      </c>
      <c r="L2" s="10">
        <v>7</v>
      </c>
      <c r="M2" s="10">
        <v>8</v>
      </c>
      <c r="N2" s="10">
        <v>1</v>
      </c>
      <c r="O2" s="10">
        <v>16</v>
      </c>
      <c r="P2" s="10">
        <v>9</v>
      </c>
      <c r="Q2" s="10">
        <v>4</v>
      </c>
      <c r="R2" s="10">
        <v>5</v>
      </c>
      <c r="S2" s="10">
        <v>13</v>
      </c>
      <c r="T2" s="10">
        <v>17</v>
      </c>
      <c r="U2" s="10">
        <v>14</v>
      </c>
      <c r="V2" s="10">
        <v>10</v>
      </c>
      <c r="W2" s="10">
        <v>6</v>
      </c>
      <c r="X2" s="33">
        <v>2</v>
      </c>
      <c r="Y2" s="10">
        <v>11</v>
      </c>
      <c r="Z2" s="10">
        <v>12</v>
      </c>
      <c r="AA2" s="10">
        <v>18</v>
      </c>
      <c r="AB2" s="10">
        <v>15</v>
      </c>
      <c r="AC2" s="10">
        <v>3</v>
      </c>
      <c r="AD2" s="10">
        <v>20</v>
      </c>
      <c r="AE2" s="10">
        <v>19</v>
      </c>
      <c r="AF2" s="10">
        <v>7</v>
      </c>
      <c r="AG2" s="10">
        <v>8</v>
      </c>
      <c r="AH2" s="10">
        <v>1</v>
      </c>
      <c r="AI2" s="10">
        <v>16</v>
      </c>
      <c r="AJ2" s="10">
        <v>9</v>
      </c>
      <c r="AK2" s="10">
        <v>4</v>
      </c>
      <c r="AL2" s="10">
        <v>5</v>
      </c>
      <c r="AM2" s="10">
        <v>13</v>
      </c>
      <c r="AN2" s="10">
        <v>17</v>
      </c>
      <c r="AO2" s="10">
        <v>14</v>
      </c>
      <c r="AP2" s="10">
        <v>10</v>
      </c>
      <c r="AQ2" s="90">
        <v>6</v>
      </c>
    </row>
    <row r="3" spans="1:43" s="9" customFormat="1" x14ac:dyDescent="0.2">
      <c r="A3" s="89"/>
      <c r="C3" s="9" t="s">
        <v>47</v>
      </c>
      <c r="D3" s="10">
        <v>1</v>
      </c>
      <c r="E3" s="11">
        <v>2</v>
      </c>
      <c r="F3" s="11">
        <v>3</v>
      </c>
      <c r="G3" s="12">
        <v>4</v>
      </c>
      <c r="H3" s="13">
        <v>5</v>
      </c>
      <c r="I3" s="14">
        <v>6</v>
      </c>
      <c r="J3" s="10">
        <v>7</v>
      </c>
      <c r="K3" s="12">
        <v>8</v>
      </c>
      <c r="L3" s="15">
        <v>9</v>
      </c>
      <c r="M3" s="15">
        <v>10</v>
      </c>
      <c r="N3" s="16">
        <v>11</v>
      </c>
      <c r="O3" s="13">
        <v>12</v>
      </c>
      <c r="P3" s="15">
        <v>13</v>
      </c>
      <c r="Q3" s="14">
        <v>14</v>
      </c>
      <c r="R3" s="14">
        <v>15</v>
      </c>
      <c r="S3" s="11">
        <v>16</v>
      </c>
      <c r="T3" s="13">
        <v>17</v>
      </c>
      <c r="U3" s="11">
        <v>18</v>
      </c>
      <c r="V3" s="15">
        <v>19</v>
      </c>
      <c r="W3" s="14">
        <v>20</v>
      </c>
      <c r="X3" s="33">
        <v>1</v>
      </c>
      <c r="Y3" s="11">
        <v>2</v>
      </c>
      <c r="Z3" s="11">
        <v>3</v>
      </c>
      <c r="AA3" s="12">
        <v>4</v>
      </c>
      <c r="AB3" s="13">
        <v>5</v>
      </c>
      <c r="AC3" s="14">
        <v>6</v>
      </c>
      <c r="AD3" s="10">
        <v>7</v>
      </c>
      <c r="AE3" s="12">
        <v>8</v>
      </c>
      <c r="AF3" s="15">
        <v>9</v>
      </c>
      <c r="AG3" s="15">
        <v>10</v>
      </c>
      <c r="AH3" s="16">
        <v>11</v>
      </c>
      <c r="AI3" s="13">
        <v>12</v>
      </c>
      <c r="AJ3" s="15">
        <v>13</v>
      </c>
      <c r="AK3" s="14">
        <v>14</v>
      </c>
      <c r="AL3" s="14">
        <v>15</v>
      </c>
      <c r="AM3" s="11">
        <v>16</v>
      </c>
      <c r="AN3" s="13">
        <v>17</v>
      </c>
      <c r="AO3" s="11">
        <v>18</v>
      </c>
      <c r="AP3" s="15">
        <v>19</v>
      </c>
      <c r="AQ3" s="91">
        <v>20</v>
      </c>
    </row>
    <row r="4" spans="1:43" s="9" customFormat="1" x14ac:dyDescent="0.2">
      <c r="A4" s="89"/>
      <c r="D4" s="10" t="s">
        <v>0</v>
      </c>
      <c r="E4" s="11" t="s">
        <v>2</v>
      </c>
      <c r="F4" s="11" t="s">
        <v>4</v>
      </c>
      <c r="G4" s="12" t="s">
        <v>6</v>
      </c>
      <c r="H4" s="13" t="s">
        <v>8</v>
      </c>
      <c r="I4" s="14" t="s">
        <v>10</v>
      </c>
      <c r="J4" s="10" t="s">
        <v>12</v>
      </c>
      <c r="K4" s="12" t="s">
        <v>14</v>
      </c>
      <c r="L4" s="15" t="s">
        <v>16</v>
      </c>
      <c r="M4" s="15" t="s">
        <v>18</v>
      </c>
      <c r="N4" s="16" t="s">
        <v>20</v>
      </c>
      <c r="O4" s="13" t="s">
        <v>22</v>
      </c>
      <c r="P4" s="15" t="s">
        <v>24</v>
      </c>
      <c r="Q4" s="14" t="s">
        <v>26</v>
      </c>
      <c r="R4" s="14" t="s">
        <v>28</v>
      </c>
      <c r="S4" s="11" t="s">
        <v>30</v>
      </c>
      <c r="T4" s="13" t="s">
        <v>32</v>
      </c>
      <c r="U4" s="11" t="s">
        <v>34</v>
      </c>
      <c r="V4" s="15" t="s">
        <v>36</v>
      </c>
      <c r="W4" s="14" t="s">
        <v>38</v>
      </c>
      <c r="X4" s="33" t="s">
        <v>0</v>
      </c>
      <c r="Y4" s="11" t="s">
        <v>2</v>
      </c>
      <c r="Z4" s="11" t="s">
        <v>4</v>
      </c>
      <c r="AA4" s="12" t="s">
        <v>6</v>
      </c>
      <c r="AB4" s="13" t="s">
        <v>8</v>
      </c>
      <c r="AC4" s="14" t="s">
        <v>10</v>
      </c>
      <c r="AD4" s="10" t="s">
        <v>12</v>
      </c>
      <c r="AE4" s="12" t="s">
        <v>14</v>
      </c>
      <c r="AF4" s="15" t="s">
        <v>16</v>
      </c>
      <c r="AG4" s="15" t="s">
        <v>18</v>
      </c>
      <c r="AH4" s="16" t="s">
        <v>20</v>
      </c>
      <c r="AI4" s="13" t="s">
        <v>22</v>
      </c>
      <c r="AJ4" s="15" t="s">
        <v>24</v>
      </c>
      <c r="AK4" s="14" t="s">
        <v>26</v>
      </c>
      <c r="AL4" s="14" t="s">
        <v>28</v>
      </c>
      <c r="AM4" s="11" t="s">
        <v>30</v>
      </c>
      <c r="AN4" s="13" t="s">
        <v>32</v>
      </c>
      <c r="AO4" s="11" t="s">
        <v>34</v>
      </c>
      <c r="AP4" s="15" t="s">
        <v>36</v>
      </c>
      <c r="AQ4" s="91" t="s">
        <v>38</v>
      </c>
    </row>
    <row r="5" spans="1:43" s="9" customFormat="1" ht="22.5" x14ac:dyDescent="0.2">
      <c r="A5" s="89" t="s">
        <v>94</v>
      </c>
      <c r="B5" s="9" t="s">
        <v>57</v>
      </c>
      <c r="C5" s="17" t="s">
        <v>45</v>
      </c>
      <c r="D5" s="10" t="s">
        <v>1</v>
      </c>
      <c r="E5" s="11" t="s">
        <v>3</v>
      </c>
      <c r="F5" s="11" t="s">
        <v>5</v>
      </c>
      <c r="G5" s="12" t="s">
        <v>7</v>
      </c>
      <c r="H5" s="13" t="s">
        <v>9</v>
      </c>
      <c r="I5" s="14" t="s">
        <v>11</v>
      </c>
      <c r="J5" s="10" t="s">
        <v>13</v>
      </c>
      <c r="K5" s="12" t="s">
        <v>15</v>
      </c>
      <c r="L5" s="15" t="s">
        <v>17</v>
      </c>
      <c r="M5" s="15" t="s">
        <v>19</v>
      </c>
      <c r="N5" s="16" t="s">
        <v>21</v>
      </c>
      <c r="O5" s="13" t="s">
        <v>23</v>
      </c>
      <c r="P5" s="15" t="s">
        <v>25</v>
      </c>
      <c r="Q5" s="14" t="s">
        <v>27</v>
      </c>
      <c r="R5" s="14" t="s">
        <v>29</v>
      </c>
      <c r="S5" s="11" t="s">
        <v>31</v>
      </c>
      <c r="T5" s="13" t="s">
        <v>33</v>
      </c>
      <c r="U5" s="11" t="s">
        <v>35</v>
      </c>
      <c r="V5" s="15" t="s">
        <v>37</v>
      </c>
      <c r="W5" s="14" t="s">
        <v>39</v>
      </c>
      <c r="X5" s="33" t="s">
        <v>1</v>
      </c>
      <c r="Y5" s="11" t="s">
        <v>3</v>
      </c>
      <c r="Z5" s="11" t="s">
        <v>5</v>
      </c>
      <c r="AA5" s="12" t="s">
        <v>7</v>
      </c>
      <c r="AB5" s="13" t="s">
        <v>9</v>
      </c>
      <c r="AC5" s="14" t="s">
        <v>11</v>
      </c>
      <c r="AD5" s="10" t="s">
        <v>13</v>
      </c>
      <c r="AE5" s="12" t="s">
        <v>15</v>
      </c>
      <c r="AF5" s="15" t="s">
        <v>17</v>
      </c>
      <c r="AG5" s="15" t="s">
        <v>19</v>
      </c>
      <c r="AH5" s="16" t="s">
        <v>21</v>
      </c>
      <c r="AI5" s="13" t="s">
        <v>23</v>
      </c>
      <c r="AJ5" s="15" t="s">
        <v>25</v>
      </c>
      <c r="AK5" s="14" t="s">
        <v>27</v>
      </c>
      <c r="AL5" s="14" t="s">
        <v>29</v>
      </c>
      <c r="AM5" s="11" t="s">
        <v>31</v>
      </c>
      <c r="AN5" s="13" t="s">
        <v>33</v>
      </c>
      <c r="AO5" s="11" t="s">
        <v>35</v>
      </c>
      <c r="AP5" s="15" t="s">
        <v>37</v>
      </c>
      <c r="AQ5" s="91" t="s">
        <v>39</v>
      </c>
    </row>
    <row r="6" spans="1:43" x14ac:dyDescent="0.2">
      <c r="A6" s="34">
        <f>AVERAGE(E6:AD6)</f>
        <v>26.430750000000003</v>
      </c>
      <c r="B6" s="17">
        <v>101</v>
      </c>
      <c r="C6" s="17">
        <v>1</v>
      </c>
      <c r="D6" s="82">
        <v>15.5702</v>
      </c>
      <c r="E6" s="83">
        <v>42.183199999999999</v>
      </c>
      <c r="F6" s="83">
        <v>20.693200000000001</v>
      </c>
      <c r="G6" s="83">
        <v>17.938300000000002</v>
      </c>
      <c r="H6" s="83">
        <v>22.9117</v>
      </c>
      <c r="I6" s="83">
        <v>26.207699999999999</v>
      </c>
      <c r="J6" s="83">
        <v>15.8871</v>
      </c>
      <c r="K6" s="83">
        <v>18.197700000000001</v>
      </c>
      <c r="L6" s="83">
        <v>26.211200000000002</v>
      </c>
      <c r="M6" s="83">
        <v>36.065600000000003</v>
      </c>
      <c r="N6" s="83">
        <v>30.170400000000001</v>
      </c>
      <c r="O6" s="83">
        <v>27.782599999999999</v>
      </c>
      <c r="P6" s="83">
        <v>28.436399999999999</v>
      </c>
      <c r="Q6" s="83">
        <v>19.3369</v>
      </c>
      <c r="R6" s="83">
        <v>24.3415</v>
      </c>
      <c r="S6" s="83">
        <v>31.4893</v>
      </c>
      <c r="T6" s="83">
        <v>13.5024</v>
      </c>
      <c r="U6" s="83">
        <v>22.806100000000001</v>
      </c>
      <c r="V6" s="83">
        <v>14.907500000000001</v>
      </c>
      <c r="W6" s="84">
        <v>18.785699999999999</v>
      </c>
      <c r="X6" s="82">
        <v>38.206699999999998</v>
      </c>
      <c r="Y6" s="83">
        <v>47.6753</v>
      </c>
      <c r="Z6" s="83">
        <v>19.7332</v>
      </c>
      <c r="AA6" s="83">
        <v>14.4247</v>
      </c>
      <c r="AB6" s="83">
        <v>44.711500000000001</v>
      </c>
      <c r="AC6" s="83">
        <v>25.175000000000001</v>
      </c>
      <c r="AD6" s="83">
        <v>39.418599999999998</v>
      </c>
      <c r="AE6" s="83">
        <v>17.976800000000001</v>
      </c>
      <c r="AF6" s="83">
        <v>36.610599999999998</v>
      </c>
      <c r="AG6" s="83">
        <v>46.826000000000001</v>
      </c>
      <c r="AH6" s="83">
        <v>28.692299999999999</v>
      </c>
      <c r="AI6" s="83">
        <v>25.855699999999999</v>
      </c>
      <c r="AJ6" s="83">
        <v>32.813000000000002</v>
      </c>
      <c r="AK6" s="83">
        <v>49.009599999999999</v>
      </c>
      <c r="AL6" s="83">
        <v>33.398400000000002</v>
      </c>
      <c r="AM6" s="83">
        <v>42.623199999999997</v>
      </c>
      <c r="AN6" s="83">
        <v>23.055299999999999</v>
      </c>
      <c r="AO6" s="83">
        <v>30.3201</v>
      </c>
      <c r="AP6" s="83">
        <v>24.730899999999998</v>
      </c>
      <c r="AQ6" s="84">
        <v>25.935600000000001</v>
      </c>
    </row>
    <row r="7" spans="1:43" x14ac:dyDescent="0.2">
      <c r="A7" s="34">
        <f t="shared" ref="A7:A50" si="0">AVERAGE(E7:AD7)</f>
        <v>27.257688461538461</v>
      </c>
      <c r="B7" s="17">
        <v>102</v>
      </c>
      <c r="C7" s="17">
        <v>2</v>
      </c>
      <c r="D7" s="34">
        <v>15.722300000000001</v>
      </c>
      <c r="E7" s="17">
        <v>24.728000000000002</v>
      </c>
      <c r="F7" s="17">
        <v>13.4261</v>
      </c>
      <c r="G7" s="17">
        <v>19.2453</v>
      </c>
      <c r="H7" s="17">
        <v>16.987200000000001</v>
      </c>
      <c r="I7" s="17">
        <v>12.910399999999999</v>
      </c>
      <c r="J7" s="17">
        <v>15.316599999999999</v>
      </c>
      <c r="K7" s="17">
        <v>18.375</v>
      </c>
      <c r="L7" s="17">
        <v>28.373999999999999</v>
      </c>
      <c r="M7" s="17">
        <v>14.105</v>
      </c>
      <c r="N7" s="17">
        <v>13.8773</v>
      </c>
      <c r="O7" s="17">
        <v>32.181199999999997</v>
      </c>
      <c r="P7" s="17">
        <v>14.211</v>
      </c>
      <c r="Q7" s="17">
        <v>14.597099999999999</v>
      </c>
      <c r="R7" s="17">
        <v>14.9834</v>
      </c>
      <c r="S7" s="17">
        <v>16.508800000000001</v>
      </c>
      <c r="T7" s="17">
        <v>16.830500000000001</v>
      </c>
      <c r="U7" s="17">
        <v>16.535299999999999</v>
      </c>
      <c r="V7" s="17">
        <v>14.7189</v>
      </c>
      <c r="W7" s="85">
        <v>11.782</v>
      </c>
      <c r="X7" s="34">
        <v>72.740200000000002</v>
      </c>
      <c r="Y7" s="17">
        <v>46.991999999999997</v>
      </c>
      <c r="Z7" s="17">
        <v>68.664599999999993</v>
      </c>
      <c r="AA7" s="17">
        <v>43.040900000000001</v>
      </c>
      <c r="AB7" s="17">
        <v>36.752699999999997</v>
      </c>
      <c r="AC7" s="17">
        <v>54.211300000000001</v>
      </c>
      <c r="AD7" s="17">
        <v>56.6051</v>
      </c>
      <c r="AE7" s="17">
        <v>48.774900000000002</v>
      </c>
      <c r="AF7" s="17">
        <v>36.893700000000003</v>
      </c>
      <c r="AG7" s="17">
        <v>65.803600000000003</v>
      </c>
      <c r="AH7" s="17">
        <v>58.84</v>
      </c>
      <c r="AI7" s="17">
        <v>43.560299999999998</v>
      </c>
      <c r="AJ7" s="17">
        <v>49.5169</v>
      </c>
      <c r="AK7" s="17">
        <v>31.394400000000001</v>
      </c>
      <c r="AL7" s="17">
        <v>31.3001</v>
      </c>
      <c r="AM7" s="17">
        <v>75.436800000000005</v>
      </c>
      <c r="AN7" s="17">
        <v>85.920699999999997</v>
      </c>
      <c r="AO7" s="17">
        <v>69.355999999999995</v>
      </c>
      <c r="AP7" s="17">
        <v>71.011300000000006</v>
      </c>
      <c r="AQ7" s="85">
        <v>51.944600000000001</v>
      </c>
    </row>
    <row r="8" spans="1:43" x14ac:dyDescent="0.2">
      <c r="A8" s="34">
        <f t="shared" si="0"/>
        <v>25.059130769230766</v>
      </c>
      <c r="B8" s="17">
        <v>104</v>
      </c>
      <c r="C8" s="17">
        <v>3</v>
      </c>
      <c r="D8" s="34">
        <v>14.4907</v>
      </c>
      <c r="E8" s="17">
        <v>16.1264</v>
      </c>
      <c r="F8" s="17">
        <v>11.5223</v>
      </c>
      <c r="G8" s="17">
        <v>17.055599999999998</v>
      </c>
      <c r="H8" s="17">
        <v>21.743300000000001</v>
      </c>
      <c r="I8" s="17">
        <v>21.9344</v>
      </c>
      <c r="J8" s="17">
        <v>25.980399999999999</v>
      </c>
      <c r="K8" s="17">
        <v>24.829799999999999</v>
      </c>
      <c r="L8" s="17">
        <v>25.229500000000002</v>
      </c>
      <c r="M8" s="17">
        <v>16.662700000000001</v>
      </c>
      <c r="N8" s="17">
        <v>24.435600000000001</v>
      </c>
      <c r="O8" s="17">
        <v>28.851500000000001</v>
      </c>
      <c r="P8" s="17">
        <v>18.628799999999998</v>
      </c>
      <c r="Q8" s="17">
        <v>24.025099999999998</v>
      </c>
      <c r="R8" s="17">
        <v>15.887700000000001</v>
      </c>
      <c r="S8" s="17">
        <v>26.895299999999999</v>
      </c>
      <c r="T8" s="17">
        <v>14.0688</v>
      </c>
      <c r="U8" s="17">
        <v>15.6554</v>
      </c>
      <c r="V8" s="17">
        <v>14.963800000000001</v>
      </c>
      <c r="W8" s="85">
        <v>21.891999999999999</v>
      </c>
      <c r="X8" s="34">
        <v>51.740699999999997</v>
      </c>
      <c r="Y8" s="17">
        <v>20.6328</v>
      </c>
      <c r="Z8" s="17">
        <v>67.190299999999993</v>
      </c>
      <c r="AA8" s="17">
        <v>32.064</v>
      </c>
      <c r="AB8" s="17">
        <v>22.9559</v>
      </c>
      <c r="AC8" s="17">
        <v>25.124400000000001</v>
      </c>
      <c r="AD8" s="17">
        <v>45.440899999999999</v>
      </c>
      <c r="AE8" s="17">
        <v>41.404699999999998</v>
      </c>
      <c r="AF8" s="17">
        <v>37.176699999999997</v>
      </c>
      <c r="AG8" s="17">
        <v>31.7913</v>
      </c>
      <c r="AH8" s="17">
        <v>50.311799999999998</v>
      </c>
      <c r="AI8" s="17">
        <v>34.968600000000002</v>
      </c>
      <c r="AJ8" s="17">
        <v>59.766500000000001</v>
      </c>
      <c r="AK8" s="17">
        <v>22.571899999999999</v>
      </c>
      <c r="AL8" s="17">
        <v>23.7639</v>
      </c>
      <c r="AM8" s="17">
        <v>13.3773</v>
      </c>
      <c r="AN8" s="17">
        <v>25.072199999999999</v>
      </c>
      <c r="AO8" s="17">
        <v>33.412199999999999</v>
      </c>
      <c r="AP8" s="17">
        <v>32.092300000000002</v>
      </c>
      <c r="AQ8" s="85">
        <v>41.000799999999998</v>
      </c>
    </row>
    <row r="9" spans="1:43" x14ac:dyDescent="0.2">
      <c r="A9" s="34">
        <f t="shared" si="0"/>
        <v>15.339915384615388</v>
      </c>
      <c r="B9" s="17">
        <v>106</v>
      </c>
      <c r="C9" s="17">
        <v>4</v>
      </c>
      <c r="D9" s="34">
        <v>7.9320000000000004</v>
      </c>
      <c r="E9" s="17">
        <v>14.4064</v>
      </c>
      <c r="F9" s="17">
        <v>8.1424000000000003</v>
      </c>
      <c r="G9" s="17">
        <v>21.867599999999999</v>
      </c>
      <c r="H9" s="17">
        <v>12.019500000000001</v>
      </c>
      <c r="I9" s="17">
        <v>9.9940999999999995</v>
      </c>
      <c r="J9" s="17">
        <v>10.776899999999999</v>
      </c>
      <c r="K9" s="17">
        <v>15.555999999999999</v>
      </c>
      <c r="L9" s="17">
        <v>26.6784</v>
      </c>
      <c r="M9" s="17">
        <v>21.569400000000002</v>
      </c>
      <c r="N9" s="17">
        <v>14.5701</v>
      </c>
      <c r="O9" s="17">
        <v>16.59</v>
      </c>
      <c r="P9" s="17">
        <v>12.1534</v>
      </c>
      <c r="Q9" s="17">
        <v>11.9034</v>
      </c>
      <c r="R9" s="17">
        <v>11.8551</v>
      </c>
      <c r="S9" s="17">
        <v>13.809200000000001</v>
      </c>
      <c r="T9" s="17">
        <v>12.0298</v>
      </c>
      <c r="U9" s="17">
        <v>8.5393000000000008</v>
      </c>
      <c r="V9" s="17">
        <v>10.5686</v>
      </c>
      <c r="W9" s="85">
        <v>7.8483000000000001</v>
      </c>
      <c r="X9" s="34">
        <v>17.245200000000001</v>
      </c>
      <c r="Y9" s="17">
        <v>12.819900000000001</v>
      </c>
      <c r="Z9" s="17">
        <v>37.381100000000004</v>
      </c>
      <c r="AA9" s="17">
        <v>15.219799999999999</v>
      </c>
      <c r="AB9" s="17">
        <v>17.417100000000001</v>
      </c>
      <c r="AC9" s="17">
        <v>16.196400000000001</v>
      </c>
      <c r="AD9" s="17">
        <v>21.680399999999999</v>
      </c>
      <c r="AE9" s="17">
        <v>20.384899999999998</v>
      </c>
      <c r="AF9" s="17">
        <v>24.268599999999999</v>
      </c>
      <c r="AG9" s="17">
        <v>27.8278</v>
      </c>
      <c r="AH9" s="17">
        <v>17.2761</v>
      </c>
      <c r="AI9" s="17">
        <v>19.302900000000001</v>
      </c>
      <c r="AJ9" s="17">
        <v>39.819800000000001</v>
      </c>
      <c r="AK9" s="17">
        <v>19.0806</v>
      </c>
      <c r="AL9" s="17">
        <v>19.564800000000002</v>
      </c>
      <c r="AM9" s="17">
        <v>14.320600000000001</v>
      </c>
      <c r="AN9" s="17">
        <v>24.7973</v>
      </c>
      <c r="AO9" s="17">
        <v>36.932299999999998</v>
      </c>
      <c r="AP9" s="17">
        <v>39.344099999999997</v>
      </c>
      <c r="AQ9" s="85">
        <v>42.123199999999997</v>
      </c>
    </row>
    <row r="10" spans="1:43" x14ac:dyDescent="0.2">
      <c r="A10" s="34">
        <f t="shared" si="0"/>
        <v>23.185923076923075</v>
      </c>
      <c r="B10" s="17">
        <v>108</v>
      </c>
      <c r="C10" s="17">
        <v>5</v>
      </c>
      <c r="D10" s="34">
        <v>12.988200000000001</v>
      </c>
      <c r="E10" s="17">
        <v>21.539400000000001</v>
      </c>
      <c r="F10" s="17">
        <v>21.639299999999999</v>
      </c>
      <c r="G10" s="17">
        <v>22.517800000000001</v>
      </c>
      <c r="H10" s="17">
        <v>25.545100000000001</v>
      </c>
      <c r="I10" s="17">
        <v>17.813199999999998</v>
      </c>
      <c r="J10" s="17">
        <v>19.382000000000001</v>
      </c>
      <c r="K10" s="17">
        <v>20.9208</v>
      </c>
      <c r="L10" s="17">
        <v>41.744599999999998</v>
      </c>
      <c r="M10" s="17">
        <v>21.906300000000002</v>
      </c>
      <c r="N10" s="17">
        <v>19.568000000000001</v>
      </c>
      <c r="O10" s="17">
        <v>16.457100000000001</v>
      </c>
      <c r="P10" s="17">
        <v>11.097099999999999</v>
      </c>
      <c r="Q10" s="17">
        <v>19.7041</v>
      </c>
      <c r="R10" s="17">
        <v>12.1805</v>
      </c>
      <c r="S10" s="17">
        <v>22.8767</v>
      </c>
      <c r="T10" s="17">
        <v>27.591200000000001</v>
      </c>
      <c r="U10" s="17">
        <v>28.4072</v>
      </c>
      <c r="V10" s="17">
        <v>10.9808</v>
      </c>
      <c r="W10" s="85">
        <v>8.2647999999999993</v>
      </c>
      <c r="X10" s="34">
        <v>29.4739</v>
      </c>
      <c r="Y10" s="17">
        <v>29.989100000000001</v>
      </c>
      <c r="Z10" s="17">
        <v>37.756900000000002</v>
      </c>
      <c r="AA10" s="17">
        <v>37.506900000000002</v>
      </c>
      <c r="AB10" s="17">
        <v>33.410299999999999</v>
      </c>
      <c r="AC10" s="17">
        <v>11.6213</v>
      </c>
      <c r="AD10" s="17">
        <v>32.939599999999999</v>
      </c>
      <c r="AE10" s="17">
        <v>17.103999999999999</v>
      </c>
      <c r="AF10" s="17">
        <v>37.742800000000003</v>
      </c>
      <c r="AG10" s="17">
        <v>38.392200000000003</v>
      </c>
      <c r="AH10" s="17">
        <v>36.4861</v>
      </c>
      <c r="AI10" s="17">
        <v>16.442299999999999</v>
      </c>
      <c r="AJ10" s="17">
        <v>48.491399999999999</v>
      </c>
      <c r="AK10" s="17">
        <v>35.266500000000001</v>
      </c>
      <c r="AL10" s="17">
        <v>30.085899999999999</v>
      </c>
      <c r="AM10" s="17">
        <v>24.035</v>
      </c>
      <c r="AN10" s="17">
        <v>28.807400000000001</v>
      </c>
      <c r="AO10" s="17">
        <v>33.124099999999999</v>
      </c>
      <c r="AP10" s="17">
        <v>32.399299999999997</v>
      </c>
      <c r="AQ10" s="85">
        <v>10.539</v>
      </c>
    </row>
    <row r="11" spans="1:43" x14ac:dyDescent="0.2">
      <c r="A11" s="34">
        <f t="shared" si="0"/>
        <v>17.389773076923078</v>
      </c>
      <c r="B11" s="17">
        <v>109</v>
      </c>
      <c r="C11" s="17">
        <v>6</v>
      </c>
      <c r="D11" s="34">
        <v>15.7913</v>
      </c>
      <c r="E11" s="17">
        <v>21.527200000000001</v>
      </c>
      <c r="F11" s="17">
        <v>14.1142</v>
      </c>
      <c r="G11" s="17">
        <v>19.392399999999999</v>
      </c>
      <c r="H11" s="17">
        <v>17.4145</v>
      </c>
      <c r="I11" s="17">
        <v>19.7376</v>
      </c>
      <c r="J11" s="17">
        <v>17.3446</v>
      </c>
      <c r="K11" s="17">
        <v>16.2928</v>
      </c>
      <c r="L11" s="17">
        <v>25.599</v>
      </c>
      <c r="M11" s="17">
        <v>26.8889</v>
      </c>
      <c r="N11" s="17">
        <v>16.0169</v>
      </c>
      <c r="O11" s="17">
        <v>11.842000000000001</v>
      </c>
      <c r="P11" s="17">
        <v>16.3248</v>
      </c>
      <c r="Q11" s="17">
        <v>8.2970000000000006</v>
      </c>
      <c r="R11" s="17">
        <v>16.164100000000001</v>
      </c>
      <c r="S11" s="17">
        <v>10.6678</v>
      </c>
      <c r="T11" s="17">
        <v>9.7211999999999996</v>
      </c>
      <c r="U11" s="17">
        <v>13.6151</v>
      </c>
      <c r="V11" s="17">
        <v>22.657399999999999</v>
      </c>
      <c r="W11" s="85">
        <v>8.7796000000000003</v>
      </c>
      <c r="X11" s="34">
        <v>25.067299999999999</v>
      </c>
      <c r="Y11" s="17">
        <v>22.202500000000001</v>
      </c>
      <c r="Z11" s="17">
        <v>16.677299999999999</v>
      </c>
      <c r="AA11" s="17">
        <v>17.676100000000002</v>
      </c>
      <c r="AB11" s="17">
        <v>14.7209</v>
      </c>
      <c r="AC11" s="17">
        <v>16.5806</v>
      </c>
      <c r="AD11" s="17">
        <v>26.8123</v>
      </c>
      <c r="AE11" s="17">
        <v>12.564</v>
      </c>
      <c r="AF11" s="17">
        <v>77.359800000000007</v>
      </c>
      <c r="AG11" s="17">
        <v>9.8284000000000002</v>
      </c>
      <c r="AH11" s="17">
        <v>36.238199999999999</v>
      </c>
      <c r="AI11" s="17">
        <v>14.620200000000001</v>
      </c>
      <c r="AJ11" s="17">
        <v>16.137799999999999</v>
      </c>
      <c r="AK11" s="17">
        <v>15.1861</v>
      </c>
      <c r="AL11" s="17">
        <v>7.1646000000000001</v>
      </c>
      <c r="AM11" s="17">
        <v>30.8355</v>
      </c>
      <c r="AN11" s="17">
        <v>27.285</v>
      </c>
      <c r="AO11" s="17">
        <v>20.440300000000001</v>
      </c>
      <c r="AP11" s="17">
        <v>33.496899999999997</v>
      </c>
      <c r="AQ11" s="85">
        <v>13.805</v>
      </c>
    </row>
    <row r="12" spans="1:43" x14ac:dyDescent="0.2">
      <c r="A12" s="34">
        <f t="shared" si="0"/>
        <v>23.259169230769228</v>
      </c>
      <c r="B12" s="17">
        <v>32</v>
      </c>
      <c r="C12" s="17">
        <v>7</v>
      </c>
      <c r="D12" s="34">
        <v>20.900200000000002</v>
      </c>
      <c r="E12" s="17">
        <v>23.710100000000001</v>
      </c>
      <c r="F12" s="17">
        <v>14.6386</v>
      </c>
      <c r="G12" s="17">
        <v>24.666599999999999</v>
      </c>
      <c r="H12" s="17">
        <v>24.398099999999999</v>
      </c>
      <c r="I12" s="17">
        <v>26.200299999999999</v>
      </c>
      <c r="J12" s="17">
        <v>19.176200000000001</v>
      </c>
      <c r="K12" s="17">
        <v>16.602499999999999</v>
      </c>
      <c r="L12" s="17">
        <v>20.683499999999999</v>
      </c>
      <c r="M12" s="17">
        <v>16.834299999999999</v>
      </c>
      <c r="N12" s="17">
        <v>15.064399999999999</v>
      </c>
      <c r="O12" s="17">
        <v>21.366599999999998</v>
      </c>
      <c r="P12" s="17">
        <v>22.5566</v>
      </c>
      <c r="Q12" s="17">
        <v>28.019400000000001</v>
      </c>
      <c r="R12" s="17">
        <v>19.0792</v>
      </c>
      <c r="S12" s="17">
        <v>30.9024</v>
      </c>
      <c r="T12" s="17">
        <v>33.124000000000002</v>
      </c>
      <c r="U12" s="17">
        <v>22.1556</v>
      </c>
      <c r="V12" s="17">
        <v>24.8504</v>
      </c>
      <c r="W12" s="85">
        <v>19.840499999999999</v>
      </c>
      <c r="X12" s="34">
        <v>23.452500000000001</v>
      </c>
      <c r="Y12" s="17">
        <v>18.176100000000002</v>
      </c>
      <c r="Z12" s="17">
        <v>33.9206</v>
      </c>
      <c r="AA12" s="17">
        <v>35.875500000000002</v>
      </c>
      <c r="AB12" s="17">
        <v>16.436299999999999</v>
      </c>
      <c r="AC12" s="17">
        <v>31.6966</v>
      </c>
      <c r="AD12" s="17">
        <v>21.311499999999999</v>
      </c>
      <c r="AE12" s="17">
        <v>20.127300000000002</v>
      </c>
      <c r="AF12" s="17">
        <v>17.462299999999999</v>
      </c>
      <c r="AG12" s="17">
        <v>36.726100000000002</v>
      </c>
      <c r="AH12" s="17">
        <v>32.868600000000001</v>
      </c>
      <c r="AI12" s="17">
        <v>20.423999999999999</v>
      </c>
      <c r="AJ12" s="17">
        <v>35.283900000000003</v>
      </c>
      <c r="AK12" s="17">
        <v>22.776900000000001</v>
      </c>
      <c r="AL12" s="17">
        <v>16.8568</v>
      </c>
      <c r="AM12" s="17">
        <v>31.183800000000002</v>
      </c>
      <c r="AN12" s="17">
        <v>24.273700000000002</v>
      </c>
      <c r="AO12" s="17">
        <v>30.168500000000002</v>
      </c>
      <c r="AP12" s="17">
        <v>34.590800000000002</v>
      </c>
      <c r="AQ12" s="85">
        <v>27.261099999999999</v>
      </c>
    </row>
    <row r="13" spans="1:43" x14ac:dyDescent="0.2">
      <c r="A13" s="34">
        <f t="shared" si="0"/>
        <v>22.411453846153847</v>
      </c>
      <c r="B13" s="17">
        <v>36</v>
      </c>
      <c r="C13" s="17">
        <v>8</v>
      </c>
      <c r="D13" s="34">
        <v>25.4346</v>
      </c>
      <c r="E13" s="17">
        <v>16.457000000000001</v>
      </c>
      <c r="F13" s="17">
        <v>17.3504</v>
      </c>
      <c r="G13" s="17">
        <v>37.6004</v>
      </c>
      <c r="H13" s="17">
        <v>18.167100000000001</v>
      </c>
      <c r="I13" s="17">
        <v>20.810199999999998</v>
      </c>
      <c r="J13" s="17">
        <v>24.444299999999998</v>
      </c>
      <c r="K13" s="17">
        <v>24.161899999999999</v>
      </c>
      <c r="L13" s="17">
        <v>14.6691</v>
      </c>
      <c r="M13" s="17">
        <v>23.330100000000002</v>
      </c>
      <c r="N13" s="17">
        <v>16.5623</v>
      </c>
      <c r="O13" s="17">
        <v>36.103299999999997</v>
      </c>
      <c r="P13" s="17">
        <v>16.595800000000001</v>
      </c>
      <c r="Q13" s="17">
        <v>9.3742000000000001</v>
      </c>
      <c r="R13" s="17">
        <v>16.427700000000002</v>
      </c>
      <c r="S13" s="17">
        <v>14.040900000000001</v>
      </c>
      <c r="T13" s="17">
        <v>24.075099999999999</v>
      </c>
      <c r="U13" s="17">
        <v>12.847899999999999</v>
      </c>
      <c r="V13" s="17">
        <v>26.177499999999998</v>
      </c>
      <c r="W13" s="85">
        <v>17.293700000000001</v>
      </c>
      <c r="X13" s="34">
        <v>22.086500000000001</v>
      </c>
      <c r="Y13" s="17">
        <v>29.599299999999999</v>
      </c>
      <c r="Z13" s="17">
        <v>24.579899999999999</v>
      </c>
      <c r="AA13" s="17">
        <v>45.359499999999997</v>
      </c>
      <c r="AB13" s="17">
        <v>37.778700000000001</v>
      </c>
      <c r="AC13" s="17">
        <v>18.476800000000001</v>
      </c>
      <c r="AD13" s="17">
        <v>18.328199999999999</v>
      </c>
      <c r="AE13" s="17">
        <v>37.491399999999999</v>
      </c>
      <c r="AF13" s="17">
        <v>32.152299999999997</v>
      </c>
      <c r="AG13" s="17">
        <v>32.640900000000002</v>
      </c>
      <c r="AH13" s="17">
        <v>21.609200000000001</v>
      </c>
      <c r="AI13" s="17">
        <v>26.9802</v>
      </c>
      <c r="AJ13" s="17">
        <v>17.341799999999999</v>
      </c>
      <c r="AK13" s="17">
        <v>16.172499999999999</v>
      </c>
      <c r="AL13" s="17">
        <v>24.828900000000001</v>
      </c>
      <c r="AM13" s="17">
        <v>22.512899999999998</v>
      </c>
      <c r="AN13" s="17">
        <v>27.674399999999999</v>
      </c>
      <c r="AO13" s="17">
        <v>26.121600000000001</v>
      </c>
      <c r="AP13" s="17">
        <v>15.6762</v>
      </c>
      <c r="AQ13" s="85">
        <v>26.5045</v>
      </c>
    </row>
    <row r="14" spans="1:43" x14ac:dyDescent="0.2">
      <c r="A14" s="34">
        <f t="shared" si="0"/>
        <v>31.414253846153844</v>
      </c>
      <c r="B14" s="17">
        <v>37</v>
      </c>
      <c r="C14" s="17">
        <v>9</v>
      </c>
      <c r="D14" s="34">
        <v>16.7865</v>
      </c>
      <c r="E14" s="17">
        <v>61.309600000000003</v>
      </c>
      <c r="F14" s="17">
        <v>21.103400000000001</v>
      </c>
      <c r="G14" s="17">
        <v>51.211799999999997</v>
      </c>
      <c r="H14" s="17">
        <v>20.3933</v>
      </c>
      <c r="I14" s="17">
        <v>91.0488</v>
      </c>
      <c r="J14" s="17">
        <v>16.826599999999999</v>
      </c>
      <c r="K14" s="17">
        <v>18.718299999999999</v>
      </c>
      <c r="L14" s="17">
        <v>22.0564</v>
      </c>
      <c r="M14" s="17">
        <v>21.626899999999999</v>
      </c>
      <c r="N14" s="17">
        <v>19.6236</v>
      </c>
      <c r="O14" s="17">
        <v>28.562899999999999</v>
      </c>
      <c r="P14" s="17">
        <v>30.489699999999999</v>
      </c>
      <c r="Q14" s="17">
        <v>19.552</v>
      </c>
      <c r="R14" s="17">
        <v>18.856999999999999</v>
      </c>
      <c r="S14" s="17">
        <v>19.068899999999999</v>
      </c>
      <c r="T14" s="17">
        <v>25.4771</v>
      </c>
      <c r="U14" s="17">
        <v>20.054600000000001</v>
      </c>
      <c r="V14" s="17">
        <v>19.485800000000001</v>
      </c>
      <c r="W14" s="85">
        <v>11.667199999999999</v>
      </c>
      <c r="X14" s="34">
        <v>33.019799999999996</v>
      </c>
      <c r="Y14" s="17">
        <v>73.562600000000003</v>
      </c>
      <c r="Z14" s="17">
        <v>37.333500000000001</v>
      </c>
      <c r="AA14" s="17">
        <v>24.0364</v>
      </c>
      <c r="AB14" s="17">
        <v>19.555800000000001</v>
      </c>
      <c r="AC14" s="17">
        <v>51.364400000000003</v>
      </c>
      <c r="AD14" s="17">
        <v>40.764200000000002</v>
      </c>
      <c r="AE14" s="17">
        <v>30.528400000000001</v>
      </c>
      <c r="AF14" s="17">
        <v>27.253900000000002</v>
      </c>
      <c r="AG14" s="17">
        <v>35.720999999999997</v>
      </c>
      <c r="AH14" s="17">
        <v>35.494599999999998</v>
      </c>
      <c r="AI14" s="17">
        <v>34.892699999999998</v>
      </c>
      <c r="AJ14" s="17">
        <v>25.4084</v>
      </c>
      <c r="AK14" s="17">
        <v>21.4208</v>
      </c>
      <c r="AL14" s="17">
        <v>43.350499999999997</v>
      </c>
      <c r="AM14" s="17">
        <v>26.129000000000001</v>
      </c>
      <c r="AN14" s="17">
        <v>57.645800000000001</v>
      </c>
      <c r="AO14" s="17">
        <v>30.571999999999999</v>
      </c>
      <c r="AP14" s="17">
        <v>43.805799999999998</v>
      </c>
      <c r="AQ14" s="85">
        <v>18.686499999999999</v>
      </c>
    </row>
    <row r="15" spans="1:43" x14ac:dyDescent="0.2">
      <c r="A15" s="34">
        <f t="shared" si="0"/>
        <v>36.816676923076926</v>
      </c>
      <c r="B15" s="17">
        <v>99</v>
      </c>
      <c r="C15" s="17">
        <v>10</v>
      </c>
      <c r="D15" s="34">
        <v>33.975000000000001</v>
      </c>
      <c r="E15" s="17">
        <v>36.844499999999996</v>
      </c>
      <c r="F15" s="17">
        <v>56.787300000000002</v>
      </c>
      <c r="G15" s="17">
        <v>40.774900000000002</v>
      </c>
      <c r="H15" s="17">
        <v>30.9908</v>
      </c>
      <c r="I15" s="17">
        <v>20.269400000000001</v>
      </c>
      <c r="J15" s="17">
        <v>93.903300000000002</v>
      </c>
      <c r="K15" s="17">
        <v>18.286200000000001</v>
      </c>
      <c r="L15" s="17">
        <v>24.6724</v>
      </c>
      <c r="M15" s="17">
        <v>29.5822</v>
      </c>
      <c r="N15" s="17">
        <v>26.078800000000001</v>
      </c>
      <c r="O15" s="17">
        <v>22.411799999999999</v>
      </c>
      <c r="P15" s="17">
        <v>17.081</v>
      </c>
      <c r="Q15" s="17">
        <v>31.507999999999999</v>
      </c>
      <c r="R15" s="17">
        <v>11.631399999999999</v>
      </c>
      <c r="S15" s="17">
        <v>24.799900000000001</v>
      </c>
      <c r="T15" s="17">
        <v>18.0166</v>
      </c>
      <c r="U15" s="17">
        <v>23.7441</v>
      </c>
      <c r="V15" s="17">
        <v>27.7818</v>
      </c>
      <c r="W15" s="85">
        <v>11.872199999999999</v>
      </c>
      <c r="X15" s="34">
        <v>17.4117</v>
      </c>
      <c r="Y15" s="17">
        <v>67.119900000000001</v>
      </c>
      <c r="Z15" s="17">
        <v>109.2363</v>
      </c>
      <c r="AA15" s="17">
        <v>20.2088</v>
      </c>
      <c r="AB15" s="17">
        <v>41.688899999999997</v>
      </c>
      <c r="AC15" s="17">
        <v>59.1004</v>
      </c>
      <c r="AD15" s="17">
        <v>75.430999999999997</v>
      </c>
      <c r="AE15" s="17">
        <v>24.6252</v>
      </c>
      <c r="AF15" s="17">
        <v>39.158000000000001</v>
      </c>
      <c r="AG15" s="17">
        <v>36.355800000000002</v>
      </c>
      <c r="AH15" s="17">
        <v>40.687100000000001</v>
      </c>
      <c r="AI15" s="17">
        <v>34.256700000000002</v>
      </c>
      <c r="AJ15" s="17">
        <v>24.3565</v>
      </c>
      <c r="AK15" s="17">
        <v>26.5444</v>
      </c>
      <c r="AL15" s="17">
        <v>19.466100000000001</v>
      </c>
      <c r="AM15" s="17">
        <v>49.356999999999999</v>
      </c>
      <c r="AN15" s="17">
        <v>55.2562</v>
      </c>
      <c r="AO15" s="17">
        <v>33.6205</v>
      </c>
      <c r="AP15" s="17">
        <v>48.985500000000002</v>
      </c>
      <c r="AQ15" s="85">
        <v>45.145400000000002</v>
      </c>
    </row>
    <row r="16" spans="1:43" x14ac:dyDescent="0.2">
      <c r="A16" s="34">
        <f t="shared" si="0"/>
        <v>25.892261538461543</v>
      </c>
      <c r="B16" s="17">
        <v>42</v>
      </c>
      <c r="C16" s="17">
        <v>11</v>
      </c>
      <c r="D16" s="34">
        <v>17.090499999999999</v>
      </c>
      <c r="E16" s="17">
        <v>19.304300000000001</v>
      </c>
      <c r="F16" s="17">
        <v>27.09</v>
      </c>
      <c r="G16" s="17">
        <v>18.7531</v>
      </c>
      <c r="H16" s="17">
        <v>14.0556</v>
      </c>
      <c r="I16" s="17">
        <v>24.032399999999999</v>
      </c>
      <c r="J16" s="17">
        <v>17.37</v>
      </c>
      <c r="K16" s="17">
        <v>38.439100000000003</v>
      </c>
      <c r="L16" s="17">
        <v>30.2517</v>
      </c>
      <c r="M16" s="17">
        <v>20.810500000000001</v>
      </c>
      <c r="N16" s="17">
        <v>20.247900000000001</v>
      </c>
      <c r="O16" s="17">
        <v>12.422599999999999</v>
      </c>
      <c r="P16" s="17">
        <v>18.058299999999999</v>
      </c>
      <c r="Q16" s="17">
        <v>30.5778</v>
      </c>
      <c r="R16" s="17">
        <v>16.7319</v>
      </c>
      <c r="S16" s="17">
        <v>26.159800000000001</v>
      </c>
      <c r="T16" s="17">
        <v>26.0486</v>
      </c>
      <c r="U16" s="17">
        <v>46.947400000000002</v>
      </c>
      <c r="V16" s="17">
        <v>24.67</v>
      </c>
      <c r="W16" s="85">
        <v>23.176500000000001</v>
      </c>
      <c r="X16" s="34">
        <v>42.627899999999997</v>
      </c>
      <c r="Y16" s="17">
        <v>26.897200000000002</v>
      </c>
      <c r="Z16" s="17">
        <v>30.268599999999999</v>
      </c>
      <c r="AA16" s="17">
        <v>20.647600000000001</v>
      </c>
      <c r="AB16" s="17">
        <v>14.384499999999999</v>
      </c>
      <c r="AC16" s="17">
        <v>41.453400000000002</v>
      </c>
      <c r="AD16" s="17">
        <v>41.772100000000002</v>
      </c>
      <c r="AE16" s="17">
        <v>27.600300000000001</v>
      </c>
      <c r="AF16" s="17">
        <v>33.044899999999998</v>
      </c>
      <c r="AG16" s="17">
        <v>38.428600000000003</v>
      </c>
      <c r="AH16" s="17">
        <v>25.5291</v>
      </c>
      <c r="AI16" s="17">
        <v>24.811199999999999</v>
      </c>
      <c r="AJ16" s="17">
        <v>27.3508</v>
      </c>
      <c r="AK16" s="17">
        <v>28.945</v>
      </c>
      <c r="AL16" s="17">
        <v>16.045300000000001</v>
      </c>
      <c r="AM16" s="17">
        <v>32.532200000000003</v>
      </c>
      <c r="AN16" s="17">
        <v>19.700800000000001</v>
      </c>
      <c r="AO16" s="17">
        <v>37.391500000000001</v>
      </c>
      <c r="AP16" s="17">
        <v>33.552999999999997</v>
      </c>
      <c r="AQ16" s="85">
        <v>29.932300000000001</v>
      </c>
    </row>
    <row r="17" spans="1:43" x14ac:dyDescent="0.2">
      <c r="A17" s="34">
        <f t="shared" si="0"/>
        <v>18.554834615384614</v>
      </c>
      <c r="B17" s="17">
        <v>46</v>
      </c>
      <c r="C17" s="17">
        <v>12</v>
      </c>
      <c r="D17" s="34">
        <v>7.8590999999999998</v>
      </c>
      <c r="E17" s="17">
        <v>21.142199999999999</v>
      </c>
      <c r="F17" s="17">
        <v>17.322900000000001</v>
      </c>
      <c r="G17" s="17">
        <v>19.499500000000001</v>
      </c>
      <c r="H17" s="17">
        <v>21.028700000000001</v>
      </c>
      <c r="I17" s="17">
        <v>24.001200000000001</v>
      </c>
      <c r="J17" s="17">
        <v>19.5808</v>
      </c>
      <c r="K17" s="17">
        <v>18.0017</v>
      </c>
      <c r="L17" s="17">
        <v>17.3795</v>
      </c>
      <c r="M17" s="17">
        <v>30.0487</v>
      </c>
      <c r="N17" s="17">
        <v>21.659500000000001</v>
      </c>
      <c r="O17" s="17">
        <v>17.8339</v>
      </c>
      <c r="P17" s="17">
        <v>15.9139</v>
      </c>
      <c r="Q17" s="17">
        <v>14.4665</v>
      </c>
      <c r="R17" s="17">
        <v>16.1006</v>
      </c>
      <c r="S17" s="17">
        <v>16.915900000000001</v>
      </c>
      <c r="T17" s="17">
        <v>20.937999999999999</v>
      </c>
      <c r="U17" s="17">
        <v>19.687799999999999</v>
      </c>
      <c r="V17" s="17">
        <v>18.8979</v>
      </c>
      <c r="W17" s="85">
        <v>12.351800000000001</v>
      </c>
      <c r="X17" s="34">
        <v>11.9496</v>
      </c>
      <c r="Y17" s="17">
        <v>15.692399999999999</v>
      </c>
      <c r="Z17" s="17">
        <v>20.536100000000001</v>
      </c>
      <c r="AA17" s="17">
        <v>28.088899999999999</v>
      </c>
      <c r="AB17" s="17">
        <v>19.2514</v>
      </c>
      <c r="AC17" s="17">
        <v>10.771800000000001</v>
      </c>
      <c r="AD17" s="17">
        <v>13.3645</v>
      </c>
      <c r="AE17" s="17">
        <v>13.9046</v>
      </c>
      <c r="AF17" s="17">
        <v>20.016500000000001</v>
      </c>
      <c r="AG17" s="17">
        <v>23.968</v>
      </c>
      <c r="AH17" s="17">
        <v>26.504200000000001</v>
      </c>
      <c r="AI17" s="17">
        <v>16.245799999999999</v>
      </c>
      <c r="AJ17" s="17">
        <v>17.964500000000001</v>
      </c>
      <c r="AK17" s="17">
        <v>9.3733000000000004</v>
      </c>
      <c r="AL17" s="17">
        <v>10.4725</v>
      </c>
      <c r="AM17" s="17">
        <v>11.353</v>
      </c>
      <c r="AN17" s="17">
        <v>18.993500000000001</v>
      </c>
      <c r="AO17" s="17">
        <v>12.6812</v>
      </c>
      <c r="AP17" s="17">
        <v>13.648999999999999</v>
      </c>
      <c r="AQ17" s="85">
        <v>16.225200000000001</v>
      </c>
    </row>
    <row r="18" spans="1:43" x14ac:dyDescent="0.2">
      <c r="A18" s="34">
        <f t="shared" si="0"/>
        <v>21.483530769230768</v>
      </c>
      <c r="B18" s="17">
        <v>47</v>
      </c>
      <c r="C18" s="17">
        <v>13</v>
      </c>
      <c r="D18" s="34">
        <v>17.394600000000001</v>
      </c>
      <c r="E18" s="17">
        <v>21.588699999999999</v>
      </c>
      <c r="F18" s="17">
        <v>15.452500000000001</v>
      </c>
      <c r="G18" s="17">
        <v>15.7751</v>
      </c>
      <c r="H18" s="17">
        <v>25.9543</v>
      </c>
      <c r="I18" s="17">
        <v>17.1829</v>
      </c>
      <c r="J18" s="17">
        <v>70.888099999999994</v>
      </c>
      <c r="K18" s="17">
        <v>12.9941</v>
      </c>
      <c r="L18" s="17">
        <v>16.834700000000002</v>
      </c>
      <c r="M18" s="17">
        <v>15.3416</v>
      </c>
      <c r="N18" s="17">
        <v>11.991400000000001</v>
      </c>
      <c r="O18" s="17">
        <v>16.659800000000001</v>
      </c>
      <c r="P18" s="17">
        <v>13.14</v>
      </c>
      <c r="Q18" s="17">
        <v>20.3735</v>
      </c>
      <c r="R18" s="17">
        <v>12.5472</v>
      </c>
      <c r="S18" s="17">
        <v>16.7</v>
      </c>
      <c r="T18" s="17">
        <v>19.256399999999999</v>
      </c>
      <c r="U18" s="17">
        <v>13.4665</v>
      </c>
      <c r="V18" s="17">
        <v>16.8264</v>
      </c>
      <c r="W18" s="85">
        <v>17.459199999999999</v>
      </c>
      <c r="X18" s="34">
        <v>31.3901</v>
      </c>
      <c r="Y18" s="17">
        <v>28.378799999999998</v>
      </c>
      <c r="Z18" s="17">
        <v>24.329599999999999</v>
      </c>
      <c r="AA18" s="17">
        <v>20.273499999999999</v>
      </c>
      <c r="AB18" s="17">
        <v>27.487400000000001</v>
      </c>
      <c r="AC18" s="17">
        <v>35.404600000000002</v>
      </c>
      <c r="AD18" s="17">
        <v>20.875399999999999</v>
      </c>
      <c r="AE18" s="17">
        <v>24.310500000000001</v>
      </c>
      <c r="AF18" s="17">
        <v>36.110599999999998</v>
      </c>
      <c r="AG18" s="17">
        <v>31.708600000000001</v>
      </c>
      <c r="AH18" s="17">
        <v>24.323399999999999</v>
      </c>
      <c r="AI18" s="17">
        <v>29.052600000000002</v>
      </c>
      <c r="AJ18" s="17">
        <v>23.650700000000001</v>
      </c>
      <c r="AK18" s="17">
        <v>28.700700000000001</v>
      </c>
      <c r="AL18" s="17">
        <v>14.629200000000001</v>
      </c>
      <c r="AM18" s="17">
        <v>24.625800000000002</v>
      </c>
      <c r="AN18" s="17">
        <v>40.378999999999998</v>
      </c>
      <c r="AO18" s="17">
        <v>24.996200000000002</v>
      </c>
      <c r="AP18" s="17">
        <v>23.926200000000001</v>
      </c>
      <c r="AQ18" s="85">
        <v>24.4161</v>
      </c>
    </row>
    <row r="19" spans="1:43" x14ac:dyDescent="0.2">
      <c r="A19" s="34">
        <f t="shared" si="0"/>
        <v>19.916899999999998</v>
      </c>
      <c r="B19" s="17">
        <v>50</v>
      </c>
      <c r="C19" s="17">
        <v>14</v>
      </c>
      <c r="D19" s="34">
        <v>16.123999999999999</v>
      </c>
      <c r="E19" s="17">
        <v>19.693100000000001</v>
      </c>
      <c r="F19" s="17">
        <v>13.9735</v>
      </c>
      <c r="G19" s="17">
        <v>13.515499999999999</v>
      </c>
      <c r="H19" s="17">
        <v>22.5871</v>
      </c>
      <c r="I19" s="17">
        <v>34.019799999999996</v>
      </c>
      <c r="J19" s="17">
        <v>13.096399999999999</v>
      </c>
      <c r="K19" s="17">
        <v>20.907900000000001</v>
      </c>
      <c r="L19" s="17">
        <v>23.988499999999998</v>
      </c>
      <c r="M19" s="17">
        <v>30.201699999999999</v>
      </c>
      <c r="N19" s="17">
        <v>11.994300000000001</v>
      </c>
      <c r="O19" s="17">
        <v>12.287100000000001</v>
      </c>
      <c r="P19" s="17">
        <v>17.769200000000001</v>
      </c>
      <c r="Q19" s="17">
        <v>15.430099999999999</v>
      </c>
      <c r="R19" s="17">
        <v>10.8879</v>
      </c>
      <c r="S19" s="17">
        <v>15.1966</v>
      </c>
      <c r="T19" s="17">
        <v>20.617999999999999</v>
      </c>
      <c r="U19" s="17">
        <v>22.111499999999999</v>
      </c>
      <c r="V19" s="17">
        <v>12.4054</v>
      </c>
      <c r="W19" s="85">
        <v>13.1805</v>
      </c>
      <c r="X19" s="34">
        <v>11.0686</v>
      </c>
      <c r="Y19" s="17">
        <v>35.108699999999999</v>
      </c>
      <c r="Z19" s="17">
        <v>37.716900000000003</v>
      </c>
      <c r="AA19" s="17">
        <v>16.104900000000001</v>
      </c>
      <c r="AB19" s="17">
        <v>18.110399999999998</v>
      </c>
      <c r="AC19" s="17">
        <v>32.889499999999998</v>
      </c>
      <c r="AD19" s="17">
        <v>22.976299999999998</v>
      </c>
      <c r="AE19" s="17">
        <v>22.854099999999999</v>
      </c>
      <c r="AF19" s="17">
        <v>40.290100000000002</v>
      </c>
      <c r="AG19" s="17">
        <v>30.704599999999999</v>
      </c>
      <c r="AH19" s="17">
        <v>16.717199999999998</v>
      </c>
      <c r="AI19" s="17">
        <v>19.857399999999998</v>
      </c>
      <c r="AJ19" s="17">
        <v>32.779499999999999</v>
      </c>
      <c r="AK19" s="17">
        <v>26.277000000000001</v>
      </c>
      <c r="AL19" s="17">
        <v>12.576700000000001</v>
      </c>
      <c r="AM19" s="17">
        <v>27.699400000000001</v>
      </c>
      <c r="AN19" s="17">
        <v>42.252600000000001</v>
      </c>
      <c r="AO19" s="17">
        <v>32.6845</v>
      </c>
      <c r="AP19" s="17">
        <v>35.628799999999998</v>
      </c>
      <c r="AQ19" s="85">
        <v>32.623800000000003</v>
      </c>
    </row>
    <row r="20" spans="1:43" x14ac:dyDescent="0.2">
      <c r="A20" s="34">
        <f t="shared" si="0"/>
        <v>24.491134615384617</v>
      </c>
      <c r="B20" s="17">
        <v>52</v>
      </c>
      <c r="C20" s="17">
        <v>15</v>
      </c>
      <c r="D20" s="34">
        <v>20.539300000000001</v>
      </c>
      <c r="E20" s="17">
        <v>28.761600000000001</v>
      </c>
      <c r="F20" s="17">
        <v>14.779299999999999</v>
      </c>
      <c r="G20" s="17">
        <v>19.797899999999998</v>
      </c>
      <c r="H20" s="17">
        <v>13.148099999999999</v>
      </c>
      <c r="I20" s="17">
        <v>14.0054</v>
      </c>
      <c r="J20" s="17">
        <v>16.781600000000001</v>
      </c>
      <c r="K20" s="17">
        <v>16.338899999999999</v>
      </c>
      <c r="L20" s="17">
        <v>23.104500000000002</v>
      </c>
      <c r="M20" s="17">
        <v>20.2867</v>
      </c>
      <c r="N20" s="17">
        <v>27.849699999999999</v>
      </c>
      <c r="O20" s="17">
        <v>14.655799999999999</v>
      </c>
      <c r="P20" s="17">
        <v>8.8728999999999996</v>
      </c>
      <c r="Q20" s="17">
        <v>12.7402</v>
      </c>
      <c r="R20" s="17">
        <v>12.0878</v>
      </c>
      <c r="S20" s="17">
        <v>9.0012000000000008</v>
      </c>
      <c r="T20" s="17">
        <v>19.96</v>
      </c>
      <c r="U20" s="17">
        <v>15.467700000000001</v>
      </c>
      <c r="V20" s="17">
        <v>11.981199999999999</v>
      </c>
      <c r="W20" s="85">
        <v>10.768000000000001</v>
      </c>
      <c r="X20" s="34">
        <v>45.976799999999997</v>
      </c>
      <c r="Y20" s="17">
        <v>35.789299999999997</v>
      </c>
      <c r="Z20" s="17">
        <v>50.920200000000001</v>
      </c>
      <c r="AA20" s="17">
        <v>42.064799999999998</v>
      </c>
      <c r="AB20" s="17">
        <v>45.660899999999998</v>
      </c>
      <c r="AC20" s="17">
        <v>36.7652</v>
      </c>
      <c r="AD20" s="17">
        <v>69.203800000000001</v>
      </c>
      <c r="AE20" s="17">
        <v>50.661200000000001</v>
      </c>
      <c r="AF20" s="17">
        <v>82.940299999999993</v>
      </c>
      <c r="AG20" s="17">
        <v>38.033799999999999</v>
      </c>
      <c r="AH20" s="17">
        <v>33.137</v>
      </c>
      <c r="AI20" s="17">
        <v>51.228700000000003</v>
      </c>
      <c r="AJ20" s="17">
        <v>18.6967</v>
      </c>
      <c r="AK20" s="17">
        <v>37.012300000000003</v>
      </c>
      <c r="AL20" s="17">
        <v>33.048699999999997</v>
      </c>
      <c r="AM20" s="17">
        <v>34.513399999999997</v>
      </c>
      <c r="AN20" s="17">
        <v>52.094999999999999</v>
      </c>
      <c r="AO20" s="17">
        <v>30.104900000000001</v>
      </c>
      <c r="AP20" s="17">
        <v>39.252400000000002</v>
      </c>
      <c r="AQ20" s="85">
        <v>18.969200000000001</v>
      </c>
    </row>
    <row r="21" spans="1:43" x14ac:dyDescent="0.2">
      <c r="A21" s="34">
        <f t="shared" si="0"/>
        <v>23.860511538461537</v>
      </c>
      <c r="B21" s="17">
        <v>54</v>
      </c>
      <c r="C21" s="17">
        <v>16</v>
      </c>
      <c r="D21" s="34">
        <v>10.095000000000001</v>
      </c>
      <c r="E21" s="17">
        <v>18.413900000000002</v>
      </c>
      <c r="F21" s="17">
        <v>13.3902</v>
      </c>
      <c r="G21" s="17">
        <v>13.0923</v>
      </c>
      <c r="H21" s="17">
        <v>23.993600000000001</v>
      </c>
      <c r="I21" s="17">
        <v>15.2117</v>
      </c>
      <c r="J21" s="17">
        <v>22.303699999999999</v>
      </c>
      <c r="K21" s="17">
        <v>18.899999999999999</v>
      </c>
      <c r="L21" s="17">
        <v>15.5571</v>
      </c>
      <c r="M21" s="17">
        <v>14.9026</v>
      </c>
      <c r="N21" s="17">
        <v>32.417999999999999</v>
      </c>
      <c r="O21" s="17">
        <v>20.797899999999998</v>
      </c>
      <c r="P21" s="17">
        <v>15.1782</v>
      </c>
      <c r="Q21" s="17">
        <v>13.142799999999999</v>
      </c>
      <c r="R21" s="17">
        <v>11.734999999999999</v>
      </c>
      <c r="S21" s="17">
        <v>18.763999999999999</v>
      </c>
      <c r="T21" s="17">
        <v>33.397500000000001</v>
      </c>
      <c r="U21" s="17">
        <v>15.295500000000001</v>
      </c>
      <c r="V21" s="17">
        <v>15.6616</v>
      </c>
      <c r="W21" s="85">
        <v>13.6889</v>
      </c>
      <c r="X21" s="34">
        <v>30.764700000000001</v>
      </c>
      <c r="Y21" s="17">
        <v>27.412199999999999</v>
      </c>
      <c r="Z21" s="17">
        <v>44.180900000000001</v>
      </c>
      <c r="AA21" s="17">
        <v>35.923099999999998</v>
      </c>
      <c r="AB21" s="17">
        <v>34.048400000000001</v>
      </c>
      <c r="AC21" s="17">
        <v>53.207299999999996</v>
      </c>
      <c r="AD21" s="17">
        <v>48.992199999999997</v>
      </c>
      <c r="AE21" s="17">
        <v>35.605200000000004</v>
      </c>
      <c r="AF21" s="17">
        <v>77.236000000000004</v>
      </c>
      <c r="AG21" s="17">
        <v>74.589699999999993</v>
      </c>
      <c r="AH21" s="17">
        <v>54.458100000000002</v>
      </c>
      <c r="AI21" s="17">
        <v>45.241599999999998</v>
      </c>
      <c r="AJ21" s="17">
        <v>72.077299999999994</v>
      </c>
      <c r="AK21" s="17">
        <v>26.800899999999999</v>
      </c>
      <c r="AL21" s="17">
        <v>21.517499999999998</v>
      </c>
      <c r="AM21" s="17">
        <v>27.771599999999999</v>
      </c>
      <c r="AN21" s="17">
        <v>46.734400000000001</v>
      </c>
      <c r="AO21" s="17">
        <v>66.228300000000004</v>
      </c>
      <c r="AP21" s="17">
        <v>109.4644</v>
      </c>
      <c r="AQ21" s="85">
        <v>48.765799999999999</v>
      </c>
    </row>
    <row r="22" spans="1:43" x14ac:dyDescent="0.2">
      <c r="A22" s="34">
        <f t="shared" si="0"/>
        <v>24.210984615384614</v>
      </c>
      <c r="B22" s="17">
        <v>56</v>
      </c>
      <c r="C22" s="17">
        <v>17</v>
      </c>
      <c r="D22" s="34">
        <v>17.612100000000002</v>
      </c>
      <c r="E22" s="17">
        <v>19.549600000000002</v>
      </c>
      <c r="F22" s="17">
        <v>19.341100000000001</v>
      </c>
      <c r="G22" s="17">
        <v>23.155100000000001</v>
      </c>
      <c r="H22" s="17">
        <v>22.239100000000001</v>
      </c>
      <c r="I22" s="17">
        <v>19.446899999999999</v>
      </c>
      <c r="J22" s="17">
        <v>16.535</v>
      </c>
      <c r="K22" s="17">
        <v>22.3506</v>
      </c>
      <c r="L22" s="17">
        <v>21.183900000000001</v>
      </c>
      <c r="M22" s="17">
        <v>29.907499999999999</v>
      </c>
      <c r="N22" s="17">
        <v>24.642800000000001</v>
      </c>
      <c r="O22" s="17">
        <v>25.158200000000001</v>
      </c>
      <c r="P22" s="17">
        <v>14.561299999999999</v>
      </c>
      <c r="Q22" s="17">
        <v>18.981000000000002</v>
      </c>
      <c r="R22" s="17">
        <v>22.316299999999998</v>
      </c>
      <c r="S22" s="17">
        <v>26.3474</v>
      </c>
      <c r="T22" s="17">
        <v>14.174200000000001</v>
      </c>
      <c r="U22" s="17">
        <v>21.494299999999999</v>
      </c>
      <c r="V22" s="17">
        <v>36.877400000000002</v>
      </c>
      <c r="W22" s="85">
        <v>18.3569</v>
      </c>
      <c r="X22" s="34">
        <v>43.900300000000001</v>
      </c>
      <c r="Y22" s="17">
        <v>18.227799999999998</v>
      </c>
      <c r="Z22" s="17">
        <v>27.940100000000001</v>
      </c>
      <c r="AA22" s="17">
        <v>12.7325</v>
      </c>
      <c r="AB22" s="17">
        <v>49.833599999999997</v>
      </c>
      <c r="AC22" s="17">
        <v>16.866900000000001</v>
      </c>
      <c r="AD22" s="17">
        <v>43.3658</v>
      </c>
      <c r="AE22" s="17">
        <v>49.0364</v>
      </c>
      <c r="AF22" s="17">
        <v>41.139200000000002</v>
      </c>
      <c r="AG22" s="17">
        <v>25.552</v>
      </c>
      <c r="AH22" s="17">
        <v>42.109499999999997</v>
      </c>
      <c r="AI22" s="17">
        <v>31.895299999999999</v>
      </c>
      <c r="AJ22" s="17">
        <v>28.6007</v>
      </c>
      <c r="AK22" s="17">
        <v>40.416400000000003</v>
      </c>
      <c r="AL22" s="17">
        <v>19.865400000000001</v>
      </c>
      <c r="AM22" s="17">
        <v>34.063299999999998</v>
      </c>
      <c r="AN22" s="17">
        <v>34.329300000000003</v>
      </c>
      <c r="AO22" s="17">
        <v>64.363900000000001</v>
      </c>
      <c r="AP22" s="17">
        <v>38.403599999999997</v>
      </c>
      <c r="AQ22" s="85">
        <v>28.8841</v>
      </c>
    </row>
    <row r="23" spans="1:43" x14ac:dyDescent="0.2">
      <c r="A23" s="34">
        <f t="shared" si="0"/>
        <v>30.476815384615389</v>
      </c>
      <c r="B23" s="17">
        <v>58</v>
      </c>
      <c r="C23" s="17">
        <v>18</v>
      </c>
      <c r="D23" s="34">
        <v>18.154699999999998</v>
      </c>
      <c r="E23" s="17">
        <v>17.463799999999999</v>
      </c>
      <c r="F23" s="17">
        <v>41.866300000000003</v>
      </c>
      <c r="G23" s="17">
        <v>17.235199999999999</v>
      </c>
      <c r="H23" s="17">
        <v>19.098199999999999</v>
      </c>
      <c r="I23" s="17">
        <v>23.8142</v>
      </c>
      <c r="J23" s="17">
        <v>25.282599999999999</v>
      </c>
      <c r="K23" s="17">
        <v>53.057099999999998</v>
      </c>
      <c r="L23" s="17">
        <v>27.715</v>
      </c>
      <c r="M23" s="17">
        <v>36.253100000000003</v>
      </c>
      <c r="N23" s="17">
        <v>19.748699999999999</v>
      </c>
      <c r="O23" s="17">
        <v>53.064100000000003</v>
      </c>
      <c r="P23" s="17">
        <v>16.04</v>
      </c>
      <c r="Q23" s="17">
        <v>23.8858</v>
      </c>
      <c r="R23" s="17">
        <v>30.107299999999999</v>
      </c>
      <c r="S23" s="17">
        <v>19.152100000000001</v>
      </c>
      <c r="T23" s="17">
        <v>28.162500000000001</v>
      </c>
      <c r="U23" s="17">
        <v>16.953499999999998</v>
      </c>
      <c r="V23" s="17">
        <v>53.732999999999997</v>
      </c>
      <c r="W23" s="85">
        <v>43.784799999999997</v>
      </c>
      <c r="X23" s="34">
        <v>9.9795999999999996</v>
      </c>
      <c r="Y23" s="17">
        <v>54.226599999999998</v>
      </c>
      <c r="Z23" s="17">
        <v>23.4236</v>
      </c>
      <c r="AA23" s="17">
        <v>57.295699999999997</v>
      </c>
      <c r="AB23" s="17">
        <v>12.5471</v>
      </c>
      <c r="AC23" s="17">
        <v>35.3748</v>
      </c>
      <c r="AD23" s="17">
        <v>33.1325</v>
      </c>
      <c r="AE23" s="17">
        <v>34.366900000000001</v>
      </c>
      <c r="AF23" s="17">
        <v>41.4223</v>
      </c>
      <c r="AG23" s="17">
        <v>75.043099999999995</v>
      </c>
      <c r="AH23" s="17">
        <v>57.345700000000001</v>
      </c>
      <c r="AI23" s="17">
        <v>38.203099999999999</v>
      </c>
      <c r="AJ23" s="17">
        <v>63.993400000000001</v>
      </c>
      <c r="AK23" s="17">
        <v>36.122399999999999</v>
      </c>
      <c r="AL23" s="17">
        <v>24.506699999999999</v>
      </c>
      <c r="AM23" s="17">
        <v>46.482900000000001</v>
      </c>
      <c r="AN23" s="17">
        <v>60.9955</v>
      </c>
      <c r="AO23" s="17">
        <v>50.066899999999997</v>
      </c>
      <c r="AP23" s="17">
        <v>33.179099999999998</v>
      </c>
      <c r="AQ23" s="85">
        <v>46.4437</v>
      </c>
    </row>
    <row r="24" spans="1:43" x14ac:dyDescent="0.2">
      <c r="A24" s="34">
        <f t="shared" si="0"/>
        <v>19.088988461538467</v>
      </c>
      <c r="B24" s="17">
        <v>59</v>
      </c>
      <c r="C24" s="17">
        <v>19</v>
      </c>
      <c r="D24" s="34">
        <v>22.999700000000001</v>
      </c>
      <c r="E24" s="17">
        <v>21.861899999999999</v>
      </c>
      <c r="F24" s="17">
        <v>13.857200000000001</v>
      </c>
      <c r="G24" s="17">
        <v>14.944599999999999</v>
      </c>
      <c r="H24" s="17">
        <v>22.129100000000001</v>
      </c>
      <c r="I24" s="17">
        <v>18.543399999999998</v>
      </c>
      <c r="J24" s="17">
        <v>36.8857</v>
      </c>
      <c r="K24" s="17">
        <v>17.7563</v>
      </c>
      <c r="L24" s="17">
        <v>21.7349</v>
      </c>
      <c r="M24" s="17">
        <v>9.5333000000000006</v>
      </c>
      <c r="N24" s="17">
        <v>14.250299999999999</v>
      </c>
      <c r="O24" s="17">
        <v>14.1883</v>
      </c>
      <c r="P24" s="17">
        <v>10.5884</v>
      </c>
      <c r="Q24" s="17">
        <v>13.773300000000001</v>
      </c>
      <c r="R24" s="17">
        <v>26.154199999999999</v>
      </c>
      <c r="S24" s="17">
        <v>11.4963</v>
      </c>
      <c r="T24" s="17">
        <v>12.043200000000001</v>
      </c>
      <c r="U24" s="17">
        <v>17.851600000000001</v>
      </c>
      <c r="V24" s="17">
        <v>10.088800000000001</v>
      </c>
      <c r="W24" s="85">
        <v>7.4672000000000001</v>
      </c>
      <c r="X24" s="34">
        <v>20.339600000000001</v>
      </c>
      <c r="Y24" s="17">
        <v>23.496400000000001</v>
      </c>
      <c r="Z24" s="17">
        <v>19.377400000000002</v>
      </c>
      <c r="AA24" s="17">
        <v>15.065799999999999</v>
      </c>
      <c r="AB24" s="17">
        <v>17.7</v>
      </c>
      <c r="AC24" s="17">
        <v>37.009700000000002</v>
      </c>
      <c r="AD24" s="17">
        <v>48.1768</v>
      </c>
      <c r="AE24" s="17">
        <v>24.4636</v>
      </c>
      <c r="AF24" s="17">
        <v>41.705300000000001</v>
      </c>
      <c r="AG24" s="17">
        <v>22.1402</v>
      </c>
      <c r="AH24" s="17">
        <v>44.947299999999998</v>
      </c>
      <c r="AI24" s="17">
        <v>18.433</v>
      </c>
      <c r="AJ24" s="17">
        <v>37.667200000000001</v>
      </c>
      <c r="AK24" s="17">
        <v>22.877600000000001</v>
      </c>
      <c r="AL24" s="17">
        <v>20.880199999999999</v>
      </c>
      <c r="AM24" s="17">
        <v>16.168199999999999</v>
      </c>
      <c r="AN24" s="17">
        <v>23.852</v>
      </c>
      <c r="AO24" s="17">
        <v>36.901299999999999</v>
      </c>
      <c r="AP24" s="17">
        <v>32.782899999999998</v>
      </c>
      <c r="AQ24" s="85">
        <v>13.776</v>
      </c>
    </row>
    <row r="25" spans="1:43" x14ac:dyDescent="0.2">
      <c r="A25" s="34">
        <f t="shared" si="0"/>
        <v>23.304669230769225</v>
      </c>
      <c r="B25" s="17">
        <v>61</v>
      </c>
      <c r="C25" s="17">
        <v>20</v>
      </c>
      <c r="D25" s="34">
        <v>18.4588</v>
      </c>
      <c r="E25" s="17">
        <v>20.9208</v>
      </c>
      <c r="F25" s="17">
        <v>25.930900000000001</v>
      </c>
      <c r="G25" s="17">
        <v>9.3561999999999994</v>
      </c>
      <c r="H25" s="17">
        <v>15.779199999999999</v>
      </c>
      <c r="I25" s="17">
        <v>17.4115</v>
      </c>
      <c r="J25" s="17">
        <v>17.241</v>
      </c>
      <c r="K25" s="17">
        <v>12.853400000000001</v>
      </c>
      <c r="L25" s="17">
        <v>42.2926</v>
      </c>
      <c r="M25" s="17">
        <v>21.645600000000002</v>
      </c>
      <c r="N25" s="17">
        <v>13.353199999999999</v>
      </c>
      <c r="O25" s="17">
        <v>23.301500000000001</v>
      </c>
      <c r="P25" s="17">
        <v>12.2494</v>
      </c>
      <c r="Q25" s="17">
        <v>27.966899999999999</v>
      </c>
      <c r="R25" s="17">
        <v>13.349299999999999</v>
      </c>
      <c r="S25" s="17">
        <v>20.061199999999999</v>
      </c>
      <c r="T25" s="17">
        <v>15.8209</v>
      </c>
      <c r="U25" s="17">
        <v>22.140899999999998</v>
      </c>
      <c r="V25" s="17">
        <v>9.9736999999999991</v>
      </c>
      <c r="W25" s="85">
        <v>11.7683</v>
      </c>
      <c r="X25" s="34">
        <v>37.687199999999997</v>
      </c>
      <c r="Y25" s="17">
        <v>40.648499999999999</v>
      </c>
      <c r="Z25" s="17">
        <v>35.790399999999998</v>
      </c>
      <c r="AA25" s="17">
        <v>14.6126</v>
      </c>
      <c r="AB25" s="17">
        <v>30.664899999999999</v>
      </c>
      <c r="AC25" s="17">
        <v>59.297199999999997</v>
      </c>
      <c r="AD25" s="17">
        <v>33.804099999999998</v>
      </c>
      <c r="AE25" s="17">
        <v>20.572900000000001</v>
      </c>
      <c r="AF25" s="17">
        <v>41.988300000000002</v>
      </c>
      <c r="AG25" s="17">
        <v>18.084099999999999</v>
      </c>
      <c r="AH25" s="17">
        <v>27.703900000000001</v>
      </c>
      <c r="AI25" s="17">
        <v>40.130099999999999</v>
      </c>
      <c r="AJ25" s="17">
        <v>50.917499999999997</v>
      </c>
      <c r="AK25" s="17">
        <v>44.213000000000001</v>
      </c>
      <c r="AL25" s="17">
        <v>81.325800000000001</v>
      </c>
      <c r="AM25" s="17">
        <v>24.440799999999999</v>
      </c>
      <c r="AN25" s="17">
        <v>18.507400000000001</v>
      </c>
      <c r="AO25" s="17">
        <v>20.436299999999999</v>
      </c>
      <c r="AP25" s="17">
        <v>39.5246</v>
      </c>
      <c r="AQ25" s="85">
        <v>25.249099999999999</v>
      </c>
    </row>
    <row r="26" spans="1:43" x14ac:dyDescent="0.2">
      <c r="A26" s="34">
        <f t="shared" si="0"/>
        <v>29.578923076923083</v>
      </c>
      <c r="B26" s="17">
        <v>63</v>
      </c>
      <c r="C26" s="17">
        <v>21</v>
      </c>
      <c r="D26" s="34">
        <v>11.0587</v>
      </c>
      <c r="E26" s="17">
        <v>31.183800000000002</v>
      </c>
      <c r="F26" s="17">
        <v>75.4255</v>
      </c>
      <c r="G26" s="17">
        <v>18.127800000000001</v>
      </c>
      <c r="H26" s="17">
        <v>28.515899999999998</v>
      </c>
      <c r="I26" s="17">
        <v>31.418199999999999</v>
      </c>
      <c r="J26" s="17">
        <v>11.460599999999999</v>
      </c>
      <c r="K26" s="17">
        <v>28.6858</v>
      </c>
      <c r="L26" s="17">
        <v>19.167899999999999</v>
      </c>
      <c r="M26" s="17">
        <v>15.5008</v>
      </c>
      <c r="N26" s="17">
        <v>19.945900000000002</v>
      </c>
      <c r="O26" s="17">
        <v>19.102799999999998</v>
      </c>
      <c r="P26" s="17">
        <v>9.1053999999999995</v>
      </c>
      <c r="Q26" s="17">
        <v>25.0611</v>
      </c>
      <c r="R26" s="17">
        <v>22.207599999999999</v>
      </c>
      <c r="S26" s="17">
        <v>21.787600000000001</v>
      </c>
      <c r="T26" s="17">
        <v>22.057600000000001</v>
      </c>
      <c r="U26" s="17">
        <v>27.9526</v>
      </c>
      <c r="V26" s="17">
        <v>24.523900000000001</v>
      </c>
      <c r="W26" s="85">
        <v>26.336200000000002</v>
      </c>
      <c r="X26" s="34">
        <v>19.915900000000001</v>
      </c>
      <c r="Y26" s="17">
        <v>74.974500000000006</v>
      </c>
      <c r="Z26" s="17">
        <v>49.8932</v>
      </c>
      <c r="AA26" s="17">
        <v>37.076799999999999</v>
      </c>
      <c r="AB26" s="17">
        <v>37.564</v>
      </c>
      <c r="AC26" s="17">
        <v>53.040700000000001</v>
      </c>
      <c r="AD26" s="17">
        <v>19.0199</v>
      </c>
      <c r="AE26" s="17">
        <v>21.288699999999999</v>
      </c>
      <c r="AF26" s="17">
        <v>42.2714</v>
      </c>
      <c r="AG26" s="17">
        <v>38.420299999999997</v>
      </c>
      <c r="AH26" s="17">
        <v>40.140799999999999</v>
      </c>
      <c r="AI26" s="17">
        <v>22.888500000000001</v>
      </c>
      <c r="AJ26" s="17">
        <v>29.660399999999999</v>
      </c>
      <c r="AK26" s="17">
        <v>36.163899999999998</v>
      </c>
      <c r="AL26" s="17">
        <v>27.932400000000001</v>
      </c>
      <c r="AM26" s="17">
        <v>28.096800000000002</v>
      </c>
      <c r="AN26" s="17">
        <v>34.044800000000002</v>
      </c>
      <c r="AO26" s="17">
        <v>34.284500000000001</v>
      </c>
      <c r="AP26" s="17">
        <v>31.299199999999999</v>
      </c>
      <c r="AQ26" s="85">
        <v>27.736499999999999</v>
      </c>
    </row>
    <row r="27" spans="1:43" x14ac:dyDescent="0.2">
      <c r="A27" s="34">
        <f t="shared" si="0"/>
        <v>30.343296153846154</v>
      </c>
      <c r="B27" s="17">
        <v>65</v>
      </c>
      <c r="C27" s="17">
        <v>22</v>
      </c>
      <c r="D27" s="34">
        <v>18.762799999999999</v>
      </c>
      <c r="E27" s="17">
        <v>31.220300000000002</v>
      </c>
      <c r="F27" s="17">
        <v>29.9025</v>
      </c>
      <c r="G27" s="17">
        <v>45.535600000000002</v>
      </c>
      <c r="H27" s="17">
        <v>19.1752</v>
      </c>
      <c r="I27" s="17">
        <v>26.522600000000001</v>
      </c>
      <c r="J27" s="17">
        <v>31.540600000000001</v>
      </c>
      <c r="K27" s="17">
        <v>38.238300000000002</v>
      </c>
      <c r="L27" s="17">
        <v>29.670400000000001</v>
      </c>
      <c r="M27" s="17">
        <v>14.8264</v>
      </c>
      <c r="N27" s="17">
        <v>26.9983</v>
      </c>
      <c r="O27" s="17">
        <v>39.591099999999997</v>
      </c>
      <c r="P27" s="17">
        <v>22.690200000000001</v>
      </c>
      <c r="Q27" s="17">
        <v>46.2789</v>
      </c>
      <c r="R27" s="17">
        <v>23.627199999999998</v>
      </c>
      <c r="S27" s="17">
        <v>17.207100000000001</v>
      </c>
      <c r="T27" s="17">
        <v>36.233499999999999</v>
      </c>
      <c r="U27" s="17">
        <v>26.233599999999999</v>
      </c>
      <c r="V27" s="17">
        <v>23.8018</v>
      </c>
      <c r="W27" s="85">
        <v>29.451899999999998</v>
      </c>
      <c r="X27" s="34">
        <v>22.920100000000001</v>
      </c>
      <c r="Y27" s="17">
        <v>58.032600000000002</v>
      </c>
      <c r="Z27" s="17">
        <v>43.176400000000001</v>
      </c>
      <c r="AA27" s="17">
        <v>28.659600000000001</v>
      </c>
      <c r="AB27" s="17">
        <v>28.459399999999999</v>
      </c>
      <c r="AC27" s="17">
        <v>29.361000000000001</v>
      </c>
      <c r="AD27" s="17">
        <v>19.571100000000001</v>
      </c>
      <c r="AE27" s="17">
        <v>31.259</v>
      </c>
      <c r="AF27" s="17">
        <v>42.554400000000001</v>
      </c>
      <c r="AG27" s="17">
        <v>37.204799999999999</v>
      </c>
      <c r="AH27" s="17">
        <v>44.559399999999997</v>
      </c>
      <c r="AI27" s="17">
        <v>41.567900000000002</v>
      </c>
      <c r="AJ27" s="17">
        <v>42.945500000000003</v>
      </c>
      <c r="AK27" s="17">
        <v>30.904199999999999</v>
      </c>
      <c r="AL27" s="17">
        <v>23.903500000000001</v>
      </c>
      <c r="AM27" s="17">
        <v>31.532699999999998</v>
      </c>
      <c r="AN27" s="17">
        <v>32.385899999999999</v>
      </c>
      <c r="AO27" s="17">
        <v>33.328099999999999</v>
      </c>
      <c r="AP27" s="17">
        <v>28.981000000000002</v>
      </c>
      <c r="AQ27" s="85">
        <v>33.0366</v>
      </c>
    </row>
    <row r="28" spans="1:43" x14ac:dyDescent="0.2">
      <c r="A28" s="34">
        <f t="shared" si="0"/>
        <v>19.629207692307691</v>
      </c>
      <c r="B28" s="17">
        <v>67</v>
      </c>
      <c r="C28" s="17">
        <v>23</v>
      </c>
      <c r="D28" s="34">
        <v>14.2903</v>
      </c>
      <c r="E28" s="17">
        <v>14.1252</v>
      </c>
      <c r="F28" s="17">
        <v>21.838999999999999</v>
      </c>
      <c r="G28" s="17">
        <v>18.531500000000001</v>
      </c>
      <c r="H28" s="17">
        <v>23.240200000000002</v>
      </c>
      <c r="I28" s="17">
        <v>18.829799999999999</v>
      </c>
      <c r="J28" s="17">
        <v>21.351900000000001</v>
      </c>
      <c r="K28" s="17">
        <v>21.547699999999999</v>
      </c>
      <c r="L28" s="17">
        <v>24.5442</v>
      </c>
      <c r="M28" s="17">
        <v>21.706199999999999</v>
      </c>
      <c r="N28" s="17">
        <v>12.8256</v>
      </c>
      <c r="O28" s="17">
        <v>17.1693</v>
      </c>
      <c r="P28" s="17">
        <v>11.4854</v>
      </c>
      <c r="Q28" s="17">
        <v>14.216200000000001</v>
      </c>
      <c r="R28" s="17">
        <v>11.496700000000001</v>
      </c>
      <c r="S28" s="17">
        <v>14.1523</v>
      </c>
      <c r="T28" s="17">
        <v>28.826499999999999</v>
      </c>
      <c r="U28" s="17">
        <v>38.443300000000001</v>
      </c>
      <c r="V28" s="17">
        <v>13.6136</v>
      </c>
      <c r="W28" s="85">
        <v>19.7117</v>
      </c>
      <c r="X28" s="34">
        <v>9.8207000000000004</v>
      </c>
      <c r="Y28" s="17">
        <v>13.2768</v>
      </c>
      <c r="Z28" s="17">
        <v>33.779600000000002</v>
      </c>
      <c r="AA28" s="17">
        <v>22.540099999999999</v>
      </c>
      <c r="AB28" s="17">
        <v>23.741199999999999</v>
      </c>
      <c r="AC28" s="17">
        <v>10.5166</v>
      </c>
      <c r="AD28" s="17">
        <v>29.028099999999998</v>
      </c>
      <c r="AE28" s="17">
        <v>22.6754</v>
      </c>
      <c r="AF28" s="17">
        <v>42.837499999999999</v>
      </c>
      <c r="AG28" s="17">
        <v>31.6922</v>
      </c>
      <c r="AH28" s="17">
        <v>27.0367</v>
      </c>
      <c r="AI28" s="17">
        <v>13.863899999999999</v>
      </c>
      <c r="AJ28" s="17">
        <v>29.009</v>
      </c>
      <c r="AK28" s="17">
        <v>33.269399999999997</v>
      </c>
      <c r="AL28" s="17">
        <v>12.619</v>
      </c>
      <c r="AM28" s="17">
        <v>15.3004</v>
      </c>
      <c r="AN28" s="17">
        <v>31.6999</v>
      </c>
      <c r="AO28" s="17">
        <v>20.3294</v>
      </c>
      <c r="AP28" s="17">
        <v>24.368600000000001</v>
      </c>
      <c r="AQ28" s="85">
        <v>18.383199999999999</v>
      </c>
    </row>
    <row r="29" spans="1:43" x14ac:dyDescent="0.2">
      <c r="A29" s="34">
        <f t="shared" si="0"/>
        <v>17.284623076923079</v>
      </c>
      <c r="B29" s="17">
        <v>69</v>
      </c>
      <c r="C29" s="17">
        <v>24</v>
      </c>
      <c r="D29" s="34">
        <v>10.8787</v>
      </c>
      <c r="E29" s="17">
        <v>17.677700000000002</v>
      </c>
      <c r="F29" s="17">
        <v>12.1357</v>
      </c>
      <c r="G29" s="17">
        <v>12.0151</v>
      </c>
      <c r="H29" s="17">
        <v>10.5313</v>
      </c>
      <c r="I29" s="17">
        <v>23.627099999999999</v>
      </c>
      <c r="J29" s="17">
        <v>17.8598</v>
      </c>
      <c r="K29" s="17">
        <v>11.365</v>
      </c>
      <c r="L29" s="17">
        <v>21.050699999999999</v>
      </c>
      <c r="M29" s="17">
        <v>15.1022</v>
      </c>
      <c r="N29" s="17">
        <v>15.1378</v>
      </c>
      <c r="O29" s="17">
        <v>13.4062</v>
      </c>
      <c r="P29" s="17">
        <v>7.6609999999999996</v>
      </c>
      <c r="Q29" s="17">
        <v>11.674099999999999</v>
      </c>
      <c r="R29" s="17">
        <v>16.484000000000002</v>
      </c>
      <c r="S29" s="17">
        <v>21.142399999999999</v>
      </c>
      <c r="T29" s="17">
        <v>12.917400000000001</v>
      </c>
      <c r="U29" s="17">
        <v>12.2758</v>
      </c>
      <c r="V29" s="17">
        <v>7.9890999999999996</v>
      </c>
      <c r="W29" s="85">
        <v>11.5938</v>
      </c>
      <c r="X29" s="34">
        <v>31.197199999999999</v>
      </c>
      <c r="Y29" s="17">
        <v>41.240499999999997</v>
      </c>
      <c r="Z29" s="17">
        <v>19.576599999999999</v>
      </c>
      <c r="AA29" s="17">
        <v>16.9497</v>
      </c>
      <c r="AB29" s="17">
        <v>13.8241</v>
      </c>
      <c r="AC29" s="17">
        <v>39.229599999999998</v>
      </c>
      <c r="AD29" s="17">
        <v>15.7363</v>
      </c>
      <c r="AE29" s="17">
        <v>21.533000000000001</v>
      </c>
      <c r="AF29" s="17">
        <v>43.1205</v>
      </c>
      <c r="AG29" s="17">
        <v>19.384599999999999</v>
      </c>
      <c r="AH29" s="17">
        <v>25.220700000000001</v>
      </c>
      <c r="AI29" s="17">
        <v>22.8644</v>
      </c>
      <c r="AJ29" s="17">
        <v>48.968899999999998</v>
      </c>
      <c r="AK29" s="17">
        <v>24.936800000000002</v>
      </c>
      <c r="AL29" s="17">
        <v>28.444600000000001</v>
      </c>
      <c r="AM29" s="17">
        <v>27.5761</v>
      </c>
      <c r="AN29" s="17">
        <v>36.139499999999998</v>
      </c>
      <c r="AO29" s="17">
        <v>40.283700000000003</v>
      </c>
      <c r="AP29" s="17">
        <v>18.4756</v>
      </c>
      <c r="AQ29" s="85">
        <v>33.603900000000003</v>
      </c>
    </row>
    <row r="30" spans="1:43" x14ac:dyDescent="0.2">
      <c r="A30" s="34">
        <f t="shared" si="0"/>
        <v>12.057757692307691</v>
      </c>
      <c r="B30" s="17">
        <v>6</v>
      </c>
      <c r="C30" s="17">
        <v>25</v>
      </c>
      <c r="D30" s="34">
        <v>12.3499</v>
      </c>
      <c r="E30" s="17">
        <v>8.3953000000000007</v>
      </c>
      <c r="F30" s="17">
        <v>11.2227</v>
      </c>
      <c r="G30" s="17">
        <v>11.239800000000001</v>
      </c>
      <c r="H30" s="17">
        <v>10.559200000000001</v>
      </c>
      <c r="I30" s="17">
        <v>13.5496</v>
      </c>
      <c r="J30" s="17">
        <v>5.0444000000000004</v>
      </c>
      <c r="K30" s="17">
        <v>9.1256000000000004</v>
      </c>
      <c r="L30" s="17">
        <v>8.4961000000000002</v>
      </c>
      <c r="M30" s="17">
        <v>6.0270000000000001</v>
      </c>
      <c r="N30" s="17">
        <v>17.1096</v>
      </c>
      <c r="O30" s="17">
        <v>10.098699999999999</v>
      </c>
      <c r="P30" s="17">
        <v>4.8156999999999996</v>
      </c>
      <c r="Q30" s="17">
        <v>12.5482</v>
      </c>
      <c r="R30" s="17">
        <v>10.059799999999999</v>
      </c>
      <c r="S30" s="17">
        <v>12.632400000000001</v>
      </c>
      <c r="T30" s="17">
        <v>8.7909000000000006</v>
      </c>
      <c r="U30" s="17">
        <v>11.5474</v>
      </c>
      <c r="V30" s="17">
        <v>10.4778</v>
      </c>
      <c r="W30" s="85">
        <v>6.0934999999999997</v>
      </c>
      <c r="X30" s="34">
        <v>24.648299999999999</v>
      </c>
      <c r="Y30" s="17">
        <v>11.677899999999999</v>
      </c>
      <c r="Z30" s="17">
        <v>16.069099999999999</v>
      </c>
      <c r="AA30" s="17">
        <v>32.728299999999997</v>
      </c>
      <c r="AB30" s="17">
        <v>10.279500000000001</v>
      </c>
      <c r="AC30" s="17">
        <v>16.1084</v>
      </c>
      <c r="AD30" s="17">
        <v>14.156499999999999</v>
      </c>
      <c r="AE30" s="17">
        <v>19.444199999999999</v>
      </c>
      <c r="AF30" s="17">
        <v>12.3819</v>
      </c>
      <c r="AG30" s="17">
        <v>10.6593</v>
      </c>
      <c r="AH30" s="17">
        <v>16.045000000000002</v>
      </c>
      <c r="AI30" s="17">
        <v>21.967600000000001</v>
      </c>
      <c r="AJ30" s="17">
        <v>19.215499999999999</v>
      </c>
      <c r="AK30" s="17">
        <v>24.377099999999999</v>
      </c>
      <c r="AL30" s="17">
        <v>10.5594</v>
      </c>
      <c r="AM30" s="17">
        <v>12.6075</v>
      </c>
      <c r="AN30" s="17">
        <v>21.418800000000001</v>
      </c>
      <c r="AO30" s="17">
        <v>6.9935999999999998</v>
      </c>
      <c r="AP30" s="17">
        <v>9.9526000000000003</v>
      </c>
      <c r="AQ30" s="85">
        <v>8.9204000000000008</v>
      </c>
    </row>
    <row r="31" spans="1:43" x14ac:dyDescent="0.2">
      <c r="A31" s="34">
        <f t="shared" si="0"/>
        <v>28.757611538461539</v>
      </c>
      <c r="B31" s="17">
        <v>70</v>
      </c>
      <c r="C31" s="17">
        <v>26</v>
      </c>
      <c r="D31" s="34">
        <v>19.370899999999999</v>
      </c>
      <c r="E31" s="17">
        <v>56.507399999999997</v>
      </c>
      <c r="F31" s="17">
        <v>28.3706</v>
      </c>
      <c r="G31" s="17">
        <v>29.6752</v>
      </c>
      <c r="H31" s="17">
        <v>22.823699999999999</v>
      </c>
      <c r="I31" s="17">
        <v>15.1784</v>
      </c>
      <c r="J31" s="17">
        <v>24.317399999999999</v>
      </c>
      <c r="K31" s="17">
        <v>19.6707</v>
      </c>
      <c r="L31" s="17">
        <v>20.230799999999999</v>
      </c>
      <c r="M31" s="17">
        <v>21.9863</v>
      </c>
      <c r="N31" s="17">
        <v>30.83</v>
      </c>
      <c r="O31" s="17">
        <v>32.202599999999997</v>
      </c>
      <c r="P31" s="17">
        <v>25.6524</v>
      </c>
      <c r="Q31" s="17">
        <v>36.960700000000003</v>
      </c>
      <c r="R31" s="17">
        <v>33.637300000000003</v>
      </c>
      <c r="S31" s="17">
        <v>20.1402</v>
      </c>
      <c r="T31" s="17">
        <v>28.084399999999999</v>
      </c>
      <c r="U31" s="17">
        <v>18.375</v>
      </c>
      <c r="V31" s="17">
        <v>30.466000000000001</v>
      </c>
      <c r="W31" s="85">
        <v>13.895</v>
      </c>
      <c r="X31" s="34">
        <v>31.162199999999999</v>
      </c>
      <c r="Y31" s="17">
        <v>39.983800000000002</v>
      </c>
      <c r="Z31" s="17">
        <v>35.533799999999999</v>
      </c>
      <c r="AA31" s="17">
        <v>22.111699999999999</v>
      </c>
      <c r="AB31" s="17">
        <v>34.7819</v>
      </c>
      <c r="AC31" s="17">
        <v>34.979900000000001</v>
      </c>
      <c r="AD31" s="17">
        <v>40.140500000000003</v>
      </c>
      <c r="AE31" s="17">
        <v>28.240200000000002</v>
      </c>
      <c r="AF31" s="17">
        <v>43.686599999999999</v>
      </c>
      <c r="AG31" s="17">
        <v>48.335999999999999</v>
      </c>
      <c r="AH31" s="17">
        <v>16.1327</v>
      </c>
      <c r="AI31" s="17">
        <v>41.032899999999998</v>
      </c>
      <c r="AJ31" s="17">
        <v>33.784300000000002</v>
      </c>
      <c r="AK31" s="17">
        <v>30.481999999999999</v>
      </c>
      <c r="AL31" s="17">
        <v>35.3401</v>
      </c>
      <c r="AM31" s="17">
        <v>26.988199999999999</v>
      </c>
      <c r="AN31" s="17">
        <v>48.535699999999999</v>
      </c>
      <c r="AO31" s="17">
        <v>34.593699999999998</v>
      </c>
      <c r="AP31" s="17">
        <v>24.888100000000001</v>
      </c>
      <c r="AQ31" s="85">
        <v>23.480699999999999</v>
      </c>
    </row>
    <row r="32" spans="1:43" x14ac:dyDescent="0.2">
      <c r="A32" s="34">
        <f t="shared" si="0"/>
        <v>23.760184615384617</v>
      </c>
      <c r="B32" s="17">
        <v>72</v>
      </c>
      <c r="C32" s="17">
        <v>27</v>
      </c>
      <c r="D32" s="34">
        <v>32.1188</v>
      </c>
      <c r="E32" s="17">
        <v>20.240500000000001</v>
      </c>
      <c r="F32" s="17">
        <v>18.3001</v>
      </c>
      <c r="G32" s="17">
        <v>19.857199999999999</v>
      </c>
      <c r="H32" s="17">
        <v>19.341999999999999</v>
      </c>
      <c r="I32" s="17">
        <v>24.3538</v>
      </c>
      <c r="J32" s="17">
        <v>14.588200000000001</v>
      </c>
      <c r="K32" s="17">
        <v>14.864000000000001</v>
      </c>
      <c r="L32" s="17">
        <v>21.765799999999999</v>
      </c>
      <c r="M32" s="17">
        <v>21.890799999999999</v>
      </c>
      <c r="N32" s="17">
        <v>15.7699</v>
      </c>
      <c r="O32" s="17">
        <v>21.637</v>
      </c>
      <c r="P32" s="17">
        <v>15.440099999999999</v>
      </c>
      <c r="Q32" s="17">
        <v>11.6998</v>
      </c>
      <c r="R32" s="17">
        <v>15.363300000000001</v>
      </c>
      <c r="S32" s="17">
        <v>15.934900000000001</v>
      </c>
      <c r="T32" s="17">
        <v>16.902200000000001</v>
      </c>
      <c r="U32" s="17">
        <v>8.6937999999999995</v>
      </c>
      <c r="V32" s="17">
        <v>19.120100000000001</v>
      </c>
      <c r="W32" s="85">
        <v>6.2183999999999999</v>
      </c>
      <c r="X32" s="34">
        <v>55.391100000000002</v>
      </c>
      <c r="Y32" s="17">
        <v>35.4129</v>
      </c>
      <c r="Z32" s="17">
        <v>33.548099999999998</v>
      </c>
      <c r="AA32" s="17">
        <v>60.161200000000001</v>
      </c>
      <c r="AB32" s="17">
        <v>32.322299999999998</v>
      </c>
      <c r="AC32" s="17">
        <v>24.6874</v>
      </c>
      <c r="AD32" s="17">
        <v>54.259900000000002</v>
      </c>
      <c r="AE32" s="17">
        <v>21.453099999999999</v>
      </c>
      <c r="AF32" s="17">
        <v>67.563500000000005</v>
      </c>
      <c r="AG32" s="17">
        <v>73.0595</v>
      </c>
      <c r="AH32" s="17">
        <v>41.126100000000001</v>
      </c>
      <c r="AI32" s="17">
        <v>35.985900000000001</v>
      </c>
      <c r="AJ32" s="17">
        <v>49.702399999999997</v>
      </c>
      <c r="AK32" s="17">
        <v>26.1189</v>
      </c>
      <c r="AL32" s="17">
        <v>27.502199999999998</v>
      </c>
      <c r="AM32" s="17">
        <v>39.875</v>
      </c>
      <c r="AN32" s="17">
        <v>39.578699999999998</v>
      </c>
      <c r="AO32" s="17">
        <v>38.6877</v>
      </c>
      <c r="AP32" s="17">
        <v>36.822499999999998</v>
      </c>
      <c r="AQ32" s="85">
        <v>33.541499999999999</v>
      </c>
    </row>
    <row r="33" spans="1:43" x14ac:dyDescent="0.2">
      <c r="A33" s="34">
        <f t="shared" si="0"/>
        <v>21.880703846153843</v>
      </c>
      <c r="B33" s="17">
        <v>74</v>
      </c>
      <c r="C33" s="17">
        <v>28</v>
      </c>
      <c r="D33" s="34">
        <v>18.364999999999998</v>
      </c>
      <c r="E33" s="17">
        <v>19.037500000000001</v>
      </c>
      <c r="F33" s="17">
        <v>19.9068</v>
      </c>
      <c r="G33" s="17">
        <v>27.295300000000001</v>
      </c>
      <c r="H33" s="17">
        <v>17.9588</v>
      </c>
      <c r="I33" s="17">
        <v>19.174199999999999</v>
      </c>
      <c r="J33" s="17">
        <v>12.4199</v>
      </c>
      <c r="K33" s="17">
        <v>25.318300000000001</v>
      </c>
      <c r="L33" s="17">
        <v>31.407499999999999</v>
      </c>
      <c r="M33" s="17">
        <v>13.3291</v>
      </c>
      <c r="N33" s="17">
        <v>25.715</v>
      </c>
      <c r="O33" s="17">
        <v>24.501000000000001</v>
      </c>
      <c r="P33" s="17">
        <v>19.422499999999999</v>
      </c>
      <c r="Q33" s="17">
        <v>15.450100000000001</v>
      </c>
      <c r="R33" s="17">
        <v>18.271999999999998</v>
      </c>
      <c r="S33" s="17">
        <v>19.003599999999999</v>
      </c>
      <c r="T33" s="17">
        <v>18.967700000000001</v>
      </c>
      <c r="U33" s="17">
        <v>8.2629999999999999</v>
      </c>
      <c r="V33" s="17">
        <v>26.23</v>
      </c>
      <c r="W33" s="85">
        <v>19.606300000000001</v>
      </c>
      <c r="X33" s="34">
        <v>23.076599999999999</v>
      </c>
      <c r="Y33" s="17">
        <v>32.340299999999999</v>
      </c>
      <c r="Z33" s="17">
        <v>35.691299999999998</v>
      </c>
      <c r="AA33" s="17">
        <v>21.063600000000001</v>
      </c>
      <c r="AB33" s="17">
        <v>26.463899999999999</v>
      </c>
      <c r="AC33" s="17">
        <v>26.680800000000001</v>
      </c>
      <c r="AD33" s="17">
        <v>22.3032</v>
      </c>
      <c r="AE33" s="17">
        <v>52.4</v>
      </c>
      <c r="AF33" s="17">
        <v>44.252699999999997</v>
      </c>
      <c r="AG33" s="17">
        <v>33.696300000000001</v>
      </c>
      <c r="AH33" s="17">
        <v>35.855800000000002</v>
      </c>
      <c r="AI33" s="17">
        <v>34.700600000000001</v>
      </c>
      <c r="AJ33" s="17">
        <v>37.5642</v>
      </c>
      <c r="AK33" s="17">
        <v>45.178699999999999</v>
      </c>
      <c r="AL33" s="17">
        <v>15.288500000000001</v>
      </c>
      <c r="AM33" s="17">
        <v>17.276599999999998</v>
      </c>
      <c r="AN33" s="17">
        <v>23.2121</v>
      </c>
      <c r="AO33" s="17">
        <v>22.496600000000001</v>
      </c>
      <c r="AP33" s="17">
        <v>22.517399999999999</v>
      </c>
      <c r="AQ33" s="85">
        <v>20.801300000000001</v>
      </c>
    </row>
    <row r="34" spans="1:43" x14ac:dyDescent="0.2">
      <c r="A34" s="34">
        <f t="shared" si="0"/>
        <v>25.323057692307689</v>
      </c>
      <c r="B34" s="17">
        <v>75</v>
      </c>
      <c r="C34" s="17">
        <v>29</v>
      </c>
      <c r="D34" s="34">
        <v>26.648</v>
      </c>
      <c r="E34" s="17">
        <v>21.3124</v>
      </c>
      <c r="F34" s="17">
        <v>16.741499999999998</v>
      </c>
      <c r="G34" s="17">
        <v>15.846299999999999</v>
      </c>
      <c r="H34" s="17">
        <v>13.6587</v>
      </c>
      <c r="I34" s="17">
        <v>23.471299999999999</v>
      </c>
      <c r="J34" s="17">
        <v>18.0548</v>
      </c>
      <c r="K34" s="17">
        <v>19.4666</v>
      </c>
      <c r="L34" s="17">
        <v>20.335000000000001</v>
      </c>
      <c r="M34" s="17">
        <v>21.642600000000002</v>
      </c>
      <c r="N34" s="17">
        <v>20.268899999999999</v>
      </c>
      <c r="O34" s="17">
        <v>16.816700000000001</v>
      </c>
      <c r="P34" s="17">
        <v>15.9735</v>
      </c>
      <c r="Q34" s="17">
        <v>30.341799999999999</v>
      </c>
      <c r="R34" s="17">
        <v>16.304400000000001</v>
      </c>
      <c r="S34" s="17">
        <v>22.776</v>
      </c>
      <c r="T34" s="17">
        <v>20.853400000000001</v>
      </c>
      <c r="U34" s="17">
        <v>20.683399999999999</v>
      </c>
      <c r="V34" s="17">
        <v>17.741599999999998</v>
      </c>
      <c r="W34" s="85">
        <v>17.898299999999999</v>
      </c>
      <c r="X34" s="34">
        <v>45.436399999999999</v>
      </c>
      <c r="Y34" s="17">
        <v>51.320099999999996</v>
      </c>
      <c r="Z34" s="17">
        <v>27.691800000000001</v>
      </c>
      <c r="AA34" s="17">
        <v>17.511700000000001</v>
      </c>
      <c r="AB34" s="17">
        <v>49.931699999999999</v>
      </c>
      <c r="AC34" s="17">
        <v>44.228000000000002</v>
      </c>
      <c r="AD34" s="17">
        <v>52.092599999999997</v>
      </c>
      <c r="AE34" s="17">
        <v>21.6904</v>
      </c>
      <c r="AF34" s="17">
        <v>44.535699999999999</v>
      </c>
      <c r="AG34" s="17">
        <v>36.951500000000003</v>
      </c>
      <c r="AH34" s="17">
        <v>39.340000000000003</v>
      </c>
      <c r="AI34" s="17">
        <v>30.204599999999999</v>
      </c>
      <c r="AJ34" s="17">
        <v>38.052199999999999</v>
      </c>
      <c r="AK34" s="17">
        <v>46.9176</v>
      </c>
      <c r="AL34" s="17">
        <v>23.408799999999999</v>
      </c>
      <c r="AM34" s="17">
        <v>36.689100000000003</v>
      </c>
      <c r="AN34" s="17">
        <v>28.9636</v>
      </c>
      <c r="AO34" s="17">
        <v>42.963999999999999</v>
      </c>
      <c r="AP34" s="17">
        <v>32.811100000000003</v>
      </c>
      <c r="AQ34" s="85">
        <v>40.905000000000001</v>
      </c>
    </row>
    <row r="35" spans="1:43" x14ac:dyDescent="0.2">
      <c r="A35" s="34">
        <f t="shared" si="0"/>
        <v>17.614369230769231</v>
      </c>
      <c r="B35" s="17">
        <v>78</v>
      </c>
      <c r="C35" s="17">
        <v>30</v>
      </c>
      <c r="D35" s="34">
        <v>23.6234</v>
      </c>
      <c r="E35" s="17">
        <v>9.0414999999999992</v>
      </c>
      <c r="F35" s="17">
        <v>8.6399000000000008</v>
      </c>
      <c r="G35" s="17">
        <v>31.179099999999998</v>
      </c>
      <c r="H35" s="17">
        <v>7.5015000000000001</v>
      </c>
      <c r="I35" s="17">
        <v>13.0745</v>
      </c>
      <c r="J35" s="17">
        <v>14.343299999999999</v>
      </c>
      <c r="K35" s="17">
        <v>20.8034</v>
      </c>
      <c r="L35" s="17">
        <v>11.404999999999999</v>
      </c>
      <c r="M35" s="17">
        <v>10.7692</v>
      </c>
      <c r="N35" s="17">
        <v>11.0777</v>
      </c>
      <c r="O35" s="17">
        <v>10.9168</v>
      </c>
      <c r="P35" s="17">
        <v>11.825699999999999</v>
      </c>
      <c r="Q35" s="17">
        <v>31.116199999999999</v>
      </c>
      <c r="R35" s="17">
        <v>10.3398</v>
      </c>
      <c r="S35" s="17">
        <v>11.651999999999999</v>
      </c>
      <c r="T35" s="17">
        <v>8.9032</v>
      </c>
      <c r="U35" s="17">
        <v>16.9392</v>
      </c>
      <c r="V35" s="17">
        <v>22.1938</v>
      </c>
      <c r="W35" s="85">
        <v>22.691099999999999</v>
      </c>
      <c r="X35" s="34">
        <v>27.052700000000002</v>
      </c>
      <c r="Y35" s="17">
        <v>22.1</v>
      </c>
      <c r="Z35" s="17">
        <v>23.9131</v>
      </c>
      <c r="AA35" s="17">
        <v>20.356000000000002</v>
      </c>
      <c r="AB35" s="17">
        <v>25.691800000000001</v>
      </c>
      <c r="AC35" s="17">
        <v>34.533099999999997</v>
      </c>
      <c r="AD35" s="17">
        <v>19.914000000000001</v>
      </c>
      <c r="AE35" s="17">
        <v>45.027900000000002</v>
      </c>
      <c r="AF35" s="17">
        <v>44.8187</v>
      </c>
      <c r="AG35" s="17">
        <v>19.4377</v>
      </c>
      <c r="AH35" s="17">
        <v>26.0245</v>
      </c>
      <c r="AI35" s="17">
        <v>21.3123</v>
      </c>
      <c r="AJ35" s="17">
        <v>34.224600000000002</v>
      </c>
      <c r="AK35" s="17">
        <v>30.331800000000001</v>
      </c>
      <c r="AL35" s="17">
        <v>19.8001</v>
      </c>
      <c r="AM35" s="17">
        <v>22.732299999999999</v>
      </c>
      <c r="AN35" s="17">
        <v>16.911100000000001</v>
      </c>
      <c r="AO35" s="17">
        <v>15.787100000000001</v>
      </c>
      <c r="AP35" s="17">
        <v>25.877400000000002</v>
      </c>
      <c r="AQ35" s="85">
        <v>9.6376000000000008</v>
      </c>
    </row>
    <row r="36" spans="1:43" x14ac:dyDescent="0.2">
      <c r="A36" s="34">
        <f t="shared" si="0"/>
        <v>17.509030769230773</v>
      </c>
      <c r="B36" s="17">
        <v>80</v>
      </c>
      <c r="C36" s="17">
        <v>31</v>
      </c>
      <c r="D36" s="34">
        <v>15.727399999999999</v>
      </c>
      <c r="E36" s="17">
        <v>32.2376</v>
      </c>
      <c r="F36" s="17">
        <v>5.6177999999999999</v>
      </c>
      <c r="G36" s="17">
        <v>15.4049</v>
      </c>
      <c r="H36" s="17">
        <v>12.411300000000001</v>
      </c>
      <c r="I36" s="17">
        <v>13.557499999999999</v>
      </c>
      <c r="J36" s="17">
        <v>67.967799999999997</v>
      </c>
      <c r="K36" s="17">
        <v>15.2498</v>
      </c>
      <c r="L36" s="17">
        <v>21.144100000000002</v>
      </c>
      <c r="M36" s="17">
        <v>11.4885</v>
      </c>
      <c r="N36" s="17">
        <v>6.1981000000000002</v>
      </c>
      <c r="O36" s="17">
        <v>11.8537</v>
      </c>
      <c r="P36" s="17">
        <v>16.204499999999999</v>
      </c>
      <c r="Q36" s="17">
        <v>17.161899999999999</v>
      </c>
      <c r="R36" s="17">
        <v>12.4551</v>
      </c>
      <c r="S36" s="17">
        <v>17.996500000000001</v>
      </c>
      <c r="T36" s="17">
        <v>14.309699999999999</v>
      </c>
      <c r="U36" s="17">
        <v>16.824400000000001</v>
      </c>
      <c r="V36" s="17">
        <v>18.5534</v>
      </c>
      <c r="W36" s="85">
        <v>5.1506999999999996</v>
      </c>
      <c r="X36" s="34">
        <v>10.645300000000001</v>
      </c>
      <c r="Y36" s="17">
        <v>17.928000000000001</v>
      </c>
      <c r="Z36" s="17">
        <v>13.3727</v>
      </c>
      <c r="AA36" s="17">
        <v>10.2651</v>
      </c>
      <c r="AB36" s="17">
        <v>16.115500000000001</v>
      </c>
      <c r="AC36" s="17">
        <v>36.628300000000003</v>
      </c>
      <c r="AD36" s="17">
        <v>18.492599999999999</v>
      </c>
      <c r="AE36" s="17">
        <v>12.060499999999999</v>
      </c>
      <c r="AF36" s="17">
        <v>12.185700000000001</v>
      </c>
      <c r="AG36" s="17">
        <v>23.06</v>
      </c>
      <c r="AH36" s="17">
        <v>18.148</v>
      </c>
      <c r="AI36" s="17">
        <v>17.971900000000002</v>
      </c>
      <c r="AJ36" s="17">
        <v>27.985399999999998</v>
      </c>
      <c r="AK36" s="17">
        <v>14.629099999999999</v>
      </c>
      <c r="AL36" s="17">
        <v>12.0246</v>
      </c>
      <c r="AM36" s="17">
        <v>11.9404</v>
      </c>
      <c r="AN36" s="17">
        <v>14.4529</v>
      </c>
      <c r="AO36" s="17">
        <v>11.0396</v>
      </c>
      <c r="AP36" s="17">
        <v>5.4</v>
      </c>
      <c r="AQ36" s="85">
        <v>7.2061000000000002</v>
      </c>
    </row>
    <row r="37" spans="1:43" x14ac:dyDescent="0.2">
      <c r="A37" s="34">
        <f t="shared" si="0"/>
        <v>22.496315384615382</v>
      </c>
      <c r="B37" s="17">
        <v>82</v>
      </c>
      <c r="C37" s="17">
        <v>32</v>
      </c>
      <c r="D37" s="34">
        <v>19.0975</v>
      </c>
      <c r="E37" s="17">
        <v>19.721599999999999</v>
      </c>
      <c r="F37" s="17">
        <v>18.666599999999999</v>
      </c>
      <c r="G37" s="17">
        <v>13.7463</v>
      </c>
      <c r="H37" s="17">
        <v>29.4102</v>
      </c>
      <c r="I37" s="17">
        <v>21.062799999999999</v>
      </c>
      <c r="J37" s="17">
        <v>15.7845</v>
      </c>
      <c r="K37" s="17">
        <v>14.619899999999999</v>
      </c>
      <c r="L37" s="17">
        <v>14.7745</v>
      </c>
      <c r="M37" s="17">
        <v>12.153499999999999</v>
      </c>
      <c r="N37" s="17">
        <v>19.9434</v>
      </c>
      <c r="O37" s="17">
        <v>11.512700000000001</v>
      </c>
      <c r="P37" s="17">
        <v>9.4771000000000001</v>
      </c>
      <c r="Q37" s="17">
        <v>29.4085</v>
      </c>
      <c r="R37" s="17">
        <v>15.895799999999999</v>
      </c>
      <c r="S37" s="17">
        <v>20.281400000000001</v>
      </c>
      <c r="T37" s="17">
        <v>16.5715</v>
      </c>
      <c r="U37" s="17">
        <v>10.8012</v>
      </c>
      <c r="V37" s="17">
        <v>14.0404</v>
      </c>
      <c r="W37" s="85">
        <v>11.8269</v>
      </c>
      <c r="X37" s="34">
        <v>43.781999999999996</v>
      </c>
      <c r="Y37" s="17">
        <v>31.878599999999999</v>
      </c>
      <c r="Z37" s="17">
        <v>33.515500000000003</v>
      </c>
      <c r="AA37" s="17">
        <v>17.183499999999999</v>
      </c>
      <c r="AB37" s="17">
        <v>58.134599999999999</v>
      </c>
      <c r="AC37" s="17">
        <v>53.137599999999999</v>
      </c>
      <c r="AD37" s="17">
        <v>27.573599999999999</v>
      </c>
      <c r="AE37" s="17">
        <v>31.511600000000001</v>
      </c>
      <c r="AF37" s="17">
        <v>32.698599999999999</v>
      </c>
      <c r="AG37" s="17">
        <v>24.9114</v>
      </c>
      <c r="AH37" s="17">
        <v>35.730400000000003</v>
      </c>
      <c r="AI37" s="17">
        <v>21.355899999999998</v>
      </c>
      <c r="AJ37" s="17">
        <v>21.622499999999999</v>
      </c>
      <c r="AK37" s="17">
        <v>37.827300000000001</v>
      </c>
      <c r="AL37" s="17">
        <v>34.413200000000003</v>
      </c>
      <c r="AM37" s="17">
        <v>20.839400000000001</v>
      </c>
      <c r="AN37" s="17">
        <v>18.732500000000002</v>
      </c>
      <c r="AO37" s="17">
        <v>32.922499999999999</v>
      </c>
      <c r="AP37" s="17">
        <v>18.9148</v>
      </c>
      <c r="AQ37" s="85">
        <v>44.971499999999999</v>
      </c>
    </row>
    <row r="38" spans="1:43" x14ac:dyDescent="0.2">
      <c r="A38" s="34">
        <f t="shared" si="0"/>
        <v>37.081607692307699</v>
      </c>
      <c r="B38" s="17">
        <v>84</v>
      </c>
      <c r="C38" s="17">
        <v>33</v>
      </c>
      <c r="D38" s="34">
        <v>30.839099999999998</v>
      </c>
      <c r="E38" s="17">
        <v>97.572500000000005</v>
      </c>
      <c r="F38" s="17">
        <v>23.3307</v>
      </c>
      <c r="G38" s="17">
        <v>19.248000000000001</v>
      </c>
      <c r="H38" s="17">
        <v>116.7718</v>
      </c>
      <c r="I38" s="17">
        <v>103.9961</v>
      </c>
      <c r="J38" s="17">
        <v>37.956499999999998</v>
      </c>
      <c r="K38" s="17">
        <v>20.154599999999999</v>
      </c>
      <c r="L38" s="17">
        <v>20.74</v>
      </c>
      <c r="M38" s="17">
        <v>27.5745</v>
      </c>
      <c r="N38" s="17">
        <v>27.7182</v>
      </c>
      <c r="O38" s="17">
        <v>31.791</v>
      </c>
      <c r="P38" s="17">
        <v>19.534300000000002</v>
      </c>
      <c r="Q38" s="17">
        <v>12.435700000000001</v>
      </c>
      <c r="R38" s="17">
        <v>31.086600000000001</v>
      </c>
      <c r="S38" s="17">
        <v>15.4193</v>
      </c>
      <c r="T38" s="17">
        <v>57.957299999999996</v>
      </c>
      <c r="U38" s="17">
        <v>26.851099999999999</v>
      </c>
      <c r="V38" s="17">
        <v>23.301500000000001</v>
      </c>
      <c r="W38" s="85">
        <v>16.160599999999999</v>
      </c>
      <c r="X38" s="34">
        <v>51.899099999999997</v>
      </c>
      <c r="Y38" s="17">
        <v>41.060099999999998</v>
      </c>
      <c r="Z38" s="17">
        <v>17.723299999999998</v>
      </c>
      <c r="AA38" s="17">
        <v>21.7575</v>
      </c>
      <c r="AB38" s="17">
        <v>21.056699999999999</v>
      </c>
      <c r="AC38" s="17">
        <v>56.326999999999998</v>
      </c>
      <c r="AD38" s="17">
        <v>24.697800000000001</v>
      </c>
      <c r="AE38" s="17">
        <v>21.3583</v>
      </c>
      <c r="AF38" s="17">
        <v>45.667900000000003</v>
      </c>
      <c r="AG38" s="17">
        <v>68.289000000000001</v>
      </c>
      <c r="AH38" s="17">
        <v>28.1158</v>
      </c>
      <c r="AI38" s="17">
        <v>38.995699999999999</v>
      </c>
      <c r="AJ38" s="17">
        <v>19.072099999999999</v>
      </c>
      <c r="AK38" s="17">
        <v>32.753599999999999</v>
      </c>
      <c r="AL38" s="17">
        <v>19.750499999999999</v>
      </c>
      <c r="AM38" s="17">
        <v>20.219799999999999</v>
      </c>
      <c r="AN38" s="17">
        <v>17.148099999999999</v>
      </c>
      <c r="AO38" s="17">
        <v>24.951899999999998</v>
      </c>
      <c r="AP38" s="17">
        <v>27.572299999999998</v>
      </c>
      <c r="AQ38" s="85">
        <v>23.530999999999999</v>
      </c>
    </row>
    <row r="39" spans="1:43" x14ac:dyDescent="0.2">
      <c r="A39" s="34">
        <f t="shared" si="0"/>
        <v>24.511600000000001</v>
      </c>
      <c r="B39" s="17">
        <v>85</v>
      </c>
      <c r="C39" s="17">
        <v>34</v>
      </c>
      <c r="D39" s="34">
        <v>30.973800000000001</v>
      </c>
      <c r="E39" s="17">
        <v>20.2225</v>
      </c>
      <c r="F39" s="17">
        <v>28.1404</v>
      </c>
      <c r="G39" s="17">
        <v>14.802899999999999</v>
      </c>
      <c r="H39" s="17">
        <v>18.387</v>
      </c>
      <c r="I39" s="17">
        <v>24.012599999999999</v>
      </c>
      <c r="J39" s="17">
        <v>41.259799999999998</v>
      </c>
      <c r="K39" s="17">
        <v>21.0106</v>
      </c>
      <c r="L39" s="17">
        <v>20.568999999999999</v>
      </c>
      <c r="M39" s="17">
        <v>15.594200000000001</v>
      </c>
      <c r="N39" s="17">
        <v>20.0901</v>
      </c>
      <c r="O39" s="17">
        <v>15.6678</v>
      </c>
      <c r="P39" s="17">
        <v>16.5215</v>
      </c>
      <c r="Q39" s="17">
        <v>18.165199999999999</v>
      </c>
      <c r="R39" s="17">
        <v>13.0318</v>
      </c>
      <c r="S39" s="17">
        <v>24.687200000000001</v>
      </c>
      <c r="T39" s="17">
        <v>11.988300000000001</v>
      </c>
      <c r="U39" s="17">
        <v>27.569199999999999</v>
      </c>
      <c r="V39" s="17">
        <v>21.748100000000001</v>
      </c>
      <c r="W39" s="85">
        <v>7.9663000000000004</v>
      </c>
      <c r="X39" s="34">
        <v>49.002400000000002</v>
      </c>
      <c r="Y39" s="17">
        <v>20.832599999999999</v>
      </c>
      <c r="Z39" s="17">
        <v>39.760300000000001</v>
      </c>
      <c r="AA39" s="17">
        <v>15.7319</v>
      </c>
      <c r="AB39" s="17">
        <v>15.8329</v>
      </c>
      <c r="AC39" s="17">
        <v>75.105599999999995</v>
      </c>
      <c r="AD39" s="17">
        <v>39.601399999999998</v>
      </c>
      <c r="AE39" s="17">
        <v>23.872800000000002</v>
      </c>
      <c r="AF39" s="17">
        <v>45.950899999999997</v>
      </c>
      <c r="AG39" s="17">
        <v>37.633200000000002</v>
      </c>
      <c r="AH39" s="17">
        <v>42.5854</v>
      </c>
      <c r="AI39" s="17">
        <v>25.776800000000001</v>
      </c>
      <c r="AJ39" s="17">
        <v>25.823</v>
      </c>
      <c r="AK39" s="17">
        <v>63.667900000000003</v>
      </c>
      <c r="AL39" s="17">
        <v>16.264199999999999</v>
      </c>
      <c r="AM39" s="17">
        <v>18.656400000000001</v>
      </c>
      <c r="AN39" s="17">
        <v>17.496400000000001</v>
      </c>
      <c r="AO39" s="17">
        <v>20.111799999999999</v>
      </c>
      <c r="AP39" s="17">
        <v>35.632899999999999</v>
      </c>
      <c r="AQ39" s="85">
        <v>16.683299999999999</v>
      </c>
    </row>
    <row r="40" spans="1:43" x14ac:dyDescent="0.2">
      <c r="A40" s="34">
        <f t="shared" si="0"/>
        <v>16.700226923076926</v>
      </c>
      <c r="B40" s="17">
        <v>86</v>
      </c>
      <c r="C40" s="17">
        <v>35</v>
      </c>
      <c r="D40" s="34">
        <v>13.582700000000001</v>
      </c>
      <c r="E40" s="17">
        <v>26.421199999999999</v>
      </c>
      <c r="F40" s="17">
        <v>20.231000000000002</v>
      </c>
      <c r="G40" s="17">
        <v>15.5037</v>
      </c>
      <c r="H40" s="17">
        <v>13.4841</v>
      </c>
      <c r="I40" s="17">
        <v>13.688599999999999</v>
      </c>
      <c r="J40" s="17">
        <v>12.325100000000001</v>
      </c>
      <c r="K40" s="17">
        <v>12.390499999999999</v>
      </c>
      <c r="L40" s="17">
        <v>20.398</v>
      </c>
      <c r="M40" s="17">
        <v>9.7536000000000005</v>
      </c>
      <c r="N40" s="17">
        <v>15.6374</v>
      </c>
      <c r="O40" s="17">
        <v>16.414300000000001</v>
      </c>
      <c r="P40" s="17">
        <v>9.5886999999999993</v>
      </c>
      <c r="Q40" s="17">
        <v>11.0366</v>
      </c>
      <c r="R40" s="17">
        <v>21.375699999999998</v>
      </c>
      <c r="S40" s="17">
        <v>14.487500000000001</v>
      </c>
      <c r="T40" s="17">
        <v>13.836499999999999</v>
      </c>
      <c r="U40" s="17">
        <v>8.5348000000000006</v>
      </c>
      <c r="V40" s="17">
        <v>13.658799999999999</v>
      </c>
      <c r="W40" s="85">
        <v>9.3856000000000002</v>
      </c>
      <c r="X40" s="34">
        <v>54.955399999999997</v>
      </c>
      <c r="Y40" s="17">
        <v>20.859200000000001</v>
      </c>
      <c r="Z40" s="17">
        <v>9.9827999999999992</v>
      </c>
      <c r="AA40" s="17">
        <v>26.017800000000001</v>
      </c>
      <c r="AB40" s="17">
        <v>18.451499999999999</v>
      </c>
      <c r="AC40" s="17">
        <v>13.728199999999999</v>
      </c>
      <c r="AD40" s="17">
        <v>12.0593</v>
      </c>
      <c r="AE40" s="17">
        <v>15.3255</v>
      </c>
      <c r="AF40" s="17">
        <v>46.233899999999998</v>
      </c>
      <c r="AG40" s="17">
        <v>12.636100000000001</v>
      </c>
      <c r="AH40" s="17">
        <v>14.5212</v>
      </c>
      <c r="AI40" s="17">
        <v>18.8565</v>
      </c>
      <c r="AJ40" s="17">
        <v>19.204999999999998</v>
      </c>
      <c r="AK40" s="17">
        <v>13.983700000000001</v>
      </c>
      <c r="AL40" s="17">
        <v>17.127300000000002</v>
      </c>
      <c r="AM40" s="17">
        <v>10.179399999999999</v>
      </c>
      <c r="AN40" s="17">
        <v>19.700099999999999</v>
      </c>
      <c r="AO40" s="17">
        <v>18.704599999999999</v>
      </c>
      <c r="AP40" s="17">
        <v>19.459299999999999</v>
      </c>
      <c r="AQ40" s="85">
        <v>18.724399999999999</v>
      </c>
    </row>
    <row r="41" spans="1:43" x14ac:dyDescent="0.2">
      <c r="A41" s="34">
        <f t="shared" si="0"/>
        <v>17.911900000000003</v>
      </c>
      <c r="B41" s="17">
        <v>87</v>
      </c>
      <c r="C41" s="17">
        <v>36</v>
      </c>
      <c r="D41" s="34">
        <v>14.801</v>
      </c>
      <c r="E41" s="17">
        <v>19.610399999999998</v>
      </c>
      <c r="F41" s="17">
        <v>23.618300000000001</v>
      </c>
      <c r="G41" s="17">
        <v>10.0808</v>
      </c>
      <c r="H41" s="17">
        <v>14.331200000000001</v>
      </c>
      <c r="I41" s="17">
        <v>7.0406000000000004</v>
      </c>
      <c r="J41" s="17">
        <v>12.667899999999999</v>
      </c>
      <c r="K41" s="17">
        <v>14.1272</v>
      </c>
      <c r="L41" s="17">
        <v>26.175699999999999</v>
      </c>
      <c r="M41" s="17">
        <v>15.937799999999999</v>
      </c>
      <c r="N41" s="17">
        <v>17.0457</v>
      </c>
      <c r="O41" s="17">
        <v>23.530200000000001</v>
      </c>
      <c r="P41" s="17">
        <v>13.488</v>
      </c>
      <c r="Q41" s="17">
        <v>12.0395</v>
      </c>
      <c r="R41" s="17">
        <v>28.114599999999999</v>
      </c>
      <c r="S41" s="17">
        <v>22.599399999999999</v>
      </c>
      <c r="T41" s="17">
        <v>19.945900000000002</v>
      </c>
      <c r="U41" s="17">
        <v>23.137699999999999</v>
      </c>
      <c r="V41" s="17">
        <v>11.6005</v>
      </c>
      <c r="W41" s="85">
        <v>10.7194</v>
      </c>
      <c r="X41" s="34">
        <v>15.935600000000001</v>
      </c>
      <c r="Y41" s="17">
        <v>17.7728</v>
      </c>
      <c r="Z41" s="17">
        <v>18.9526</v>
      </c>
      <c r="AA41" s="17">
        <v>33.540799999999997</v>
      </c>
      <c r="AB41" s="17">
        <v>15.7675</v>
      </c>
      <c r="AC41" s="17">
        <v>9.7658000000000005</v>
      </c>
      <c r="AD41" s="17">
        <v>28.163499999999999</v>
      </c>
      <c r="AE41" s="17">
        <v>26.392399999999999</v>
      </c>
      <c r="AF41" s="17">
        <v>46.517000000000003</v>
      </c>
      <c r="AG41" s="17">
        <v>28.595700000000001</v>
      </c>
      <c r="AH41" s="17">
        <v>11.704499999999999</v>
      </c>
      <c r="AI41" s="17">
        <v>23.0444</v>
      </c>
      <c r="AJ41" s="17">
        <v>17.727499999999999</v>
      </c>
      <c r="AK41" s="17">
        <v>16.421900000000001</v>
      </c>
      <c r="AL41" s="17">
        <v>10.712300000000001</v>
      </c>
      <c r="AM41" s="17">
        <v>27.6861</v>
      </c>
      <c r="AN41" s="17">
        <v>27.336600000000001</v>
      </c>
      <c r="AO41" s="17">
        <v>52.380800000000001</v>
      </c>
      <c r="AP41" s="17">
        <v>27.109500000000001</v>
      </c>
      <c r="AQ41" s="85">
        <v>11.929</v>
      </c>
    </row>
    <row r="42" spans="1:43" x14ac:dyDescent="0.2">
      <c r="A42" s="34">
        <f t="shared" si="0"/>
        <v>26.738007692307693</v>
      </c>
      <c r="B42" s="17">
        <v>88</v>
      </c>
      <c r="C42" s="17">
        <v>37</v>
      </c>
      <c r="D42" s="34">
        <v>15.7837</v>
      </c>
      <c r="E42" s="17">
        <v>32.765700000000002</v>
      </c>
      <c r="F42" s="17">
        <v>16.3628</v>
      </c>
      <c r="G42" s="17">
        <v>19.5623</v>
      </c>
      <c r="H42" s="17">
        <v>20.9237</v>
      </c>
      <c r="I42" s="17">
        <v>28.0258</v>
      </c>
      <c r="J42" s="17">
        <v>26.911100000000001</v>
      </c>
      <c r="K42" s="17">
        <v>20.457799999999999</v>
      </c>
      <c r="L42" s="17">
        <v>26.9328</v>
      </c>
      <c r="M42" s="17">
        <v>27.5596</v>
      </c>
      <c r="N42" s="17">
        <v>18.354399999999998</v>
      </c>
      <c r="O42" s="17">
        <v>38.069600000000001</v>
      </c>
      <c r="P42" s="17">
        <v>14.769</v>
      </c>
      <c r="Q42" s="17">
        <v>23.976600000000001</v>
      </c>
      <c r="R42" s="17">
        <v>17.730799999999999</v>
      </c>
      <c r="S42" s="17">
        <v>14.1046</v>
      </c>
      <c r="T42" s="17">
        <v>16.217500000000001</v>
      </c>
      <c r="U42" s="17">
        <v>22.706099999999999</v>
      </c>
      <c r="V42" s="17">
        <v>18.354099999999999</v>
      </c>
      <c r="W42" s="85">
        <v>14.860200000000001</v>
      </c>
      <c r="X42" s="34">
        <v>34.834699999999998</v>
      </c>
      <c r="Y42" s="17">
        <v>52.127400000000002</v>
      </c>
      <c r="Z42" s="17">
        <v>60.131700000000002</v>
      </c>
      <c r="AA42" s="17">
        <v>21.9693</v>
      </c>
      <c r="AB42" s="17">
        <v>26.512599999999999</v>
      </c>
      <c r="AC42" s="17">
        <v>39.647599999999997</v>
      </c>
      <c r="AD42" s="17">
        <v>41.320399999999999</v>
      </c>
      <c r="AE42" s="17">
        <v>24.456800000000001</v>
      </c>
      <c r="AF42" s="17">
        <v>27.1708</v>
      </c>
      <c r="AG42" s="17">
        <v>23.649100000000001</v>
      </c>
      <c r="AH42" s="17">
        <v>53.980600000000003</v>
      </c>
      <c r="AI42" s="17">
        <v>32.028300000000002</v>
      </c>
      <c r="AJ42" s="17">
        <v>32.539900000000003</v>
      </c>
      <c r="AK42" s="17">
        <v>31.5474</v>
      </c>
      <c r="AL42" s="17">
        <v>18.5688</v>
      </c>
      <c r="AM42" s="17">
        <v>34.516599999999997</v>
      </c>
      <c r="AN42" s="17">
        <v>51.916200000000003</v>
      </c>
      <c r="AO42" s="17">
        <v>35.284199999999998</v>
      </c>
      <c r="AP42" s="17">
        <v>25.660799999999998</v>
      </c>
      <c r="AQ42" s="85">
        <v>29.252199999999998</v>
      </c>
    </row>
    <row r="43" spans="1:43" x14ac:dyDescent="0.2">
      <c r="A43" s="34">
        <f t="shared" si="0"/>
        <v>22.817961538461539</v>
      </c>
      <c r="B43" s="17">
        <v>89</v>
      </c>
      <c r="C43" s="17">
        <v>38</v>
      </c>
      <c r="D43" s="34">
        <v>32.821599999999997</v>
      </c>
      <c r="E43" s="17">
        <v>26.997299999999999</v>
      </c>
      <c r="F43" s="17">
        <v>17.695699999999999</v>
      </c>
      <c r="G43" s="17">
        <v>14.3216</v>
      </c>
      <c r="H43" s="17">
        <v>12.328900000000001</v>
      </c>
      <c r="I43" s="17">
        <v>26.375900000000001</v>
      </c>
      <c r="J43" s="17">
        <v>32.318100000000001</v>
      </c>
      <c r="K43" s="17">
        <v>31.6082</v>
      </c>
      <c r="L43" s="17">
        <v>24.7089</v>
      </c>
      <c r="M43" s="17">
        <v>12.2067</v>
      </c>
      <c r="N43" s="17">
        <v>23.447900000000001</v>
      </c>
      <c r="O43" s="17">
        <v>30.4694</v>
      </c>
      <c r="P43" s="17">
        <v>15.4854</v>
      </c>
      <c r="Q43" s="17">
        <v>20.56</v>
      </c>
      <c r="R43" s="17">
        <v>20.161300000000001</v>
      </c>
      <c r="S43" s="17">
        <v>15.473100000000001</v>
      </c>
      <c r="T43" s="17">
        <v>15.9412</v>
      </c>
      <c r="U43" s="17">
        <v>25.177199999999999</v>
      </c>
      <c r="V43" s="17">
        <v>11.192600000000001</v>
      </c>
      <c r="W43" s="85">
        <v>20.4298</v>
      </c>
      <c r="X43" s="34">
        <v>30.951799999999999</v>
      </c>
      <c r="Y43" s="17">
        <v>25.145499999999998</v>
      </c>
      <c r="Z43" s="17">
        <v>21.0806</v>
      </c>
      <c r="AA43" s="17">
        <v>14.307700000000001</v>
      </c>
      <c r="AB43" s="17">
        <v>24.2469</v>
      </c>
      <c r="AC43" s="17">
        <v>43.074199999999998</v>
      </c>
      <c r="AD43" s="17">
        <v>37.561100000000003</v>
      </c>
      <c r="AE43" s="17">
        <v>33.180700000000002</v>
      </c>
      <c r="AF43" s="17">
        <v>47.082999999999998</v>
      </c>
      <c r="AG43" s="17">
        <v>15.7881</v>
      </c>
      <c r="AH43" s="17">
        <v>26.920200000000001</v>
      </c>
      <c r="AI43" s="17">
        <v>22.976800000000001</v>
      </c>
      <c r="AJ43" s="17">
        <v>12.8963</v>
      </c>
      <c r="AK43" s="17">
        <v>26.555399999999999</v>
      </c>
      <c r="AL43" s="17">
        <v>17.5443</v>
      </c>
      <c r="AM43" s="17">
        <v>15.118</v>
      </c>
      <c r="AN43" s="17">
        <v>27.316500000000001</v>
      </c>
      <c r="AO43" s="17">
        <v>41.0077</v>
      </c>
      <c r="AP43" s="17">
        <v>10.053100000000001</v>
      </c>
      <c r="AQ43" s="85">
        <v>24.738900000000001</v>
      </c>
    </row>
    <row r="44" spans="1:43" x14ac:dyDescent="0.2">
      <c r="A44" s="34">
        <f t="shared" si="0"/>
        <v>30.685776923076926</v>
      </c>
      <c r="B44" s="17">
        <v>8</v>
      </c>
      <c r="C44" s="17">
        <v>39</v>
      </c>
      <c r="D44" s="34">
        <v>32.595199999999998</v>
      </c>
      <c r="E44" s="17">
        <v>23.0581</v>
      </c>
      <c r="F44" s="17">
        <v>22.426200000000001</v>
      </c>
      <c r="G44" s="17">
        <v>21.2163</v>
      </c>
      <c r="H44" s="17">
        <v>19.612200000000001</v>
      </c>
      <c r="I44" s="17">
        <v>24.6326</v>
      </c>
      <c r="J44" s="17">
        <v>19.145</v>
      </c>
      <c r="K44" s="17">
        <v>27.738</v>
      </c>
      <c r="L44" s="17">
        <v>20.691700000000001</v>
      </c>
      <c r="M44" s="17">
        <v>49.329500000000003</v>
      </c>
      <c r="N44" s="17">
        <v>22.541599999999999</v>
      </c>
      <c r="O44" s="17">
        <v>39.998600000000003</v>
      </c>
      <c r="P44" s="17">
        <v>31.933499999999999</v>
      </c>
      <c r="Q44" s="17">
        <v>20.7821</v>
      </c>
      <c r="R44" s="17">
        <v>12.9366</v>
      </c>
      <c r="S44" s="17">
        <v>17.9635</v>
      </c>
      <c r="T44" s="17">
        <v>30.947399999999998</v>
      </c>
      <c r="U44" s="17">
        <v>23.1158</v>
      </c>
      <c r="V44" s="17">
        <v>22.082999999999998</v>
      </c>
      <c r="W44" s="85">
        <v>18.2499</v>
      </c>
      <c r="X44" s="34">
        <v>70.524799999999999</v>
      </c>
      <c r="Y44" s="17">
        <v>25.560600000000001</v>
      </c>
      <c r="Z44" s="17">
        <v>39.708500000000001</v>
      </c>
      <c r="AA44" s="17">
        <v>35.665700000000001</v>
      </c>
      <c r="AB44" s="17">
        <v>55.523899999999998</v>
      </c>
      <c r="AC44" s="17">
        <v>49.144799999999996</v>
      </c>
      <c r="AD44" s="17">
        <v>53.3003</v>
      </c>
      <c r="AE44" s="17">
        <v>65.887799999999999</v>
      </c>
      <c r="AF44" s="17">
        <v>53.792900000000003</v>
      </c>
      <c r="AG44" s="17">
        <v>71.744699999999995</v>
      </c>
      <c r="AH44" s="17">
        <v>37.46</v>
      </c>
      <c r="AI44" s="17">
        <v>43.117100000000001</v>
      </c>
      <c r="AJ44" s="17">
        <v>33.192599999999999</v>
      </c>
      <c r="AK44" s="17">
        <v>48.323399999999999</v>
      </c>
      <c r="AL44" s="17">
        <v>40.765300000000003</v>
      </c>
      <c r="AM44" s="17">
        <v>56.193399999999997</v>
      </c>
      <c r="AN44" s="17">
        <v>36.357100000000003</v>
      </c>
      <c r="AO44" s="17">
        <v>28.105599999999999</v>
      </c>
      <c r="AP44" s="17">
        <v>43.136499999999998</v>
      </c>
      <c r="AQ44" s="85">
        <v>52.276400000000002</v>
      </c>
    </row>
    <row r="45" spans="1:43" x14ac:dyDescent="0.2">
      <c r="A45" s="34">
        <f t="shared" si="0"/>
        <v>27.680173076923079</v>
      </c>
      <c r="B45" s="17">
        <v>91</v>
      </c>
      <c r="C45" s="17">
        <v>40</v>
      </c>
      <c r="D45" s="34">
        <v>13.1797</v>
      </c>
      <c r="E45" s="17">
        <v>40.982999999999997</v>
      </c>
      <c r="F45" s="17">
        <v>26.0776</v>
      </c>
      <c r="G45" s="17">
        <v>35.488300000000002</v>
      </c>
      <c r="H45" s="17">
        <v>65.467600000000004</v>
      </c>
      <c r="I45" s="17">
        <v>22.5929</v>
      </c>
      <c r="J45" s="17">
        <v>26.145499999999998</v>
      </c>
      <c r="K45" s="17">
        <v>25.566199999999998</v>
      </c>
      <c r="L45" s="17">
        <v>32.203800000000001</v>
      </c>
      <c r="M45" s="17">
        <v>33.098500000000001</v>
      </c>
      <c r="N45" s="17">
        <v>40.586599999999997</v>
      </c>
      <c r="O45" s="17">
        <v>32.308900000000001</v>
      </c>
      <c r="P45" s="17">
        <v>9.6774000000000004</v>
      </c>
      <c r="Q45" s="17">
        <v>19.520600000000002</v>
      </c>
      <c r="R45" s="17">
        <v>12.435600000000001</v>
      </c>
      <c r="S45" s="17">
        <v>45.052700000000002</v>
      </c>
      <c r="T45" s="17">
        <v>8.9415999999999993</v>
      </c>
      <c r="U45" s="17">
        <v>24.3996</v>
      </c>
      <c r="V45" s="17">
        <v>20.7059</v>
      </c>
      <c r="W45" s="85">
        <v>20.603400000000001</v>
      </c>
      <c r="X45" s="34">
        <v>19.875</v>
      </c>
      <c r="Y45" s="17">
        <v>32.155200000000001</v>
      </c>
      <c r="Z45" s="17">
        <v>18.416699999999999</v>
      </c>
      <c r="AA45" s="17">
        <v>25.862100000000002</v>
      </c>
      <c r="AB45" s="17">
        <v>26.163499999999999</v>
      </c>
      <c r="AC45" s="17">
        <v>24.105799999999999</v>
      </c>
      <c r="AD45" s="17">
        <v>31.250499999999999</v>
      </c>
      <c r="AE45" s="17">
        <v>27.152000000000001</v>
      </c>
      <c r="AF45" s="17">
        <v>47.649099999999997</v>
      </c>
      <c r="AG45" s="17">
        <v>21.312000000000001</v>
      </c>
      <c r="AH45" s="17">
        <v>27.139299999999999</v>
      </c>
      <c r="AI45" s="17">
        <v>33.252000000000002</v>
      </c>
      <c r="AJ45" s="17">
        <v>18.473800000000001</v>
      </c>
      <c r="AK45" s="17">
        <v>35.874499999999998</v>
      </c>
      <c r="AL45" s="17">
        <v>11.922800000000001</v>
      </c>
      <c r="AM45" s="17">
        <v>23.065799999999999</v>
      </c>
      <c r="AN45" s="17">
        <v>27.0623</v>
      </c>
      <c r="AO45" s="17">
        <v>24.3338</v>
      </c>
      <c r="AP45" s="17">
        <v>29.004200000000001</v>
      </c>
      <c r="AQ45" s="85">
        <v>11.2148</v>
      </c>
    </row>
    <row r="46" spans="1:43" x14ac:dyDescent="0.2">
      <c r="A46" s="34">
        <f t="shared" si="0"/>
        <v>22.469976923076924</v>
      </c>
      <c r="B46" s="17">
        <v>93</v>
      </c>
      <c r="C46" s="17">
        <v>41</v>
      </c>
      <c r="D46" s="34">
        <v>10.2555</v>
      </c>
      <c r="E46" s="17">
        <v>28.649699999999999</v>
      </c>
      <c r="F46" s="17">
        <v>10.9358</v>
      </c>
      <c r="G46" s="17">
        <v>13.8367</v>
      </c>
      <c r="H46" s="17">
        <v>34.6877</v>
      </c>
      <c r="I46" s="17">
        <v>23.097200000000001</v>
      </c>
      <c r="J46" s="17">
        <v>27.9923</v>
      </c>
      <c r="K46" s="17">
        <v>11.603</v>
      </c>
      <c r="L46" s="17">
        <v>20.507400000000001</v>
      </c>
      <c r="M46" s="17">
        <v>18.926400000000001</v>
      </c>
      <c r="N46" s="17">
        <v>17.870999999999999</v>
      </c>
      <c r="O46" s="17">
        <v>17.917300000000001</v>
      </c>
      <c r="P46" s="17">
        <v>10.9132</v>
      </c>
      <c r="Q46" s="17">
        <v>24.200399999999998</v>
      </c>
      <c r="R46" s="17">
        <v>17.1402</v>
      </c>
      <c r="S46" s="17">
        <v>21.0854</v>
      </c>
      <c r="T46" s="17">
        <v>17.7531</v>
      </c>
      <c r="U46" s="17">
        <v>11.6897</v>
      </c>
      <c r="V46" s="17">
        <v>14.209199999999999</v>
      </c>
      <c r="W46" s="85">
        <v>12.88</v>
      </c>
      <c r="X46" s="34">
        <v>15.2279</v>
      </c>
      <c r="Y46" s="17">
        <v>28.041499999999999</v>
      </c>
      <c r="Z46" s="17">
        <v>29.767600000000002</v>
      </c>
      <c r="AA46" s="17">
        <v>31.783200000000001</v>
      </c>
      <c r="AB46" s="17">
        <v>21.136900000000001</v>
      </c>
      <c r="AC46" s="17">
        <v>74.970699999999994</v>
      </c>
      <c r="AD46" s="17">
        <v>27.395900000000001</v>
      </c>
      <c r="AE46" s="17">
        <v>20.7559</v>
      </c>
      <c r="AF46" s="17">
        <v>47.932200000000002</v>
      </c>
      <c r="AG46" s="17">
        <v>21.1037</v>
      </c>
      <c r="AH46" s="17">
        <v>37.604999999999997</v>
      </c>
      <c r="AI46" s="17">
        <v>26.418900000000001</v>
      </c>
      <c r="AJ46" s="17">
        <v>31.8904</v>
      </c>
      <c r="AK46" s="17">
        <v>25.1557</v>
      </c>
      <c r="AL46" s="17">
        <v>57.777700000000003</v>
      </c>
      <c r="AM46" s="17">
        <v>26.342199999999998</v>
      </c>
      <c r="AN46" s="17">
        <v>20.384799999999998</v>
      </c>
      <c r="AO46" s="17">
        <v>24.181699999999999</v>
      </c>
      <c r="AP46" s="17">
        <v>24.933499999999999</v>
      </c>
      <c r="AQ46" s="85">
        <v>16.716899999999999</v>
      </c>
    </row>
    <row r="47" spans="1:43" x14ac:dyDescent="0.2">
      <c r="A47" s="34">
        <f t="shared" si="0"/>
        <v>16.831626923076922</v>
      </c>
      <c r="B47" s="17">
        <v>94</v>
      </c>
      <c r="C47" s="17">
        <v>42</v>
      </c>
      <c r="D47" s="34">
        <v>21.8034</v>
      </c>
      <c r="E47" s="17">
        <v>8.3186999999999998</v>
      </c>
      <c r="F47" s="17">
        <v>17.0535</v>
      </c>
      <c r="G47" s="17">
        <v>13.1069</v>
      </c>
      <c r="H47" s="17">
        <v>21.090299999999999</v>
      </c>
      <c r="I47" s="17">
        <v>13.1676</v>
      </c>
      <c r="J47" s="17">
        <v>15.729100000000001</v>
      </c>
      <c r="K47" s="17">
        <v>24.8367</v>
      </c>
      <c r="L47" s="17">
        <v>12.6713</v>
      </c>
      <c r="M47" s="17">
        <v>15.3386</v>
      </c>
      <c r="N47" s="17">
        <v>22.1968</v>
      </c>
      <c r="O47" s="17">
        <v>29.8904</v>
      </c>
      <c r="P47" s="17">
        <v>18.032800000000002</v>
      </c>
      <c r="Q47" s="17">
        <v>20.052900000000001</v>
      </c>
      <c r="R47" s="17">
        <v>12.9041</v>
      </c>
      <c r="S47" s="17">
        <v>20.308</v>
      </c>
      <c r="T47" s="17">
        <v>12.508699999999999</v>
      </c>
      <c r="U47" s="17">
        <v>16.392099999999999</v>
      </c>
      <c r="V47" s="17">
        <v>14.119300000000001</v>
      </c>
      <c r="W47" s="85">
        <v>14.465999999999999</v>
      </c>
      <c r="X47" s="34">
        <v>7.7404000000000002</v>
      </c>
      <c r="Y47" s="17">
        <v>14.0687</v>
      </c>
      <c r="Z47" s="17">
        <v>15.309100000000001</v>
      </c>
      <c r="AA47" s="17">
        <v>22.468</v>
      </c>
      <c r="AB47" s="17">
        <v>21.491499999999998</v>
      </c>
      <c r="AC47" s="17">
        <v>14.9244</v>
      </c>
      <c r="AD47" s="17">
        <v>19.436399999999999</v>
      </c>
      <c r="AE47" s="17">
        <v>33.739800000000002</v>
      </c>
      <c r="AF47" s="17">
        <v>30.684200000000001</v>
      </c>
      <c r="AG47" s="17">
        <v>22.7773</v>
      </c>
      <c r="AH47" s="17">
        <v>25.180499999999999</v>
      </c>
      <c r="AI47" s="17">
        <v>17.0611</v>
      </c>
      <c r="AJ47" s="17">
        <v>21.1004</v>
      </c>
      <c r="AK47" s="17">
        <v>19.663900000000002</v>
      </c>
      <c r="AL47" s="17">
        <v>11.99</v>
      </c>
      <c r="AM47" s="17">
        <v>14.6592</v>
      </c>
      <c r="AN47" s="17">
        <v>27.0442</v>
      </c>
      <c r="AO47" s="17">
        <v>30.7804</v>
      </c>
      <c r="AP47" s="17">
        <v>17.84</v>
      </c>
      <c r="AQ47" s="85">
        <v>15.98</v>
      </c>
    </row>
    <row r="48" spans="1:43" x14ac:dyDescent="0.2">
      <c r="A48" s="34">
        <f t="shared" si="0"/>
        <v>36.999711538461547</v>
      </c>
      <c r="B48" s="17">
        <v>95</v>
      </c>
      <c r="C48" s="17">
        <v>43</v>
      </c>
      <c r="D48" s="34">
        <v>21.955400000000001</v>
      </c>
      <c r="E48" s="17">
        <v>21.620799999999999</v>
      </c>
      <c r="F48" s="17">
        <v>22.7897</v>
      </c>
      <c r="G48" s="17">
        <v>13.376799999999999</v>
      </c>
      <c r="H48" s="17">
        <v>20.368400000000001</v>
      </c>
      <c r="I48" s="17">
        <v>16.9255</v>
      </c>
      <c r="J48" s="17">
        <v>13.717599999999999</v>
      </c>
      <c r="K48" s="17">
        <v>31.883099999999999</v>
      </c>
      <c r="L48" s="17">
        <v>19.030200000000001</v>
      </c>
      <c r="M48" s="17">
        <v>15.345000000000001</v>
      </c>
      <c r="N48" s="17">
        <v>18.972999999999999</v>
      </c>
      <c r="O48" s="17">
        <v>29.750699999999998</v>
      </c>
      <c r="P48" s="17">
        <v>16.105699999999999</v>
      </c>
      <c r="Q48" s="17">
        <v>20.8706</v>
      </c>
      <c r="R48" s="17">
        <v>9.5518000000000001</v>
      </c>
      <c r="S48" s="17">
        <v>39.495699999999999</v>
      </c>
      <c r="T48" s="17">
        <v>14.3652</v>
      </c>
      <c r="U48" s="17">
        <v>21.017700000000001</v>
      </c>
      <c r="V48" s="17">
        <v>21.283899999999999</v>
      </c>
      <c r="W48" s="85">
        <v>16.3794</v>
      </c>
      <c r="X48" s="34">
        <v>30.864100000000001</v>
      </c>
      <c r="Y48" s="17">
        <v>61.867899999999999</v>
      </c>
      <c r="Z48" s="17">
        <v>113.0273</v>
      </c>
      <c r="AA48" s="17">
        <v>10.520200000000001</v>
      </c>
      <c r="AB48" s="17">
        <v>83.684700000000007</v>
      </c>
      <c r="AC48" s="17">
        <v>169.32939999999999</v>
      </c>
      <c r="AD48" s="17">
        <v>109.8481</v>
      </c>
      <c r="AE48" s="17">
        <v>93.350999999999999</v>
      </c>
      <c r="AF48" s="17">
        <v>84.7209</v>
      </c>
      <c r="AG48" s="17">
        <v>19.700700000000001</v>
      </c>
      <c r="AH48" s="17">
        <v>15.131399999999999</v>
      </c>
      <c r="AI48" s="17">
        <v>53.336100000000002</v>
      </c>
      <c r="AJ48" s="17">
        <v>26.582999999999998</v>
      </c>
      <c r="AK48" s="17">
        <v>32.811500000000002</v>
      </c>
      <c r="AL48" s="17">
        <v>16.6218</v>
      </c>
      <c r="AM48" s="17">
        <v>34.2624</v>
      </c>
      <c r="AN48" s="17">
        <v>33.328200000000002</v>
      </c>
      <c r="AO48" s="17">
        <v>138.80330000000001</v>
      </c>
      <c r="AP48" s="17">
        <v>23.4483</v>
      </c>
      <c r="AQ48" s="85">
        <v>65.348100000000002</v>
      </c>
    </row>
    <row r="49" spans="1:43" x14ac:dyDescent="0.2">
      <c r="A49" s="34">
        <f t="shared" si="0"/>
        <v>24.015846153846155</v>
      </c>
      <c r="B49" s="17">
        <v>96</v>
      </c>
      <c r="C49" s="17">
        <v>44</v>
      </c>
      <c r="D49" s="34">
        <v>22.107399999999998</v>
      </c>
      <c r="E49" s="17">
        <v>26.882999999999999</v>
      </c>
      <c r="F49" s="17">
        <v>17.103000000000002</v>
      </c>
      <c r="G49" s="17">
        <v>19.516400000000001</v>
      </c>
      <c r="H49" s="17">
        <v>7.3792</v>
      </c>
      <c r="I49" s="17">
        <v>23.003599999999999</v>
      </c>
      <c r="J49" s="17">
        <v>32.600900000000003</v>
      </c>
      <c r="K49" s="17">
        <v>44.325499999999998</v>
      </c>
      <c r="L49" s="17">
        <v>13.6448</v>
      </c>
      <c r="M49" s="17">
        <v>24.305399999999999</v>
      </c>
      <c r="N49" s="17">
        <v>19.134399999999999</v>
      </c>
      <c r="O49" s="17">
        <v>8.1432000000000002</v>
      </c>
      <c r="P49" s="17">
        <v>14.8262</v>
      </c>
      <c r="Q49" s="17">
        <v>13.1934</v>
      </c>
      <c r="R49" s="17">
        <v>14.044600000000001</v>
      </c>
      <c r="S49" s="17">
        <v>22.772600000000001</v>
      </c>
      <c r="T49" s="17">
        <v>13.5213</v>
      </c>
      <c r="U49" s="17">
        <v>10.7189</v>
      </c>
      <c r="V49" s="17">
        <v>19.2729</v>
      </c>
      <c r="W49" s="85">
        <v>13.376099999999999</v>
      </c>
      <c r="X49" s="34">
        <v>30.846599999999999</v>
      </c>
      <c r="Y49" s="17">
        <v>22.9481</v>
      </c>
      <c r="Z49" s="17">
        <v>70.701099999999997</v>
      </c>
      <c r="AA49" s="17">
        <v>32.675699999999999</v>
      </c>
      <c r="AB49" s="17">
        <v>21.2803</v>
      </c>
      <c r="AC49" s="17">
        <v>52.078800000000001</v>
      </c>
      <c r="AD49" s="17">
        <v>36.116</v>
      </c>
      <c r="AE49" s="17">
        <v>31.7958</v>
      </c>
      <c r="AF49" s="17">
        <v>90.9649</v>
      </c>
      <c r="AG49" s="17">
        <v>38.618899999999996</v>
      </c>
      <c r="AH49" s="17">
        <v>25.604900000000001</v>
      </c>
      <c r="AI49" s="17">
        <v>39.4041</v>
      </c>
      <c r="AJ49" s="17">
        <v>24.737100000000002</v>
      </c>
      <c r="AK49" s="17">
        <v>50.0807</v>
      </c>
      <c r="AL49" s="17">
        <v>31.107700000000001</v>
      </c>
      <c r="AM49" s="17">
        <v>28.209</v>
      </c>
      <c r="AN49" s="17">
        <v>38.812600000000003</v>
      </c>
      <c r="AO49" s="17">
        <v>40.773099999999999</v>
      </c>
      <c r="AP49" s="17">
        <v>42.4285</v>
      </c>
      <c r="AQ49" s="85">
        <v>19.340299999999999</v>
      </c>
    </row>
    <row r="50" spans="1:43" x14ac:dyDescent="0.2">
      <c r="A50" s="86">
        <f t="shared" si="0"/>
        <v>21.495446153846153</v>
      </c>
      <c r="B50" s="87">
        <v>9</v>
      </c>
      <c r="C50" s="87">
        <v>45</v>
      </c>
      <c r="D50" s="86">
        <v>22.259499999999999</v>
      </c>
      <c r="E50" s="87">
        <v>19.912199999999999</v>
      </c>
      <c r="F50" s="87">
        <v>11.8284</v>
      </c>
      <c r="G50" s="87">
        <v>18.086300000000001</v>
      </c>
      <c r="H50" s="87">
        <v>11.0374</v>
      </c>
      <c r="I50" s="87">
        <v>19.6496</v>
      </c>
      <c r="J50" s="87">
        <v>50.919600000000003</v>
      </c>
      <c r="K50" s="87">
        <v>20.937999999999999</v>
      </c>
      <c r="L50" s="87">
        <v>12.011799999999999</v>
      </c>
      <c r="M50" s="87">
        <v>20.2973</v>
      </c>
      <c r="N50" s="87">
        <v>12.280799999999999</v>
      </c>
      <c r="O50" s="87">
        <v>10.090400000000001</v>
      </c>
      <c r="P50" s="87">
        <v>20.721599999999999</v>
      </c>
      <c r="Q50" s="87">
        <v>19.127099999999999</v>
      </c>
      <c r="R50" s="87">
        <v>8.7946000000000009</v>
      </c>
      <c r="S50" s="87">
        <v>18.790800000000001</v>
      </c>
      <c r="T50" s="87">
        <v>16.491499999999998</v>
      </c>
      <c r="U50" s="87">
        <v>13.6623</v>
      </c>
      <c r="V50" s="87">
        <v>16.895900000000001</v>
      </c>
      <c r="W50" s="88">
        <v>9.8486999999999991</v>
      </c>
      <c r="X50" s="86">
        <v>30.829000000000001</v>
      </c>
      <c r="Y50" s="87">
        <v>34.954500000000003</v>
      </c>
      <c r="Z50" s="87">
        <v>26.031600000000001</v>
      </c>
      <c r="AA50" s="87">
        <v>31.3873</v>
      </c>
      <c r="AB50" s="87">
        <v>25.933700000000002</v>
      </c>
      <c r="AC50" s="87">
        <v>42.497700000000002</v>
      </c>
      <c r="AD50" s="87">
        <v>35.863500000000002</v>
      </c>
      <c r="AE50" s="87">
        <v>19.659300000000002</v>
      </c>
      <c r="AF50" s="87">
        <v>18.438800000000001</v>
      </c>
      <c r="AG50" s="87">
        <v>26.055399999999999</v>
      </c>
      <c r="AH50" s="87">
        <v>18.519300000000001</v>
      </c>
      <c r="AI50" s="87">
        <v>29.583100000000002</v>
      </c>
      <c r="AJ50" s="87">
        <v>19.8354</v>
      </c>
      <c r="AK50" s="87">
        <v>15.0549</v>
      </c>
      <c r="AL50" s="87">
        <v>11.1227</v>
      </c>
      <c r="AM50" s="87">
        <v>29.315100000000001</v>
      </c>
      <c r="AN50" s="87">
        <v>27.532900000000001</v>
      </c>
      <c r="AO50" s="87">
        <v>14.2188</v>
      </c>
      <c r="AP50" s="87">
        <v>21.818999999999999</v>
      </c>
      <c r="AQ50" s="88">
        <v>17.747</v>
      </c>
    </row>
    <row r="52" spans="1:43" ht="15.75" x14ac:dyDescent="0.2">
      <c r="A52" s="342" t="s">
        <v>135</v>
      </c>
      <c r="B52" s="343"/>
      <c r="C52" s="343"/>
      <c r="D52" s="344" t="s">
        <v>137</v>
      </c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5"/>
      <c r="X52" s="344" t="s">
        <v>138</v>
      </c>
      <c r="Y52" s="344"/>
      <c r="Z52" s="344"/>
      <c r="AA52" s="344"/>
      <c r="AB52" s="344"/>
      <c r="AC52" s="344"/>
      <c r="AD52" s="344"/>
      <c r="AE52" s="344"/>
      <c r="AF52" s="344"/>
      <c r="AG52" s="344"/>
      <c r="AH52" s="344"/>
      <c r="AI52" s="344"/>
      <c r="AJ52" s="344"/>
      <c r="AK52" s="344"/>
      <c r="AL52" s="344"/>
      <c r="AM52" s="344"/>
      <c r="AN52" s="344"/>
      <c r="AO52" s="344"/>
      <c r="AP52" s="344"/>
      <c r="AQ52" s="345"/>
    </row>
    <row r="53" spans="1:43" ht="15.75" x14ac:dyDescent="0.2">
      <c r="A53" s="89" t="s">
        <v>97</v>
      </c>
      <c r="B53" s="92"/>
      <c r="C53" s="9" t="s">
        <v>46</v>
      </c>
      <c r="D53" s="10">
        <v>2</v>
      </c>
      <c r="E53" s="10">
        <v>11</v>
      </c>
      <c r="F53" s="10">
        <v>12</v>
      </c>
      <c r="G53" s="10">
        <v>18</v>
      </c>
      <c r="H53" s="10">
        <v>15</v>
      </c>
      <c r="I53" s="10">
        <v>3</v>
      </c>
      <c r="J53" s="10">
        <v>20</v>
      </c>
      <c r="K53" s="10">
        <v>19</v>
      </c>
      <c r="L53" s="10">
        <v>7</v>
      </c>
      <c r="M53" s="10">
        <v>8</v>
      </c>
      <c r="N53" s="10">
        <v>1</v>
      </c>
      <c r="O53" s="10">
        <v>16</v>
      </c>
      <c r="P53" s="10">
        <v>9</v>
      </c>
      <c r="Q53" s="10">
        <v>4</v>
      </c>
      <c r="R53" s="10">
        <v>5</v>
      </c>
      <c r="S53" s="10">
        <v>13</v>
      </c>
      <c r="T53" s="10">
        <v>17</v>
      </c>
      <c r="U53" s="10">
        <v>14</v>
      </c>
      <c r="V53" s="10">
        <v>10</v>
      </c>
      <c r="W53" s="10">
        <v>6</v>
      </c>
      <c r="X53" s="33">
        <v>2</v>
      </c>
      <c r="Y53" s="10">
        <v>11</v>
      </c>
      <c r="Z53" s="10">
        <v>12</v>
      </c>
      <c r="AA53" s="10">
        <v>18</v>
      </c>
      <c r="AB53" s="10">
        <v>15</v>
      </c>
      <c r="AC53" s="10">
        <v>3</v>
      </c>
      <c r="AD53" s="10">
        <v>20</v>
      </c>
      <c r="AE53" s="10">
        <v>19</v>
      </c>
      <c r="AF53" s="10">
        <v>7</v>
      </c>
      <c r="AG53" s="10">
        <v>8</v>
      </c>
      <c r="AH53" s="10">
        <v>1</v>
      </c>
      <c r="AI53" s="10">
        <v>16</v>
      </c>
      <c r="AJ53" s="10">
        <v>9</v>
      </c>
      <c r="AK53" s="10">
        <v>4</v>
      </c>
      <c r="AL53" s="10">
        <v>5</v>
      </c>
      <c r="AM53" s="10">
        <v>13</v>
      </c>
      <c r="AN53" s="10">
        <v>17</v>
      </c>
      <c r="AO53" s="10">
        <v>14</v>
      </c>
      <c r="AP53" s="10">
        <v>10</v>
      </c>
      <c r="AQ53" s="90">
        <v>6</v>
      </c>
    </row>
    <row r="54" spans="1:43" ht="15.75" x14ac:dyDescent="0.2">
      <c r="A54" s="89"/>
      <c r="B54" s="92"/>
      <c r="C54" s="9" t="s">
        <v>47</v>
      </c>
      <c r="D54" s="10">
        <v>1</v>
      </c>
      <c r="E54" s="11">
        <v>2</v>
      </c>
      <c r="F54" s="11">
        <v>3</v>
      </c>
      <c r="G54" s="12">
        <v>4</v>
      </c>
      <c r="H54" s="13">
        <v>5</v>
      </c>
      <c r="I54" s="14">
        <v>6</v>
      </c>
      <c r="J54" s="10">
        <v>7</v>
      </c>
      <c r="K54" s="12">
        <v>8</v>
      </c>
      <c r="L54" s="15">
        <v>9</v>
      </c>
      <c r="M54" s="15">
        <v>10</v>
      </c>
      <c r="N54" s="16">
        <v>11</v>
      </c>
      <c r="O54" s="13">
        <v>12</v>
      </c>
      <c r="P54" s="15">
        <v>13</v>
      </c>
      <c r="Q54" s="14">
        <v>14</v>
      </c>
      <c r="R54" s="14">
        <v>15</v>
      </c>
      <c r="S54" s="11">
        <v>16</v>
      </c>
      <c r="T54" s="13">
        <v>17</v>
      </c>
      <c r="U54" s="11">
        <v>18</v>
      </c>
      <c r="V54" s="15">
        <v>19</v>
      </c>
      <c r="W54" s="14">
        <v>20</v>
      </c>
      <c r="X54" s="33">
        <v>1</v>
      </c>
      <c r="Y54" s="11">
        <v>2</v>
      </c>
      <c r="Z54" s="11">
        <v>3</v>
      </c>
      <c r="AA54" s="12">
        <v>4</v>
      </c>
      <c r="AB54" s="13">
        <v>5</v>
      </c>
      <c r="AC54" s="14">
        <v>6</v>
      </c>
      <c r="AD54" s="10">
        <v>7</v>
      </c>
      <c r="AE54" s="12">
        <v>8</v>
      </c>
      <c r="AF54" s="15">
        <v>9</v>
      </c>
      <c r="AG54" s="15">
        <v>10</v>
      </c>
      <c r="AH54" s="16">
        <v>11</v>
      </c>
      <c r="AI54" s="13">
        <v>12</v>
      </c>
      <c r="AJ54" s="15">
        <v>13</v>
      </c>
      <c r="AK54" s="14">
        <v>14</v>
      </c>
      <c r="AL54" s="14">
        <v>15</v>
      </c>
      <c r="AM54" s="11">
        <v>16</v>
      </c>
      <c r="AN54" s="13">
        <v>17</v>
      </c>
      <c r="AO54" s="11">
        <v>18</v>
      </c>
      <c r="AP54" s="15">
        <v>19</v>
      </c>
      <c r="AQ54" s="91">
        <v>20</v>
      </c>
    </row>
    <row r="55" spans="1:43" ht="15.75" x14ac:dyDescent="0.2">
      <c r="A55" s="89"/>
      <c r="B55" s="92"/>
      <c r="C55" s="9"/>
      <c r="D55" s="10" t="s">
        <v>0</v>
      </c>
      <c r="E55" s="11" t="s">
        <v>2</v>
      </c>
      <c r="F55" s="11" t="s">
        <v>4</v>
      </c>
      <c r="G55" s="12" t="s">
        <v>6</v>
      </c>
      <c r="H55" s="13" t="s">
        <v>8</v>
      </c>
      <c r="I55" s="14" t="s">
        <v>10</v>
      </c>
      <c r="J55" s="10" t="s">
        <v>12</v>
      </c>
      <c r="K55" s="12" t="s">
        <v>14</v>
      </c>
      <c r="L55" s="15" t="s">
        <v>16</v>
      </c>
      <c r="M55" s="15" t="s">
        <v>18</v>
      </c>
      <c r="N55" s="16" t="s">
        <v>20</v>
      </c>
      <c r="O55" s="13" t="s">
        <v>22</v>
      </c>
      <c r="P55" s="15" t="s">
        <v>24</v>
      </c>
      <c r="Q55" s="14" t="s">
        <v>26</v>
      </c>
      <c r="R55" s="14" t="s">
        <v>28</v>
      </c>
      <c r="S55" s="11" t="s">
        <v>30</v>
      </c>
      <c r="T55" s="13" t="s">
        <v>32</v>
      </c>
      <c r="U55" s="11" t="s">
        <v>34</v>
      </c>
      <c r="V55" s="15" t="s">
        <v>36</v>
      </c>
      <c r="W55" s="14" t="s">
        <v>38</v>
      </c>
      <c r="X55" s="33" t="s">
        <v>0</v>
      </c>
      <c r="Y55" s="11" t="s">
        <v>2</v>
      </c>
      <c r="Z55" s="11" t="s">
        <v>4</v>
      </c>
      <c r="AA55" s="12" t="s">
        <v>6</v>
      </c>
      <c r="AB55" s="13" t="s">
        <v>8</v>
      </c>
      <c r="AC55" s="14" t="s">
        <v>10</v>
      </c>
      <c r="AD55" s="10" t="s">
        <v>12</v>
      </c>
      <c r="AE55" s="12" t="s">
        <v>14</v>
      </c>
      <c r="AF55" s="15" t="s">
        <v>16</v>
      </c>
      <c r="AG55" s="15" t="s">
        <v>18</v>
      </c>
      <c r="AH55" s="16" t="s">
        <v>20</v>
      </c>
      <c r="AI55" s="13" t="s">
        <v>22</v>
      </c>
      <c r="AJ55" s="15" t="s">
        <v>24</v>
      </c>
      <c r="AK55" s="14" t="s">
        <v>26</v>
      </c>
      <c r="AL55" s="14" t="s">
        <v>28</v>
      </c>
      <c r="AM55" s="11" t="s">
        <v>30</v>
      </c>
      <c r="AN55" s="13" t="s">
        <v>32</v>
      </c>
      <c r="AO55" s="11" t="s">
        <v>34</v>
      </c>
      <c r="AP55" s="15" t="s">
        <v>36</v>
      </c>
      <c r="AQ55" s="91" t="s">
        <v>38</v>
      </c>
    </row>
    <row r="56" spans="1:43" ht="22.5" x14ac:dyDescent="0.2">
      <c r="A56" s="89" t="s">
        <v>94</v>
      </c>
      <c r="B56" s="9" t="s">
        <v>58</v>
      </c>
      <c r="C56" s="17" t="s">
        <v>45</v>
      </c>
      <c r="D56" s="10" t="s">
        <v>1</v>
      </c>
      <c r="E56" s="11" t="s">
        <v>3</v>
      </c>
      <c r="F56" s="11" t="s">
        <v>5</v>
      </c>
      <c r="G56" s="12" t="s">
        <v>7</v>
      </c>
      <c r="H56" s="13" t="s">
        <v>9</v>
      </c>
      <c r="I56" s="14" t="s">
        <v>11</v>
      </c>
      <c r="J56" s="10" t="s">
        <v>13</v>
      </c>
      <c r="K56" s="12" t="s">
        <v>15</v>
      </c>
      <c r="L56" s="15" t="s">
        <v>17</v>
      </c>
      <c r="M56" s="15" t="s">
        <v>19</v>
      </c>
      <c r="N56" s="16" t="s">
        <v>21</v>
      </c>
      <c r="O56" s="13" t="s">
        <v>23</v>
      </c>
      <c r="P56" s="15" t="s">
        <v>25</v>
      </c>
      <c r="Q56" s="14" t="s">
        <v>27</v>
      </c>
      <c r="R56" s="14" t="s">
        <v>29</v>
      </c>
      <c r="S56" s="11" t="s">
        <v>31</v>
      </c>
      <c r="T56" s="13" t="s">
        <v>33</v>
      </c>
      <c r="U56" s="11" t="s">
        <v>35</v>
      </c>
      <c r="V56" s="15" t="s">
        <v>37</v>
      </c>
      <c r="W56" s="14" t="s">
        <v>39</v>
      </c>
      <c r="X56" s="33" t="s">
        <v>1</v>
      </c>
      <c r="Y56" s="11" t="s">
        <v>3</v>
      </c>
      <c r="Z56" s="11" t="s">
        <v>5</v>
      </c>
      <c r="AA56" s="12" t="s">
        <v>7</v>
      </c>
      <c r="AB56" s="13" t="s">
        <v>9</v>
      </c>
      <c r="AC56" s="14" t="s">
        <v>11</v>
      </c>
      <c r="AD56" s="10" t="s">
        <v>13</v>
      </c>
      <c r="AE56" s="12" t="s">
        <v>15</v>
      </c>
      <c r="AF56" s="15" t="s">
        <v>17</v>
      </c>
      <c r="AG56" s="15" t="s">
        <v>19</v>
      </c>
      <c r="AH56" s="16" t="s">
        <v>21</v>
      </c>
      <c r="AI56" s="13" t="s">
        <v>23</v>
      </c>
      <c r="AJ56" s="15" t="s">
        <v>25</v>
      </c>
      <c r="AK56" s="14" t="s">
        <v>27</v>
      </c>
      <c r="AL56" s="14" t="s">
        <v>29</v>
      </c>
      <c r="AM56" s="11" t="s">
        <v>31</v>
      </c>
      <c r="AN56" s="13" t="s">
        <v>33</v>
      </c>
      <c r="AO56" s="11" t="s">
        <v>35</v>
      </c>
      <c r="AP56" s="15" t="s">
        <v>37</v>
      </c>
      <c r="AQ56" s="91" t="s">
        <v>39</v>
      </c>
    </row>
    <row r="57" spans="1:43" x14ac:dyDescent="0.2">
      <c r="A57" s="34">
        <f>AVERAGE(E57:AD57)</f>
        <v>38.159607692307695</v>
      </c>
      <c r="B57" s="17">
        <v>100</v>
      </c>
      <c r="C57" s="17">
        <v>1</v>
      </c>
      <c r="D57" s="82">
        <v>42.300800000000002</v>
      </c>
      <c r="E57" s="83">
        <v>43.607300000000002</v>
      </c>
      <c r="F57" s="83">
        <v>42.825699999999998</v>
      </c>
      <c r="G57" s="83">
        <v>35.613</v>
      </c>
      <c r="H57" s="83">
        <v>46.686799999999998</v>
      </c>
      <c r="I57" s="83">
        <v>47.003100000000003</v>
      </c>
      <c r="J57" s="83">
        <v>43.295099999999998</v>
      </c>
      <c r="K57" s="83">
        <v>45.627200000000002</v>
      </c>
      <c r="L57" s="83">
        <v>45.141800000000003</v>
      </c>
      <c r="M57" s="83">
        <v>38.031599999999997</v>
      </c>
      <c r="N57" s="83">
        <v>80.159400000000005</v>
      </c>
      <c r="O57" s="83">
        <v>39.777900000000002</v>
      </c>
      <c r="P57" s="83">
        <v>36.116100000000003</v>
      </c>
      <c r="Q57" s="83">
        <v>37.3065</v>
      </c>
      <c r="R57" s="83">
        <v>44.032499999999999</v>
      </c>
      <c r="S57" s="83">
        <v>37.736600000000003</v>
      </c>
      <c r="T57" s="83">
        <v>24.719000000000001</v>
      </c>
      <c r="U57" s="83">
        <v>32.985500000000002</v>
      </c>
      <c r="V57" s="83">
        <v>56.5625</v>
      </c>
      <c r="W57" s="83">
        <v>24.456399999999999</v>
      </c>
      <c r="X57" s="82">
        <v>29.804400000000001</v>
      </c>
      <c r="Y57" s="83">
        <v>18.1204</v>
      </c>
      <c r="Z57" s="83">
        <v>31.234200000000001</v>
      </c>
      <c r="AA57" s="83">
        <v>25.174299999999999</v>
      </c>
      <c r="AB57" s="83">
        <v>26.0746</v>
      </c>
      <c r="AC57" s="83">
        <v>28.2303</v>
      </c>
      <c r="AD57" s="83">
        <v>31.8276</v>
      </c>
      <c r="AE57" s="83">
        <v>27.903500000000001</v>
      </c>
      <c r="AF57" s="83">
        <v>33.030200000000001</v>
      </c>
      <c r="AG57" s="83">
        <v>32.417099999999998</v>
      </c>
      <c r="AH57" s="83">
        <v>52.025599999999997</v>
      </c>
      <c r="AI57" s="83">
        <v>33.511000000000003</v>
      </c>
      <c r="AJ57" s="83">
        <v>24.502400000000002</v>
      </c>
      <c r="AK57" s="83">
        <v>26.774699999999999</v>
      </c>
      <c r="AL57" s="83">
        <v>30.108599999999999</v>
      </c>
      <c r="AM57" s="83">
        <v>40.567799999999998</v>
      </c>
      <c r="AN57" s="83">
        <v>27.094899999999999</v>
      </c>
      <c r="AO57" s="83">
        <v>20.113299999999999</v>
      </c>
      <c r="AP57" s="83">
        <v>35.982100000000003</v>
      </c>
      <c r="AQ57" s="84">
        <v>32.406399999999998</v>
      </c>
    </row>
    <row r="58" spans="1:43" x14ac:dyDescent="0.2">
      <c r="A58" s="34">
        <f t="shared" ref="A58:A95" si="1">AVERAGE(E58:AD58)</f>
        <v>29.523849999999996</v>
      </c>
      <c r="B58" s="17">
        <v>103</v>
      </c>
      <c r="C58" s="17">
        <v>2</v>
      </c>
      <c r="D58" s="34">
        <v>42.074599999999997</v>
      </c>
      <c r="E58" s="17">
        <v>27.103100000000001</v>
      </c>
      <c r="F58" s="17">
        <v>33.143099999999997</v>
      </c>
      <c r="G58" s="17">
        <v>35.423099999999998</v>
      </c>
      <c r="H58" s="17">
        <v>30.301200000000001</v>
      </c>
      <c r="I58" s="17">
        <v>47.004600000000003</v>
      </c>
      <c r="J58" s="17">
        <v>30.5825</v>
      </c>
      <c r="K58" s="17">
        <v>33.166600000000003</v>
      </c>
      <c r="L58" s="17">
        <v>36.086500000000001</v>
      </c>
      <c r="M58" s="17">
        <v>41.960599999999999</v>
      </c>
      <c r="N58" s="17">
        <v>45.2241</v>
      </c>
      <c r="O58" s="17">
        <v>32.536200000000001</v>
      </c>
      <c r="P58" s="17">
        <v>31.493300000000001</v>
      </c>
      <c r="Q58" s="17">
        <v>35.417700000000004</v>
      </c>
      <c r="R58" s="17">
        <v>34.505800000000001</v>
      </c>
      <c r="S58" s="17">
        <v>38.479500000000002</v>
      </c>
      <c r="T58" s="17">
        <v>29.580200000000001</v>
      </c>
      <c r="U58" s="17">
        <v>31.985199999999999</v>
      </c>
      <c r="V58" s="17">
        <v>36.913600000000002</v>
      </c>
      <c r="W58" s="17">
        <v>25.071100000000001</v>
      </c>
      <c r="X58" s="34">
        <v>11.3642</v>
      </c>
      <c r="Y58" s="17">
        <v>11.8416</v>
      </c>
      <c r="Z58" s="17">
        <v>9.3655000000000008</v>
      </c>
      <c r="AA58" s="17">
        <v>14.3919</v>
      </c>
      <c r="AB58" s="17">
        <v>18.658899999999999</v>
      </c>
      <c r="AC58" s="17">
        <v>31.239899999999999</v>
      </c>
      <c r="AD58" s="17">
        <v>14.780099999999999</v>
      </c>
      <c r="AE58" s="17">
        <v>10.231199999999999</v>
      </c>
      <c r="AF58" s="17">
        <v>20.353999999999999</v>
      </c>
      <c r="AG58" s="17">
        <v>19.8231</v>
      </c>
      <c r="AH58" s="17">
        <v>23.1083</v>
      </c>
      <c r="AI58" s="17">
        <v>8.0313999999999997</v>
      </c>
      <c r="AJ58" s="17">
        <v>12.8362</v>
      </c>
      <c r="AK58" s="17">
        <v>14.3782</v>
      </c>
      <c r="AL58" s="17">
        <v>11.836499999999999</v>
      </c>
      <c r="AM58" s="17">
        <v>7.7019000000000002</v>
      </c>
      <c r="AN58" s="17">
        <v>17.321000000000002</v>
      </c>
      <c r="AO58" s="17">
        <v>8.3244000000000007</v>
      </c>
      <c r="AP58" s="17">
        <v>22.707699999999999</v>
      </c>
      <c r="AQ58" s="85">
        <v>9.0105000000000004</v>
      </c>
    </row>
    <row r="59" spans="1:43" x14ac:dyDescent="0.2">
      <c r="A59" s="34">
        <f t="shared" si="1"/>
        <v>51.487557692307696</v>
      </c>
      <c r="B59" s="17">
        <v>105</v>
      </c>
      <c r="C59" s="17">
        <v>3</v>
      </c>
      <c r="D59" s="34">
        <v>93.979900000000001</v>
      </c>
      <c r="E59" s="17">
        <v>28.7712</v>
      </c>
      <c r="F59" s="17">
        <v>36.702199999999998</v>
      </c>
      <c r="G59" s="17">
        <v>50.270699999999998</v>
      </c>
      <c r="H59" s="17">
        <v>58.6571</v>
      </c>
      <c r="I59" s="17">
        <v>47.0062</v>
      </c>
      <c r="J59" s="17">
        <v>54.9559</v>
      </c>
      <c r="K59" s="17">
        <v>39.773499999999999</v>
      </c>
      <c r="L59" s="17">
        <v>51.540900000000001</v>
      </c>
      <c r="M59" s="17">
        <v>59.158099999999997</v>
      </c>
      <c r="N59" s="17">
        <v>73.389399999999995</v>
      </c>
      <c r="O59" s="17">
        <v>46.6813</v>
      </c>
      <c r="P59" s="17">
        <v>64.479100000000003</v>
      </c>
      <c r="Q59" s="17">
        <v>103.3762</v>
      </c>
      <c r="R59" s="17">
        <v>36.646900000000002</v>
      </c>
      <c r="S59" s="17">
        <v>63.944800000000001</v>
      </c>
      <c r="T59" s="17">
        <v>74.110100000000003</v>
      </c>
      <c r="U59" s="17">
        <v>71.569400000000002</v>
      </c>
      <c r="V59" s="17">
        <v>98.020700000000005</v>
      </c>
      <c r="W59" s="17">
        <v>45.267000000000003</v>
      </c>
      <c r="X59" s="34">
        <v>40.630400000000002</v>
      </c>
      <c r="Y59" s="17">
        <v>23.9937</v>
      </c>
      <c r="Z59" s="17">
        <v>36.018799999999999</v>
      </c>
      <c r="AA59" s="17">
        <v>48.2117</v>
      </c>
      <c r="AB59" s="17">
        <v>29.0593</v>
      </c>
      <c r="AC59" s="17">
        <v>20.434799999999999</v>
      </c>
      <c r="AD59" s="17">
        <v>36.007100000000001</v>
      </c>
      <c r="AE59" s="17">
        <v>24.917999999999999</v>
      </c>
      <c r="AF59" s="17">
        <v>14.346399999999999</v>
      </c>
      <c r="AG59" s="17">
        <v>42.535600000000002</v>
      </c>
      <c r="AH59" s="17">
        <v>29.883099999999999</v>
      </c>
      <c r="AI59" s="17">
        <v>32.177300000000002</v>
      </c>
      <c r="AJ59" s="17">
        <v>18.7042</v>
      </c>
      <c r="AK59" s="17">
        <v>39.171500000000002</v>
      </c>
      <c r="AL59" s="17">
        <v>13.3233</v>
      </c>
      <c r="AM59" s="17">
        <v>32.4923</v>
      </c>
      <c r="AN59" s="17">
        <v>24.6433</v>
      </c>
      <c r="AO59" s="17">
        <v>41.250399999999999</v>
      </c>
      <c r="AP59" s="17">
        <v>16.061</v>
      </c>
      <c r="AQ59" s="85">
        <v>22.3368</v>
      </c>
    </row>
    <row r="60" spans="1:43" x14ac:dyDescent="0.2">
      <c r="A60" s="34">
        <f t="shared" si="1"/>
        <v>43.655800000000006</v>
      </c>
      <c r="B60" s="17">
        <v>107</v>
      </c>
      <c r="C60" s="17">
        <v>4</v>
      </c>
      <c r="D60" s="34">
        <v>41.622199999999999</v>
      </c>
      <c r="E60" s="17">
        <v>51.746200000000002</v>
      </c>
      <c r="F60" s="17">
        <v>53.134900000000002</v>
      </c>
      <c r="G60" s="17">
        <v>37.527000000000001</v>
      </c>
      <c r="H60" s="17">
        <v>44.232300000000002</v>
      </c>
      <c r="I60" s="17">
        <v>100.4076</v>
      </c>
      <c r="J60" s="17">
        <v>40.380299999999998</v>
      </c>
      <c r="K60" s="17">
        <v>42.759900000000002</v>
      </c>
      <c r="L60" s="17">
        <v>40.749400000000001</v>
      </c>
      <c r="M60" s="17">
        <v>65.285200000000003</v>
      </c>
      <c r="N60" s="17">
        <v>37.336500000000001</v>
      </c>
      <c r="O60" s="17">
        <v>40.046599999999998</v>
      </c>
      <c r="P60" s="17">
        <v>56.517299999999999</v>
      </c>
      <c r="Q60" s="17">
        <v>36.644300000000001</v>
      </c>
      <c r="R60" s="17">
        <v>59.057400000000001</v>
      </c>
      <c r="S60" s="17">
        <v>47.6462</v>
      </c>
      <c r="T60" s="17">
        <v>23.2576</v>
      </c>
      <c r="U60" s="17">
        <v>52.497300000000003</v>
      </c>
      <c r="V60" s="17">
        <v>83.975399999999993</v>
      </c>
      <c r="W60" s="17">
        <v>57.44</v>
      </c>
      <c r="X60" s="34">
        <v>29.0288</v>
      </c>
      <c r="Y60" s="17">
        <v>23.714500000000001</v>
      </c>
      <c r="Z60" s="17">
        <v>36.472999999999999</v>
      </c>
      <c r="AA60" s="17">
        <v>18.520499999999998</v>
      </c>
      <c r="AB60" s="17">
        <v>22.373999999999999</v>
      </c>
      <c r="AC60" s="17">
        <v>19.5047</v>
      </c>
      <c r="AD60" s="17">
        <v>14.793900000000001</v>
      </c>
      <c r="AE60" s="17">
        <v>15.9373</v>
      </c>
      <c r="AF60" s="17">
        <v>25.171800000000001</v>
      </c>
      <c r="AG60" s="17">
        <v>28.5002</v>
      </c>
      <c r="AH60" s="17">
        <v>48.221600000000002</v>
      </c>
      <c r="AI60" s="17">
        <v>32.4908</v>
      </c>
      <c r="AJ60" s="17">
        <v>30.904199999999999</v>
      </c>
      <c r="AK60" s="17">
        <v>24.021899999999999</v>
      </c>
      <c r="AL60" s="17">
        <v>22.061900000000001</v>
      </c>
      <c r="AM60" s="17">
        <v>23.726900000000001</v>
      </c>
      <c r="AN60" s="17">
        <v>30.144500000000001</v>
      </c>
      <c r="AO60" s="17">
        <v>15.3833</v>
      </c>
      <c r="AP60" s="17">
        <v>22.946400000000001</v>
      </c>
      <c r="AQ60" s="85">
        <v>25.7821</v>
      </c>
    </row>
    <row r="61" spans="1:43" x14ac:dyDescent="0.2">
      <c r="A61" s="34">
        <f t="shared" si="1"/>
        <v>18.515457692307692</v>
      </c>
      <c r="B61" s="17">
        <v>10</v>
      </c>
      <c r="C61" s="17">
        <v>5</v>
      </c>
      <c r="D61" s="34">
        <v>15.849299999999999</v>
      </c>
      <c r="E61" s="17">
        <v>16.579599999999999</v>
      </c>
      <c r="F61" s="17">
        <v>16.903199999999998</v>
      </c>
      <c r="G61" s="17">
        <v>24.465900000000001</v>
      </c>
      <c r="H61" s="17">
        <v>18.7163</v>
      </c>
      <c r="I61" s="17">
        <v>12.071400000000001</v>
      </c>
      <c r="J61" s="17">
        <v>11.3741</v>
      </c>
      <c r="K61" s="17">
        <v>19.494700000000002</v>
      </c>
      <c r="L61" s="17">
        <v>35.517699999999998</v>
      </c>
      <c r="M61" s="17">
        <v>40.594999999999999</v>
      </c>
      <c r="N61" s="17">
        <v>14.427</v>
      </c>
      <c r="O61" s="17">
        <v>18.285</v>
      </c>
      <c r="P61" s="17">
        <v>20.353100000000001</v>
      </c>
      <c r="Q61" s="17">
        <v>14.1692</v>
      </c>
      <c r="R61" s="17">
        <v>14.8033</v>
      </c>
      <c r="S61" s="17">
        <v>17.020700000000001</v>
      </c>
      <c r="T61" s="17">
        <v>37.8247</v>
      </c>
      <c r="U61" s="17">
        <v>13.340400000000001</v>
      </c>
      <c r="V61" s="17">
        <v>10.5357</v>
      </c>
      <c r="W61" s="17">
        <v>16.899799999999999</v>
      </c>
      <c r="X61" s="34">
        <v>14.1244</v>
      </c>
      <c r="Y61" s="17">
        <v>11.973599999999999</v>
      </c>
      <c r="Z61" s="17">
        <v>12.3726</v>
      </c>
      <c r="AA61" s="17">
        <v>16.145900000000001</v>
      </c>
      <c r="AB61" s="17">
        <v>19.247900000000001</v>
      </c>
      <c r="AC61" s="17">
        <v>13.0932</v>
      </c>
      <c r="AD61" s="17">
        <v>21.067499999999999</v>
      </c>
      <c r="AE61" s="17">
        <v>18.1402</v>
      </c>
      <c r="AF61" s="17">
        <v>16.164200000000001</v>
      </c>
      <c r="AG61" s="17">
        <v>21.385200000000001</v>
      </c>
      <c r="AH61" s="17">
        <v>18.1388</v>
      </c>
      <c r="AI61" s="17">
        <v>13.1907</v>
      </c>
      <c r="AJ61" s="17">
        <v>12.703099999999999</v>
      </c>
      <c r="AK61" s="17">
        <v>19.987200000000001</v>
      </c>
      <c r="AL61" s="17">
        <v>14.981199999999999</v>
      </c>
      <c r="AM61" s="17">
        <v>15.664099999999999</v>
      </c>
      <c r="AN61" s="17">
        <v>27.813500000000001</v>
      </c>
      <c r="AO61" s="17">
        <v>14.587199999999999</v>
      </c>
      <c r="AP61" s="17">
        <v>9.9528999999999996</v>
      </c>
      <c r="AQ61" s="85">
        <v>12.7119</v>
      </c>
    </row>
    <row r="62" spans="1:43" x14ac:dyDescent="0.2">
      <c r="A62" s="34">
        <f t="shared" si="1"/>
        <v>45.317457692307691</v>
      </c>
      <c r="B62" s="17">
        <v>13</v>
      </c>
      <c r="C62" s="17">
        <v>6</v>
      </c>
      <c r="D62" s="34">
        <v>63.136000000000003</v>
      </c>
      <c r="E62" s="17">
        <v>32.106299999999997</v>
      </c>
      <c r="F62" s="17">
        <v>42.592399999999998</v>
      </c>
      <c r="G62" s="17">
        <v>34.975000000000001</v>
      </c>
      <c r="H62" s="17">
        <v>41.429400000000001</v>
      </c>
      <c r="I62" s="17">
        <v>53.334600000000002</v>
      </c>
      <c r="J62" s="17">
        <v>58.890300000000003</v>
      </c>
      <c r="K62" s="17">
        <v>63.184899999999999</v>
      </c>
      <c r="L62" s="17">
        <v>58.251800000000003</v>
      </c>
      <c r="M62" s="17">
        <v>76.745400000000004</v>
      </c>
      <c r="N62" s="17">
        <v>74.227699999999999</v>
      </c>
      <c r="O62" s="17">
        <v>26.0352</v>
      </c>
      <c r="P62" s="17">
        <v>47.783700000000003</v>
      </c>
      <c r="Q62" s="17">
        <v>54.081899999999997</v>
      </c>
      <c r="R62" s="17">
        <v>33.831200000000003</v>
      </c>
      <c r="S62" s="17">
        <v>74.236999999999995</v>
      </c>
      <c r="T62" s="17">
        <v>31.754300000000001</v>
      </c>
      <c r="U62" s="17">
        <v>15.8431</v>
      </c>
      <c r="V62" s="17">
        <v>49.0366</v>
      </c>
      <c r="W62" s="17">
        <v>8.0701999999999998</v>
      </c>
      <c r="X62" s="34">
        <v>41.784799999999997</v>
      </c>
      <c r="Y62" s="17">
        <v>43.491199999999999</v>
      </c>
      <c r="Z62" s="17">
        <v>35.968200000000003</v>
      </c>
      <c r="AA62" s="17">
        <v>42.3872</v>
      </c>
      <c r="AB62" s="17">
        <v>44.866100000000003</v>
      </c>
      <c r="AC62" s="17">
        <v>44.703899999999997</v>
      </c>
      <c r="AD62" s="17">
        <v>48.641500000000001</v>
      </c>
      <c r="AE62" s="17">
        <v>29.721499999999999</v>
      </c>
      <c r="AF62" s="17">
        <v>51.399500000000003</v>
      </c>
      <c r="AG62" s="17">
        <v>46.891399999999997</v>
      </c>
      <c r="AH62" s="17">
        <v>43.448</v>
      </c>
      <c r="AI62" s="17">
        <v>30.067299999999999</v>
      </c>
      <c r="AJ62" s="17">
        <v>44.298499999999997</v>
      </c>
      <c r="AK62" s="17">
        <v>66.3108</v>
      </c>
      <c r="AL62" s="17">
        <v>51.705800000000004</v>
      </c>
      <c r="AM62" s="17">
        <v>35.977600000000002</v>
      </c>
      <c r="AN62" s="17">
        <v>40.988</v>
      </c>
      <c r="AO62" s="17">
        <v>43.558700000000002</v>
      </c>
      <c r="AP62" s="17">
        <v>30.400700000000001</v>
      </c>
      <c r="AQ62" s="85">
        <v>23.692900000000002</v>
      </c>
    </row>
    <row r="63" spans="1:43" x14ac:dyDescent="0.2">
      <c r="A63" s="34">
        <f t="shared" si="1"/>
        <v>16.863173076923076</v>
      </c>
      <c r="B63" s="17">
        <v>14</v>
      </c>
      <c r="C63" s="17">
        <v>7</v>
      </c>
      <c r="D63" s="34">
        <v>13.728999999999999</v>
      </c>
      <c r="E63" s="17">
        <v>15.0685</v>
      </c>
      <c r="F63" s="17">
        <v>9.9160000000000004</v>
      </c>
      <c r="G63" s="17">
        <v>20.0245</v>
      </c>
      <c r="H63" s="17">
        <v>35.921500000000002</v>
      </c>
      <c r="I63" s="17">
        <v>14.968999999999999</v>
      </c>
      <c r="J63" s="17">
        <v>9.7041000000000004</v>
      </c>
      <c r="K63" s="17">
        <v>21.614599999999999</v>
      </c>
      <c r="L63" s="17">
        <v>32.858199999999997</v>
      </c>
      <c r="M63" s="17">
        <v>30.525099999999998</v>
      </c>
      <c r="N63" s="17">
        <v>17.9513</v>
      </c>
      <c r="O63" s="17">
        <v>26.650300000000001</v>
      </c>
      <c r="P63" s="17">
        <v>18.6159</v>
      </c>
      <c r="Q63" s="17">
        <v>18.674700000000001</v>
      </c>
      <c r="R63" s="17">
        <v>9.5182000000000002</v>
      </c>
      <c r="S63" s="17">
        <v>16.498200000000001</v>
      </c>
      <c r="T63" s="17">
        <v>19.101800000000001</v>
      </c>
      <c r="U63" s="17">
        <v>15.1694</v>
      </c>
      <c r="V63" s="17">
        <v>10.957700000000001</v>
      </c>
      <c r="W63" s="17">
        <v>12.979799999999999</v>
      </c>
      <c r="X63" s="34">
        <v>11.6348</v>
      </c>
      <c r="Y63" s="17">
        <v>9.1380999999999997</v>
      </c>
      <c r="Z63" s="17">
        <v>14.215299999999999</v>
      </c>
      <c r="AA63" s="17">
        <v>13.3552</v>
      </c>
      <c r="AB63" s="17">
        <v>14.6869</v>
      </c>
      <c r="AC63" s="17">
        <v>9.4754000000000005</v>
      </c>
      <c r="AD63" s="17">
        <v>9.218</v>
      </c>
      <c r="AE63" s="17">
        <v>11.273300000000001</v>
      </c>
      <c r="AF63" s="17">
        <v>23.659800000000001</v>
      </c>
      <c r="AG63" s="17">
        <v>24.116900000000001</v>
      </c>
      <c r="AH63" s="17">
        <v>30.345500000000001</v>
      </c>
      <c r="AI63" s="17">
        <v>27.679400000000001</v>
      </c>
      <c r="AJ63" s="17">
        <v>14.3504</v>
      </c>
      <c r="AK63" s="17">
        <v>9.2077000000000009</v>
      </c>
      <c r="AL63" s="17">
        <v>5.8936999999999999</v>
      </c>
      <c r="AM63" s="17">
        <v>9.0944000000000003</v>
      </c>
      <c r="AN63" s="17">
        <v>24.771699999999999</v>
      </c>
      <c r="AO63" s="17">
        <v>21.0273</v>
      </c>
      <c r="AP63" s="17">
        <v>11.5951</v>
      </c>
      <c r="AQ63" s="85">
        <v>8.2805</v>
      </c>
    </row>
    <row r="64" spans="1:43" x14ac:dyDescent="0.2">
      <c r="A64" s="34">
        <f t="shared" si="1"/>
        <v>27.766053846153852</v>
      </c>
      <c r="B64" s="17">
        <v>19</v>
      </c>
      <c r="C64" s="17">
        <v>8</v>
      </c>
      <c r="D64" s="34">
        <v>46.728999999999999</v>
      </c>
      <c r="E64" s="17">
        <v>30.9971</v>
      </c>
      <c r="F64" s="17">
        <v>25.741399999999999</v>
      </c>
      <c r="G64" s="17">
        <v>25.409300000000002</v>
      </c>
      <c r="H64" s="17">
        <v>25.139399999999998</v>
      </c>
      <c r="I64" s="17">
        <v>36.917999999999999</v>
      </c>
      <c r="J64" s="17">
        <v>29.7041</v>
      </c>
      <c r="K64" s="17">
        <v>33.760399999999997</v>
      </c>
      <c r="L64" s="17">
        <v>28.452000000000002</v>
      </c>
      <c r="M64" s="17">
        <v>56.188400000000001</v>
      </c>
      <c r="N64" s="17">
        <v>29.857800000000001</v>
      </c>
      <c r="O64" s="17">
        <v>49.463299999999997</v>
      </c>
      <c r="P64" s="17">
        <v>50.5242</v>
      </c>
      <c r="Q64" s="17">
        <v>28.269500000000001</v>
      </c>
      <c r="R64" s="17">
        <v>28.301500000000001</v>
      </c>
      <c r="S64" s="17">
        <v>18.9894</v>
      </c>
      <c r="T64" s="17">
        <v>31.850999999999999</v>
      </c>
      <c r="U64" s="17">
        <v>28.699100000000001</v>
      </c>
      <c r="V64" s="17">
        <v>32.991799999999998</v>
      </c>
      <c r="W64" s="17">
        <v>17.215</v>
      </c>
      <c r="X64" s="34">
        <v>17.010899999999999</v>
      </c>
      <c r="Y64" s="17">
        <v>13.2149</v>
      </c>
      <c r="Z64" s="17">
        <v>19.744499999999999</v>
      </c>
      <c r="AA64" s="17">
        <v>10.2561</v>
      </c>
      <c r="AB64" s="17">
        <v>24.275600000000001</v>
      </c>
      <c r="AC64" s="17">
        <v>11.138299999999999</v>
      </c>
      <c r="AD64" s="17">
        <v>17.804400000000001</v>
      </c>
      <c r="AE64" s="17">
        <v>12.458399999999999</v>
      </c>
      <c r="AF64" s="17">
        <v>17.337199999999999</v>
      </c>
      <c r="AG64" s="17">
        <v>14.229799999999999</v>
      </c>
      <c r="AH64" s="17">
        <v>19.713799999999999</v>
      </c>
      <c r="AI64" s="17">
        <v>28.8535</v>
      </c>
      <c r="AJ64" s="17">
        <v>14.038500000000001</v>
      </c>
      <c r="AK64" s="17">
        <v>14.1493</v>
      </c>
      <c r="AL64" s="17">
        <v>12.270899999999999</v>
      </c>
      <c r="AM64" s="17">
        <v>25.898299999999999</v>
      </c>
      <c r="AN64" s="17">
        <v>24.461099999999998</v>
      </c>
      <c r="AO64" s="17">
        <v>16.542000000000002</v>
      </c>
      <c r="AP64" s="17">
        <v>25.724499999999999</v>
      </c>
      <c r="AQ64" s="85">
        <v>10.7979</v>
      </c>
    </row>
    <row r="65" spans="1:43" x14ac:dyDescent="0.2">
      <c r="A65" s="34">
        <f t="shared" si="1"/>
        <v>27.394519230769227</v>
      </c>
      <c r="B65" s="17">
        <v>21</v>
      </c>
      <c r="C65" s="17">
        <v>9</v>
      </c>
      <c r="D65" s="34">
        <v>40.137900000000002</v>
      </c>
      <c r="E65" s="17">
        <v>18.9635</v>
      </c>
      <c r="F65" s="17">
        <v>26.6142</v>
      </c>
      <c r="G65" s="17">
        <v>37.228700000000003</v>
      </c>
      <c r="H65" s="17">
        <v>22.8066</v>
      </c>
      <c r="I65" s="17">
        <v>57.986800000000002</v>
      </c>
      <c r="J65" s="17">
        <v>17.122499999999999</v>
      </c>
      <c r="K65" s="17">
        <v>14.0634</v>
      </c>
      <c r="L65" s="17">
        <v>15.3443</v>
      </c>
      <c r="M65" s="17">
        <v>19.8933</v>
      </c>
      <c r="N65" s="17">
        <v>56.526000000000003</v>
      </c>
      <c r="O65" s="17">
        <v>30.310500000000001</v>
      </c>
      <c r="P65" s="17">
        <v>12.791600000000001</v>
      </c>
      <c r="Q65" s="17">
        <v>48.223599999999998</v>
      </c>
      <c r="R65" s="17">
        <v>33.540599999999998</v>
      </c>
      <c r="S65" s="17">
        <v>40.353200000000001</v>
      </c>
      <c r="T65" s="17">
        <v>24.927099999999999</v>
      </c>
      <c r="U65" s="17">
        <v>20.171800000000001</v>
      </c>
      <c r="V65" s="17">
        <v>15.794499999999999</v>
      </c>
      <c r="W65" s="17">
        <v>21.294899999999998</v>
      </c>
      <c r="X65" s="34">
        <v>41.261400000000002</v>
      </c>
      <c r="Y65" s="17">
        <v>19.2332</v>
      </c>
      <c r="Z65" s="17">
        <v>35.5182</v>
      </c>
      <c r="AA65" s="17">
        <v>18.351400000000002</v>
      </c>
      <c r="AB65" s="17">
        <v>17.6889</v>
      </c>
      <c r="AC65" s="17">
        <v>23.2563</v>
      </c>
      <c r="AD65" s="17">
        <v>22.991</v>
      </c>
      <c r="AE65" s="17">
        <v>16.1309</v>
      </c>
      <c r="AF65" s="17">
        <v>25.500299999999999</v>
      </c>
      <c r="AG65" s="17">
        <v>24.42</v>
      </c>
      <c r="AH65" s="17">
        <v>30.697399999999998</v>
      </c>
      <c r="AI65" s="17">
        <v>26.633800000000001</v>
      </c>
      <c r="AJ65" s="17">
        <v>8.0128000000000004</v>
      </c>
      <c r="AK65" s="17">
        <v>14.5304</v>
      </c>
      <c r="AL65" s="17">
        <v>13.6999</v>
      </c>
      <c r="AM65" s="17">
        <v>18.8247</v>
      </c>
      <c r="AN65" s="17">
        <v>25.991900000000001</v>
      </c>
      <c r="AO65" s="17">
        <v>13.3386</v>
      </c>
      <c r="AP65" s="17">
        <v>18.708100000000002</v>
      </c>
      <c r="AQ65" s="85">
        <v>17.353899999999999</v>
      </c>
    </row>
    <row r="66" spans="1:43" x14ac:dyDescent="0.2">
      <c r="A66" s="34">
        <f t="shared" si="1"/>
        <v>20.792115384615389</v>
      </c>
      <c r="B66" s="17">
        <v>23</v>
      </c>
      <c r="C66" s="17">
        <v>10</v>
      </c>
      <c r="D66" s="34">
        <v>40.264899999999997</v>
      </c>
      <c r="E66" s="17">
        <v>25.6313</v>
      </c>
      <c r="F66" s="17">
        <v>17.645800000000001</v>
      </c>
      <c r="G66" s="17">
        <v>29.2423</v>
      </c>
      <c r="H66" s="17">
        <v>14.9495</v>
      </c>
      <c r="I66" s="17">
        <v>29.251899999999999</v>
      </c>
      <c r="J66" s="17">
        <v>12.5046</v>
      </c>
      <c r="K66" s="17">
        <v>26.233000000000001</v>
      </c>
      <c r="L66" s="17">
        <v>24.504899999999999</v>
      </c>
      <c r="M66" s="17">
        <v>14.6137</v>
      </c>
      <c r="N66" s="17">
        <v>28.726400000000002</v>
      </c>
      <c r="O66" s="17">
        <v>21.675899999999999</v>
      </c>
      <c r="P66" s="17">
        <v>14.2623</v>
      </c>
      <c r="Q66" s="17">
        <v>13.5853</v>
      </c>
      <c r="R66" s="17">
        <v>21.614100000000001</v>
      </c>
      <c r="S66" s="17">
        <v>15.947900000000001</v>
      </c>
      <c r="T66" s="17">
        <v>14.129200000000001</v>
      </c>
      <c r="U66" s="17">
        <v>19.6432</v>
      </c>
      <c r="V66" s="17">
        <v>22.359300000000001</v>
      </c>
      <c r="W66" s="17">
        <v>21.8401</v>
      </c>
      <c r="X66" s="34">
        <v>40.034599999999998</v>
      </c>
      <c r="Y66" s="17">
        <v>16.632300000000001</v>
      </c>
      <c r="Z66" s="17">
        <v>29.897400000000001</v>
      </c>
      <c r="AA66" s="17">
        <v>15.7834</v>
      </c>
      <c r="AB66" s="17">
        <v>21.476400000000002</v>
      </c>
      <c r="AC66" s="17">
        <v>18.5702</v>
      </c>
      <c r="AD66" s="17">
        <v>9.84</v>
      </c>
      <c r="AE66" s="17">
        <v>15.211600000000001</v>
      </c>
      <c r="AF66" s="17">
        <v>12.9276</v>
      </c>
      <c r="AG66" s="17">
        <v>15.1692</v>
      </c>
      <c r="AH66" s="17">
        <v>20.2835</v>
      </c>
      <c r="AI66" s="17">
        <v>16.2029</v>
      </c>
      <c r="AJ66" s="17">
        <v>10.694800000000001</v>
      </c>
      <c r="AK66" s="17">
        <v>13.541399999999999</v>
      </c>
      <c r="AL66" s="17">
        <v>16.203900000000001</v>
      </c>
      <c r="AM66" s="17">
        <v>16.186199999999999</v>
      </c>
      <c r="AN66" s="17">
        <v>14.0884</v>
      </c>
      <c r="AO66" s="17">
        <v>12.8911</v>
      </c>
      <c r="AP66" s="17">
        <v>10.7514</v>
      </c>
      <c r="AQ66" s="85">
        <v>32.213000000000001</v>
      </c>
    </row>
    <row r="67" spans="1:43" x14ac:dyDescent="0.2">
      <c r="A67" s="34">
        <f t="shared" si="1"/>
        <v>33.144707692307684</v>
      </c>
      <c r="B67" s="17">
        <v>27</v>
      </c>
      <c r="C67" s="17">
        <v>11</v>
      </c>
      <c r="D67" s="34">
        <v>49.932699999999997</v>
      </c>
      <c r="E67" s="17">
        <v>51.496400000000001</v>
      </c>
      <c r="F67" s="17">
        <v>29.375800000000002</v>
      </c>
      <c r="G67" s="17">
        <v>41.195099999999996</v>
      </c>
      <c r="H67" s="17">
        <v>23.1328</v>
      </c>
      <c r="I67" s="17">
        <v>57.886899999999997</v>
      </c>
      <c r="J67" s="17">
        <v>29.078800000000001</v>
      </c>
      <c r="K67" s="17">
        <v>22.296900000000001</v>
      </c>
      <c r="L67" s="17">
        <v>49.057600000000001</v>
      </c>
      <c r="M67" s="17">
        <v>16.2181</v>
      </c>
      <c r="N67" s="17">
        <v>22.4299</v>
      </c>
      <c r="O67" s="17">
        <v>49.370600000000003</v>
      </c>
      <c r="P67" s="17">
        <v>16.369700000000002</v>
      </c>
      <c r="Q67" s="17">
        <v>32.7532</v>
      </c>
      <c r="R67" s="17">
        <v>34.315199999999997</v>
      </c>
      <c r="S67" s="17">
        <v>53.1265</v>
      </c>
      <c r="T67" s="17">
        <v>33.869799999999998</v>
      </c>
      <c r="U67" s="17">
        <v>35.438299999999998</v>
      </c>
      <c r="V67" s="17">
        <v>14.655099999999999</v>
      </c>
      <c r="W67" s="17">
        <v>23.8596</v>
      </c>
      <c r="X67" s="34">
        <v>46.124200000000002</v>
      </c>
      <c r="Y67" s="17">
        <v>27.252700000000001</v>
      </c>
      <c r="Z67" s="17">
        <v>33.891199999999998</v>
      </c>
      <c r="AA67" s="17">
        <v>24.2546</v>
      </c>
      <c r="AB67" s="17">
        <v>27.900500000000001</v>
      </c>
      <c r="AC67" s="17">
        <v>40.605600000000003</v>
      </c>
      <c r="AD67" s="17">
        <v>25.807300000000001</v>
      </c>
      <c r="AE67" s="17">
        <v>24.131699999999999</v>
      </c>
      <c r="AF67" s="17">
        <v>23.6539</v>
      </c>
      <c r="AG67" s="17">
        <v>18.922499999999999</v>
      </c>
      <c r="AH67" s="17">
        <v>23.3931</v>
      </c>
      <c r="AI67" s="17">
        <v>31.476400000000002</v>
      </c>
      <c r="AJ67" s="17">
        <v>22.478200000000001</v>
      </c>
      <c r="AK67" s="17">
        <v>69.846299999999999</v>
      </c>
      <c r="AL67" s="17">
        <v>31.7424</v>
      </c>
      <c r="AM67" s="17">
        <v>22.276</v>
      </c>
      <c r="AN67" s="17">
        <v>29.608799999999999</v>
      </c>
      <c r="AO67" s="17">
        <v>26.4208</v>
      </c>
      <c r="AP67" s="17">
        <v>18.2927</v>
      </c>
      <c r="AQ67" s="85">
        <v>26.993600000000001</v>
      </c>
    </row>
    <row r="68" spans="1:43" x14ac:dyDescent="0.2">
      <c r="A68" s="34">
        <f t="shared" si="1"/>
        <v>23.144215384615375</v>
      </c>
      <c r="B68" s="17">
        <v>28</v>
      </c>
      <c r="C68" s="17">
        <v>12</v>
      </c>
      <c r="D68" s="34">
        <v>20.350000000000001</v>
      </c>
      <c r="E68" s="17">
        <v>9.6625999999999994</v>
      </c>
      <c r="F68" s="17">
        <v>32.151000000000003</v>
      </c>
      <c r="G68" s="17">
        <v>27.747299999999999</v>
      </c>
      <c r="H68" s="17">
        <v>20.526900000000001</v>
      </c>
      <c r="I68" s="17">
        <v>34.046199999999999</v>
      </c>
      <c r="J68" s="17">
        <v>16.4755</v>
      </c>
      <c r="K68" s="17">
        <v>23.565799999999999</v>
      </c>
      <c r="L68" s="17">
        <v>25.298200000000001</v>
      </c>
      <c r="M68" s="17">
        <v>28.64</v>
      </c>
      <c r="N68" s="17">
        <v>27.479099999999999</v>
      </c>
      <c r="O68" s="17">
        <v>20.8263</v>
      </c>
      <c r="P68" s="17">
        <v>33.3675</v>
      </c>
      <c r="Q68" s="17">
        <v>21.924900000000001</v>
      </c>
      <c r="R68" s="17">
        <v>15.0655</v>
      </c>
      <c r="S68" s="17">
        <v>41.594000000000001</v>
      </c>
      <c r="T68" s="17">
        <v>24.6647</v>
      </c>
      <c r="U68" s="17">
        <v>17.331199999999999</v>
      </c>
      <c r="V68" s="17">
        <v>18.832000000000001</v>
      </c>
      <c r="W68" s="17">
        <v>22.8187</v>
      </c>
      <c r="X68" s="34">
        <v>20.442399999999999</v>
      </c>
      <c r="Y68" s="17">
        <v>10.655900000000001</v>
      </c>
      <c r="Z68" s="17">
        <v>28.190200000000001</v>
      </c>
      <c r="AA68" s="17">
        <v>13.696300000000001</v>
      </c>
      <c r="AB68" s="17">
        <v>21.880099999999999</v>
      </c>
      <c r="AC68" s="17">
        <v>24.703499999999998</v>
      </c>
      <c r="AD68" s="17">
        <v>20.163799999999998</v>
      </c>
      <c r="AE68" s="17">
        <v>16.151700000000002</v>
      </c>
      <c r="AF68" s="17">
        <v>23.154599999999999</v>
      </c>
      <c r="AG68" s="17">
        <v>24.845800000000001</v>
      </c>
      <c r="AH68" s="17">
        <v>18.863600000000002</v>
      </c>
      <c r="AI68" s="17">
        <v>11.769399999999999</v>
      </c>
      <c r="AJ68" s="17">
        <v>22.463899999999999</v>
      </c>
      <c r="AK68" s="17">
        <v>14.519500000000001</v>
      </c>
      <c r="AL68" s="17">
        <v>24.731200000000001</v>
      </c>
      <c r="AM68" s="17">
        <v>23.228899999999999</v>
      </c>
      <c r="AN68" s="17">
        <v>18.775500000000001</v>
      </c>
      <c r="AO68" s="17">
        <v>23.497699999999998</v>
      </c>
      <c r="AP68" s="17">
        <v>24.896899999999999</v>
      </c>
      <c r="AQ68" s="85">
        <v>34.313099999999999</v>
      </c>
    </row>
    <row r="69" spans="1:43" x14ac:dyDescent="0.2">
      <c r="A69" s="34">
        <f t="shared" si="1"/>
        <v>34.071661538461527</v>
      </c>
      <c r="B69" s="17">
        <v>35</v>
      </c>
      <c r="C69" s="17">
        <v>13</v>
      </c>
      <c r="D69" s="34">
        <v>41.406500000000001</v>
      </c>
      <c r="E69" s="17">
        <v>28.308399999999999</v>
      </c>
      <c r="F69" s="17">
        <v>23.422799999999999</v>
      </c>
      <c r="G69" s="17">
        <v>79.938299999999998</v>
      </c>
      <c r="H69" s="17">
        <v>21.9786</v>
      </c>
      <c r="I69" s="17">
        <v>34.699599999999997</v>
      </c>
      <c r="J69" s="17">
        <v>48.337299999999999</v>
      </c>
      <c r="K69" s="17">
        <v>30.0242</v>
      </c>
      <c r="L69" s="17">
        <v>30.5471</v>
      </c>
      <c r="M69" s="17">
        <v>26.4984</v>
      </c>
      <c r="N69" s="17">
        <v>54.043999999999997</v>
      </c>
      <c r="O69" s="17">
        <v>31.652100000000001</v>
      </c>
      <c r="P69" s="17">
        <v>36.866900000000001</v>
      </c>
      <c r="Q69" s="17">
        <v>44.986899999999999</v>
      </c>
      <c r="R69" s="17">
        <v>38.091299999999997</v>
      </c>
      <c r="S69" s="17">
        <v>26.2578</v>
      </c>
      <c r="T69" s="17">
        <v>22.999700000000001</v>
      </c>
      <c r="U69" s="17">
        <v>50.138300000000001</v>
      </c>
      <c r="V69" s="17">
        <v>35.630400000000002</v>
      </c>
      <c r="W69" s="17">
        <v>29.369299999999999</v>
      </c>
      <c r="X69" s="34">
        <v>43.361400000000003</v>
      </c>
      <c r="Y69" s="17">
        <v>12.65</v>
      </c>
      <c r="Z69" s="17">
        <v>22.740500000000001</v>
      </c>
      <c r="AA69" s="17">
        <v>25.868400000000001</v>
      </c>
      <c r="AB69" s="17">
        <v>24.007400000000001</v>
      </c>
      <c r="AC69" s="17">
        <v>23.201599999999999</v>
      </c>
      <c r="AD69" s="17">
        <v>40.2425</v>
      </c>
      <c r="AE69" s="17">
        <v>24.771699999999999</v>
      </c>
      <c r="AF69" s="17">
        <v>12.475300000000001</v>
      </c>
      <c r="AG69" s="17">
        <v>8.9624000000000006</v>
      </c>
      <c r="AH69" s="17">
        <v>30.782800000000002</v>
      </c>
      <c r="AI69" s="17">
        <v>21.848800000000001</v>
      </c>
      <c r="AJ69" s="17">
        <v>8.2138000000000009</v>
      </c>
      <c r="AK69" s="17">
        <v>16.323599999999999</v>
      </c>
      <c r="AL69" s="17">
        <v>33.405999999999999</v>
      </c>
      <c r="AM69" s="17">
        <v>23.403600000000001</v>
      </c>
      <c r="AN69" s="17">
        <v>59.210999999999999</v>
      </c>
      <c r="AO69" s="17">
        <v>51.471699999999998</v>
      </c>
      <c r="AP69" s="17">
        <v>21.026299999999999</v>
      </c>
      <c r="AQ69" s="85">
        <v>30.672699999999999</v>
      </c>
    </row>
    <row r="70" spans="1:43" x14ac:dyDescent="0.2">
      <c r="A70" s="34">
        <f t="shared" si="1"/>
        <v>39.500480769230769</v>
      </c>
      <c r="B70" s="17">
        <v>38</v>
      </c>
      <c r="C70" s="17">
        <v>14</v>
      </c>
      <c r="D70" s="34">
        <v>46.199599999999997</v>
      </c>
      <c r="E70" s="17">
        <v>31.778099999999998</v>
      </c>
      <c r="F70" s="17">
        <v>47.155099999999997</v>
      </c>
      <c r="G70" s="17">
        <v>23.161100000000001</v>
      </c>
      <c r="H70" s="17">
        <v>28.250299999999999</v>
      </c>
      <c r="I70" s="17">
        <v>72.0548</v>
      </c>
      <c r="J70" s="17">
        <v>30.067</v>
      </c>
      <c r="K70" s="17">
        <v>41.785400000000003</v>
      </c>
      <c r="L70" s="17">
        <v>31.560600000000001</v>
      </c>
      <c r="M70" s="17">
        <v>64.097999999999999</v>
      </c>
      <c r="N70" s="17">
        <v>62.192700000000002</v>
      </c>
      <c r="O70" s="17">
        <v>25.779</v>
      </c>
      <c r="P70" s="17">
        <v>19.6555</v>
      </c>
      <c r="Q70" s="17">
        <v>68.122600000000006</v>
      </c>
      <c r="R70" s="17">
        <v>70.353399999999993</v>
      </c>
      <c r="S70" s="17">
        <v>29.4251</v>
      </c>
      <c r="T70" s="17">
        <v>29.839400000000001</v>
      </c>
      <c r="U70" s="17">
        <v>49.220500000000001</v>
      </c>
      <c r="V70" s="17">
        <v>46.800800000000002</v>
      </c>
      <c r="W70" s="17">
        <v>62.4955</v>
      </c>
      <c r="X70" s="34">
        <v>47.768300000000004</v>
      </c>
      <c r="Y70" s="17">
        <v>28.5854</v>
      </c>
      <c r="Z70" s="17">
        <v>35.210900000000002</v>
      </c>
      <c r="AA70" s="17">
        <v>16.576699999999999</v>
      </c>
      <c r="AB70" s="17">
        <v>17.696899999999999</v>
      </c>
      <c r="AC70" s="17">
        <v>24.855</v>
      </c>
      <c r="AD70" s="17">
        <v>22.5244</v>
      </c>
      <c r="AE70" s="17">
        <v>21.235399999999998</v>
      </c>
      <c r="AF70" s="17">
        <v>8.1753</v>
      </c>
      <c r="AG70" s="17">
        <v>14.346399999999999</v>
      </c>
      <c r="AH70" s="17">
        <v>64.723699999999994</v>
      </c>
      <c r="AI70" s="17">
        <v>44.180700000000002</v>
      </c>
      <c r="AJ70" s="17">
        <v>10.8834</v>
      </c>
      <c r="AK70" s="17">
        <v>40.887099999999997</v>
      </c>
      <c r="AL70" s="17">
        <v>29.462299999999999</v>
      </c>
      <c r="AM70" s="17">
        <v>14.098800000000001</v>
      </c>
      <c r="AN70" s="17">
        <v>7.9424000000000001</v>
      </c>
      <c r="AO70" s="17">
        <v>24.963000000000001</v>
      </c>
      <c r="AP70" s="17">
        <v>7.6776</v>
      </c>
      <c r="AQ70" s="85">
        <v>12.5716</v>
      </c>
    </row>
    <row r="71" spans="1:43" x14ac:dyDescent="0.2">
      <c r="A71" s="34">
        <f t="shared" si="1"/>
        <v>34.656423076923083</v>
      </c>
      <c r="B71" s="17">
        <v>43</v>
      </c>
      <c r="C71" s="17">
        <v>15</v>
      </c>
      <c r="D71" s="34">
        <v>45.349899999999998</v>
      </c>
      <c r="E71" s="17">
        <v>46.173699999999997</v>
      </c>
      <c r="F71" s="17">
        <v>31.2454</v>
      </c>
      <c r="G71" s="17">
        <v>39.156500000000001</v>
      </c>
      <c r="H71" s="17">
        <v>30.039200000000001</v>
      </c>
      <c r="I71" s="17">
        <v>58.744799999999998</v>
      </c>
      <c r="J71" s="17">
        <v>32.771700000000003</v>
      </c>
      <c r="K71" s="17">
        <v>30.4178</v>
      </c>
      <c r="L71" s="17">
        <v>45.003799999999998</v>
      </c>
      <c r="M71" s="17">
        <v>34.6768</v>
      </c>
      <c r="N71" s="17">
        <v>23.0625</v>
      </c>
      <c r="O71" s="17">
        <v>47.406100000000002</v>
      </c>
      <c r="P71" s="17">
        <v>48.9146</v>
      </c>
      <c r="Q71" s="17">
        <v>22.593399999999999</v>
      </c>
      <c r="R71" s="17">
        <v>34.608499999999999</v>
      </c>
      <c r="S71" s="17">
        <v>39.590400000000002</v>
      </c>
      <c r="T71" s="17">
        <v>27.201599999999999</v>
      </c>
      <c r="U71" s="17">
        <v>42.402900000000002</v>
      </c>
      <c r="V71" s="17">
        <v>32.701300000000003</v>
      </c>
      <c r="W71" s="17">
        <v>45.342300000000002</v>
      </c>
      <c r="X71" s="34">
        <v>20.860399999999998</v>
      </c>
      <c r="Y71" s="17">
        <v>30.336500000000001</v>
      </c>
      <c r="Z71" s="17">
        <v>22.9057</v>
      </c>
      <c r="AA71" s="17">
        <v>27.835999999999999</v>
      </c>
      <c r="AB71" s="17">
        <v>32.138599999999997</v>
      </c>
      <c r="AC71" s="17">
        <v>36.486800000000002</v>
      </c>
      <c r="AD71" s="17">
        <v>18.4497</v>
      </c>
      <c r="AE71" s="17">
        <v>20.1327</v>
      </c>
      <c r="AF71" s="17">
        <v>28.055</v>
      </c>
      <c r="AG71" s="17">
        <v>26.113</v>
      </c>
      <c r="AH71" s="17">
        <v>33.9893</v>
      </c>
      <c r="AI71" s="17">
        <v>31.297999999999998</v>
      </c>
      <c r="AJ71" s="17">
        <v>18.077000000000002</v>
      </c>
      <c r="AK71" s="17">
        <v>22.1997</v>
      </c>
      <c r="AL71" s="17">
        <v>18.169699999999999</v>
      </c>
      <c r="AM71" s="17">
        <v>19.0061</v>
      </c>
      <c r="AN71" s="17">
        <v>42.153399999999998</v>
      </c>
      <c r="AO71" s="17">
        <v>29.343800000000002</v>
      </c>
      <c r="AP71" s="17">
        <v>20.142800000000001</v>
      </c>
      <c r="AQ71" s="85">
        <v>27.386800000000001</v>
      </c>
    </row>
    <row r="72" spans="1:43" x14ac:dyDescent="0.2">
      <c r="A72" s="34">
        <f t="shared" si="1"/>
        <v>30.311911538461548</v>
      </c>
      <c r="B72" s="17">
        <v>44</v>
      </c>
      <c r="C72" s="17">
        <v>16</v>
      </c>
      <c r="D72" s="34">
        <v>36.374000000000002</v>
      </c>
      <c r="E72" s="17">
        <v>40.913200000000003</v>
      </c>
      <c r="F72" s="17">
        <v>41.305300000000003</v>
      </c>
      <c r="G72" s="17">
        <v>21.959499999999998</v>
      </c>
      <c r="H72" s="17">
        <v>23.251000000000001</v>
      </c>
      <c r="I72" s="17">
        <v>53.734099999999998</v>
      </c>
      <c r="J72" s="17">
        <v>29.700199999999999</v>
      </c>
      <c r="K72" s="17">
        <v>20.311299999999999</v>
      </c>
      <c r="L72" s="17">
        <v>29.040199999999999</v>
      </c>
      <c r="M72" s="17">
        <v>26.282299999999999</v>
      </c>
      <c r="N72" s="17">
        <v>72.332700000000003</v>
      </c>
      <c r="O72" s="17">
        <v>27.747900000000001</v>
      </c>
      <c r="P72" s="17">
        <v>23.561299999999999</v>
      </c>
      <c r="Q72" s="17">
        <v>33.309600000000003</v>
      </c>
      <c r="R72" s="17">
        <v>27.679300000000001</v>
      </c>
      <c r="S72" s="17">
        <v>33.770600000000002</v>
      </c>
      <c r="T72" s="17">
        <v>25.347000000000001</v>
      </c>
      <c r="U72" s="17">
        <v>34.462699999999998</v>
      </c>
      <c r="V72" s="17">
        <v>36.958100000000002</v>
      </c>
      <c r="W72" s="17">
        <v>21.559799999999999</v>
      </c>
      <c r="X72" s="34">
        <v>22.685099999999998</v>
      </c>
      <c r="Y72" s="17">
        <v>22.438400000000001</v>
      </c>
      <c r="Z72" s="17">
        <v>29.677</v>
      </c>
      <c r="AA72" s="17">
        <v>14.6715</v>
      </c>
      <c r="AB72" s="17">
        <v>37.5959</v>
      </c>
      <c r="AC72" s="17">
        <v>16.5777</v>
      </c>
      <c r="AD72" s="17">
        <v>21.238</v>
      </c>
      <c r="AE72" s="17">
        <v>15.994999999999999</v>
      </c>
      <c r="AF72" s="17">
        <v>17.7593</v>
      </c>
      <c r="AG72" s="17">
        <v>13.7631</v>
      </c>
      <c r="AH72" s="17">
        <v>18.4208</v>
      </c>
      <c r="AI72" s="17">
        <v>27.719100000000001</v>
      </c>
      <c r="AJ72" s="17">
        <v>19.379200000000001</v>
      </c>
      <c r="AK72" s="17">
        <v>21.351700000000001</v>
      </c>
      <c r="AL72" s="17">
        <v>15.415100000000001</v>
      </c>
      <c r="AM72" s="17">
        <v>22.805599999999998</v>
      </c>
      <c r="AN72" s="17">
        <v>15.0768</v>
      </c>
      <c r="AO72" s="17">
        <v>18.8445</v>
      </c>
      <c r="AP72" s="17">
        <v>19.782699999999998</v>
      </c>
      <c r="AQ72" s="85">
        <v>15.309799999999999</v>
      </c>
    </row>
    <row r="73" spans="1:43" x14ac:dyDescent="0.2">
      <c r="A73" s="34">
        <f t="shared" si="1"/>
        <v>26.665592307692307</v>
      </c>
      <c r="B73" s="17">
        <v>45</v>
      </c>
      <c r="C73" s="17">
        <v>17</v>
      </c>
      <c r="D73" s="34">
        <v>29.4802</v>
      </c>
      <c r="E73" s="17">
        <v>17.442</v>
      </c>
      <c r="F73" s="17">
        <v>49.785400000000003</v>
      </c>
      <c r="G73" s="17">
        <v>20.452400000000001</v>
      </c>
      <c r="H73" s="17">
        <v>18.206399999999999</v>
      </c>
      <c r="I73" s="17">
        <v>70.544700000000006</v>
      </c>
      <c r="J73" s="17">
        <v>32.7408</v>
      </c>
      <c r="K73" s="17">
        <v>18.479099999999999</v>
      </c>
      <c r="L73" s="17">
        <v>23.7803</v>
      </c>
      <c r="M73" s="17">
        <v>27.038599999999999</v>
      </c>
      <c r="N73" s="17">
        <v>58.276699999999998</v>
      </c>
      <c r="O73" s="17">
        <v>21.950600000000001</v>
      </c>
      <c r="P73" s="17">
        <v>20.4312</v>
      </c>
      <c r="Q73" s="17">
        <v>8.84</v>
      </c>
      <c r="R73" s="17">
        <v>32.614800000000002</v>
      </c>
      <c r="S73" s="17">
        <v>45.285699999999999</v>
      </c>
      <c r="T73" s="17">
        <v>20.8447</v>
      </c>
      <c r="U73" s="17">
        <v>13.007199999999999</v>
      </c>
      <c r="V73" s="17">
        <v>34.044699999999999</v>
      </c>
      <c r="W73" s="17">
        <v>16.483699999999999</v>
      </c>
      <c r="X73" s="34">
        <v>12.807399999999999</v>
      </c>
      <c r="Y73" s="17">
        <v>14.7844</v>
      </c>
      <c r="Z73" s="17">
        <v>27.8095</v>
      </c>
      <c r="AA73" s="17">
        <v>18.058499999999999</v>
      </c>
      <c r="AB73" s="17">
        <v>20.105599999999999</v>
      </c>
      <c r="AC73" s="17">
        <v>32.438699999999997</v>
      </c>
      <c r="AD73" s="17">
        <v>17.052299999999999</v>
      </c>
      <c r="AE73" s="17">
        <v>18.900200000000002</v>
      </c>
      <c r="AF73" s="17">
        <v>16.946899999999999</v>
      </c>
      <c r="AG73" s="17">
        <v>10.5595</v>
      </c>
      <c r="AH73" s="17">
        <v>27.7212</v>
      </c>
      <c r="AI73" s="17">
        <v>12.517200000000001</v>
      </c>
      <c r="AJ73" s="17">
        <v>25.307600000000001</v>
      </c>
      <c r="AK73" s="17">
        <v>28.148099999999999</v>
      </c>
      <c r="AL73" s="17">
        <v>12.558199999999999</v>
      </c>
      <c r="AM73" s="17">
        <v>16.656300000000002</v>
      </c>
      <c r="AN73" s="17">
        <v>21.117599999999999</v>
      </c>
      <c r="AO73" s="17">
        <v>19.603400000000001</v>
      </c>
      <c r="AP73" s="17">
        <v>15.7387</v>
      </c>
      <c r="AQ73" s="85">
        <v>14.6578</v>
      </c>
    </row>
    <row r="74" spans="1:43" x14ac:dyDescent="0.2">
      <c r="A74" s="34">
        <f t="shared" si="1"/>
        <v>23.428365384615386</v>
      </c>
      <c r="B74" s="17">
        <v>48</v>
      </c>
      <c r="C74" s="17">
        <v>18</v>
      </c>
      <c r="D74" s="34">
        <v>19.4558</v>
      </c>
      <c r="E74" s="17">
        <v>25.4023</v>
      </c>
      <c r="F74" s="17">
        <v>17.223199999999999</v>
      </c>
      <c r="G74" s="17">
        <v>23.379000000000001</v>
      </c>
      <c r="H74" s="17">
        <v>26.215</v>
      </c>
      <c r="I74" s="17">
        <v>47.029299999999999</v>
      </c>
      <c r="J74" s="17">
        <v>22.1005</v>
      </c>
      <c r="K74" s="17">
        <v>21.134699999999999</v>
      </c>
      <c r="L74" s="17">
        <v>23.735800000000001</v>
      </c>
      <c r="M74" s="17">
        <v>16.7453</v>
      </c>
      <c r="N74" s="17">
        <v>29.3399</v>
      </c>
      <c r="O74" s="17">
        <v>28.6434</v>
      </c>
      <c r="P74" s="17">
        <v>25.080500000000001</v>
      </c>
      <c r="Q74" s="17">
        <v>18.637899999999998</v>
      </c>
      <c r="R74" s="17">
        <v>20.1114</v>
      </c>
      <c r="S74" s="17">
        <v>22.996300000000002</v>
      </c>
      <c r="T74" s="17">
        <v>21.4194</v>
      </c>
      <c r="U74" s="17">
        <v>27.398800000000001</v>
      </c>
      <c r="V74" s="17">
        <v>24.111999999999998</v>
      </c>
      <c r="W74" s="17">
        <v>26.987400000000001</v>
      </c>
      <c r="X74" s="34">
        <v>25.409099999999999</v>
      </c>
      <c r="Y74" s="17">
        <v>23.2879</v>
      </c>
      <c r="Z74" s="17">
        <v>25.502800000000001</v>
      </c>
      <c r="AA74" s="17">
        <v>13.1166</v>
      </c>
      <c r="AB74" s="17">
        <v>20.842099999999999</v>
      </c>
      <c r="AC74" s="17">
        <v>20.213100000000001</v>
      </c>
      <c r="AD74" s="17">
        <v>13.0738</v>
      </c>
      <c r="AE74" s="17">
        <v>19.708200000000001</v>
      </c>
      <c r="AF74" s="17">
        <v>13.844200000000001</v>
      </c>
      <c r="AG74" s="17">
        <v>24.792400000000001</v>
      </c>
      <c r="AH74" s="17">
        <v>22.835000000000001</v>
      </c>
      <c r="AI74" s="17">
        <v>17.833300000000001</v>
      </c>
      <c r="AJ74" s="17">
        <v>15.866199999999999</v>
      </c>
      <c r="AK74" s="17">
        <v>25.909600000000001</v>
      </c>
      <c r="AL74" s="17">
        <v>19.2758</v>
      </c>
      <c r="AM74" s="17">
        <v>22.9192</v>
      </c>
      <c r="AN74" s="17">
        <v>16.377199999999998</v>
      </c>
      <c r="AO74" s="17">
        <v>17.080500000000001</v>
      </c>
      <c r="AP74" s="17">
        <v>23.421199999999999</v>
      </c>
      <c r="AQ74" s="85">
        <v>21.8538</v>
      </c>
    </row>
    <row r="75" spans="1:43" x14ac:dyDescent="0.2">
      <c r="A75" s="34">
        <f t="shared" si="1"/>
        <v>32.034503846153846</v>
      </c>
      <c r="B75" s="17">
        <v>49</v>
      </c>
      <c r="C75" s="17">
        <v>19</v>
      </c>
      <c r="D75" s="34">
        <v>38.228900000000003</v>
      </c>
      <c r="E75" s="17">
        <v>24.092300000000002</v>
      </c>
      <c r="F75" s="17">
        <v>53.296999999999997</v>
      </c>
      <c r="G75" s="17">
        <v>19.533999999999999</v>
      </c>
      <c r="H75" s="17">
        <v>24.078299999999999</v>
      </c>
      <c r="I75" s="17">
        <v>30.271899999999999</v>
      </c>
      <c r="J75" s="17">
        <v>17.5215</v>
      </c>
      <c r="K75" s="17">
        <v>17.509399999999999</v>
      </c>
      <c r="L75" s="17">
        <v>34.007599999999996</v>
      </c>
      <c r="M75" s="17">
        <v>75.864699999999999</v>
      </c>
      <c r="N75" s="17">
        <v>57.009399999999999</v>
      </c>
      <c r="O75" s="17">
        <v>27.1388</v>
      </c>
      <c r="P75" s="17">
        <v>42.531500000000001</v>
      </c>
      <c r="Q75" s="17">
        <v>49.5642</v>
      </c>
      <c r="R75" s="17">
        <v>53.6541</v>
      </c>
      <c r="S75" s="17">
        <v>30.4055</v>
      </c>
      <c r="T75" s="17">
        <v>20.808399999999999</v>
      </c>
      <c r="U75" s="17">
        <v>40.701300000000003</v>
      </c>
      <c r="V75" s="17">
        <v>18.900500000000001</v>
      </c>
      <c r="W75" s="17">
        <v>21.5627</v>
      </c>
      <c r="X75" s="34">
        <v>25.150500000000001</v>
      </c>
      <c r="Y75" s="17">
        <v>27.177800000000001</v>
      </c>
      <c r="Z75" s="17">
        <v>36.367800000000003</v>
      </c>
      <c r="AA75" s="17">
        <v>15.696899999999999</v>
      </c>
      <c r="AB75" s="17">
        <v>20.533000000000001</v>
      </c>
      <c r="AC75" s="17">
        <v>27.2242</v>
      </c>
      <c r="AD75" s="17">
        <v>22.293800000000001</v>
      </c>
      <c r="AE75" s="17">
        <v>16.2607</v>
      </c>
      <c r="AF75" s="17">
        <v>20.135300000000001</v>
      </c>
      <c r="AG75" s="17">
        <v>20.749500000000001</v>
      </c>
      <c r="AH75" s="17">
        <v>29.728300000000001</v>
      </c>
      <c r="AI75" s="17">
        <v>23.683</v>
      </c>
      <c r="AJ75" s="17">
        <v>20.3232</v>
      </c>
      <c r="AK75" s="17">
        <v>23.0167</v>
      </c>
      <c r="AL75" s="17">
        <v>24.844899999999999</v>
      </c>
      <c r="AM75" s="17">
        <v>24.167200000000001</v>
      </c>
      <c r="AN75" s="17">
        <v>19.947199999999999</v>
      </c>
      <c r="AO75" s="17">
        <v>34.690199999999997</v>
      </c>
      <c r="AP75" s="17">
        <v>20.802700000000002</v>
      </c>
      <c r="AQ75" s="85">
        <v>18.183800000000002</v>
      </c>
    </row>
    <row r="76" spans="1:43" x14ac:dyDescent="0.2">
      <c r="A76" s="34">
        <f t="shared" si="1"/>
        <v>27.033738461538466</v>
      </c>
      <c r="B76" s="17">
        <v>51</v>
      </c>
      <c r="C76" s="17">
        <v>20</v>
      </c>
      <c r="D76" s="34">
        <v>18.091000000000001</v>
      </c>
      <c r="E76" s="17">
        <v>31.036799999999999</v>
      </c>
      <c r="F76" s="17">
        <v>32.516300000000001</v>
      </c>
      <c r="G76" s="17">
        <v>28.516300000000001</v>
      </c>
      <c r="H76" s="17">
        <v>33.234499999999997</v>
      </c>
      <c r="I76" s="17">
        <v>32.679400000000001</v>
      </c>
      <c r="J76" s="17">
        <v>29.7683</v>
      </c>
      <c r="K76" s="17">
        <v>26.947299999999998</v>
      </c>
      <c r="L76" s="17">
        <v>21.972000000000001</v>
      </c>
      <c r="M76" s="17">
        <v>24.854900000000001</v>
      </c>
      <c r="N76" s="17">
        <v>74.247</v>
      </c>
      <c r="O76" s="17">
        <v>36.028500000000001</v>
      </c>
      <c r="P76" s="17">
        <v>19.2498</v>
      </c>
      <c r="Q76" s="17">
        <v>24.819900000000001</v>
      </c>
      <c r="R76" s="17">
        <v>37.234299999999998</v>
      </c>
      <c r="S76" s="17">
        <v>24.7561</v>
      </c>
      <c r="T76" s="17">
        <v>21.506399999999999</v>
      </c>
      <c r="U76" s="17">
        <v>27.1738</v>
      </c>
      <c r="V76" s="17">
        <v>14.0832</v>
      </c>
      <c r="W76" s="17">
        <v>29.130600000000001</v>
      </c>
      <c r="X76" s="34">
        <v>9.4410000000000007</v>
      </c>
      <c r="Y76" s="17">
        <v>31.959299999999999</v>
      </c>
      <c r="Z76" s="17">
        <v>16.7439</v>
      </c>
      <c r="AA76" s="17">
        <v>25.268899999999999</v>
      </c>
      <c r="AB76" s="17">
        <v>14.627700000000001</v>
      </c>
      <c r="AC76" s="17">
        <v>14.360799999999999</v>
      </c>
      <c r="AD76" s="17">
        <v>20.720199999999998</v>
      </c>
      <c r="AE76" s="17">
        <v>10.7447</v>
      </c>
      <c r="AF76" s="17">
        <v>23.125</v>
      </c>
      <c r="AG76" s="17">
        <v>13.3065</v>
      </c>
      <c r="AH76" s="17">
        <v>19.9786</v>
      </c>
      <c r="AI76" s="17">
        <v>19.924499999999998</v>
      </c>
      <c r="AJ76" s="17">
        <v>14.179</v>
      </c>
      <c r="AK76" s="17">
        <v>20.270099999999999</v>
      </c>
      <c r="AL76" s="17">
        <v>19.850000000000001</v>
      </c>
      <c r="AM76" s="17">
        <v>22.313600000000001</v>
      </c>
      <c r="AN76" s="17">
        <v>16.3325</v>
      </c>
      <c r="AO76" s="17">
        <v>21.383900000000001</v>
      </c>
      <c r="AP76" s="17">
        <v>16.188600000000001</v>
      </c>
      <c r="AQ76" s="85">
        <v>18.1586</v>
      </c>
    </row>
    <row r="77" spans="1:43" x14ac:dyDescent="0.2">
      <c r="A77" s="34">
        <f t="shared" si="1"/>
        <v>19.320769230769226</v>
      </c>
      <c r="B77" s="17">
        <v>53</v>
      </c>
      <c r="C77" s="17">
        <v>21</v>
      </c>
      <c r="D77" s="34">
        <v>14.8857</v>
      </c>
      <c r="E77" s="17">
        <v>28.473800000000001</v>
      </c>
      <c r="F77" s="17">
        <v>14.2233</v>
      </c>
      <c r="G77" s="17">
        <v>19.8674</v>
      </c>
      <c r="H77" s="17">
        <v>14.1952</v>
      </c>
      <c r="I77" s="17">
        <v>47.033900000000003</v>
      </c>
      <c r="J77" s="17">
        <v>14.204000000000001</v>
      </c>
      <c r="K77" s="17">
        <v>17.912199999999999</v>
      </c>
      <c r="L77" s="17">
        <v>12.411199999999999</v>
      </c>
      <c r="M77" s="17">
        <v>22.9208</v>
      </c>
      <c r="N77" s="17">
        <v>19.4115</v>
      </c>
      <c r="O77" s="17">
        <v>16.021999999999998</v>
      </c>
      <c r="P77" s="17">
        <v>13.604100000000001</v>
      </c>
      <c r="Q77" s="17">
        <v>15.065300000000001</v>
      </c>
      <c r="R77" s="17">
        <v>17.040199999999999</v>
      </c>
      <c r="S77" s="17">
        <v>30.715399999999999</v>
      </c>
      <c r="T77" s="17">
        <v>14.105499999999999</v>
      </c>
      <c r="U77" s="17">
        <v>19.0852</v>
      </c>
      <c r="V77" s="17">
        <v>19.694299999999998</v>
      </c>
      <c r="W77" s="17">
        <v>19.597000000000001</v>
      </c>
      <c r="X77" s="34">
        <v>16.206199999999999</v>
      </c>
      <c r="Y77" s="17">
        <v>11.2813</v>
      </c>
      <c r="Z77" s="17">
        <v>17.9038</v>
      </c>
      <c r="AA77" s="17">
        <v>16.037400000000002</v>
      </c>
      <c r="AB77" s="17">
        <v>31.7392</v>
      </c>
      <c r="AC77" s="17">
        <v>23.944099999999999</v>
      </c>
      <c r="AD77" s="17">
        <v>9.6456999999999997</v>
      </c>
      <c r="AE77" s="17">
        <v>13.086399999999999</v>
      </c>
      <c r="AF77" s="17">
        <v>16.068100000000001</v>
      </c>
      <c r="AG77" s="17">
        <v>11.4025</v>
      </c>
      <c r="AH77" s="17">
        <v>12.847099999999999</v>
      </c>
      <c r="AI77" s="17">
        <v>8.5531000000000006</v>
      </c>
      <c r="AJ77" s="17">
        <v>17.253599999999999</v>
      </c>
      <c r="AK77" s="17">
        <v>11.8787</v>
      </c>
      <c r="AL77" s="17">
        <v>7.9408000000000003</v>
      </c>
      <c r="AM77" s="17">
        <v>21.766999999999999</v>
      </c>
      <c r="AN77" s="17">
        <v>9.8803000000000001</v>
      </c>
      <c r="AO77" s="17">
        <v>14.3401</v>
      </c>
      <c r="AP77" s="17">
        <v>13.0204</v>
      </c>
      <c r="AQ77" s="85">
        <v>12.0305</v>
      </c>
    </row>
    <row r="78" spans="1:43" x14ac:dyDescent="0.2">
      <c r="A78" s="34">
        <f t="shared" si="1"/>
        <v>28.036638461538459</v>
      </c>
      <c r="B78" s="17">
        <v>55</v>
      </c>
      <c r="C78" s="17">
        <v>22</v>
      </c>
      <c r="D78" s="34">
        <v>16.076000000000001</v>
      </c>
      <c r="E78" s="17">
        <v>34.375399999999999</v>
      </c>
      <c r="F78" s="17">
        <v>40.044600000000003</v>
      </c>
      <c r="G78" s="17">
        <v>24.240500000000001</v>
      </c>
      <c r="H78" s="17">
        <v>49.963000000000001</v>
      </c>
      <c r="I78" s="17">
        <v>36.252600000000001</v>
      </c>
      <c r="J78" s="17">
        <v>17.398599999999998</v>
      </c>
      <c r="K78" s="17">
        <v>26.872499999999999</v>
      </c>
      <c r="L78" s="17">
        <v>49.236199999999997</v>
      </c>
      <c r="M78" s="17">
        <v>25.948799999999999</v>
      </c>
      <c r="N78" s="17">
        <v>34.057600000000001</v>
      </c>
      <c r="O78" s="17">
        <v>25.885100000000001</v>
      </c>
      <c r="P78" s="17">
        <v>26.308</v>
      </c>
      <c r="Q78" s="17">
        <v>8.7227999999999994</v>
      </c>
      <c r="R78" s="17">
        <v>33.667200000000001</v>
      </c>
      <c r="S78" s="17">
        <v>37.950699999999998</v>
      </c>
      <c r="T78" s="17">
        <v>23.0824</v>
      </c>
      <c r="U78" s="17">
        <v>33.013599999999997</v>
      </c>
      <c r="V78" s="17">
        <v>32.340299999999999</v>
      </c>
      <c r="W78" s="17">
        <v>34.878500000000003</v>
      </c>
      <c r="X78" s="34">
        <v>21.3855</v>
      </c>
      <c r="Y78" s="17">
        <v>18.779900000000001</v>
      </c>
      <c r="Z78" s="17">
        <v>18.737400000000001</v>
      </c>
      <c r="AA78" s="17">
        <v>19.8826</v>
      </c>
      <c r="AB78" s="17">
        <v>27.276199999999999</v>
      </c>
      <c r="AC78" s="17">
        <v>14.770200000000001</v>
      </c>
      <c r="AD78" s="17">
        <v>13.882400000000001</v>
      </c>
      <c r="AE78" s="17">
        <v>10.800700000000001</v>
      </c>
      <c r="AF78" s="17">
        <v>30.245100000000001</v>
      </c>
      <c r="AG78" s="17">
        <v>15.965299999999999</v>
      </c>
      <c r="AH78" s="17">
        <v>13.0649</v>
      </c>
      <c r="AI78" s="17">
        <v>18.1325</v>
      </c>
      <c r="AJ78" s="17">
        <v>27.523900000000001</v>
      </c>
      <c r="AK78" s="17">
        <v>23.4785</v>
      </c>
      <c r="AL78" s="17">
        <v>22.1891</v>
      </c>
      <c r="AM78" s="17">
        <v>17.8948</v>
      </c>
      <c r="AN78" s="17">
        <v>15.6896</v>
      </c>
      <c r="AO78" s="17">
        <v>27.169899999999998</v>
      </c>
      <c r="AP78" s="17">
        <v>11.5778</v>
      </c>
      <c r="AQ78" s="85">
        <v>16.5669</v>
      </c>
    </row>
    <row r="79" spans="1:43" x14ac:dyDescent="0.2">
      <c r="A79" s="34">
        <f t="shared" si="1"/>
        <v>28.999600000000001</v>
      </c>
      <c r="B79" s="17">
        <v>57</v>
      </c>
      <c r="C79" s="17">
        <v>23</v>
      </c>
      <c r="D79" s="34">
        <v>30.9695</v>
      </c>
      <c r="E79" s="17">
        <v>27.053599999999999</v>
      </c>
      <c r="F79" s="17">
        <v>23.1432</v>
      </c>
      <c r="G79" s="17">
        <v>27.0763</v>
      </c>
      <c r="H79" s="17">
        <v>27.479600000000001</v>
      </c>
      <c r="I79" s="17">
        <v>32.291800000000002</v>
      </c>
      <c r="J79" s="17">
        <v>36.335000000000001</v>
      </c>
      <c r="K79" s="17">
        <v>20.6114</v>
      </c>
      <c r="L79" s="17">
        <v>63.083500000000001</v>
      </c>
      <c r="M79" s="17">
        <v>54.314300000000003</v>
      </c>
      <c r="N79" s="17">
        <v>29.732800000000001</v>
      </c>
      <c r="O79" s="17">
        <v>15.089499999999999</v>
      </c>
      <c r="P79" s="17">
        <v>25.9832</v>
      </c>
      <c r="Q79" s="17">
        <v>34.912599999999998</v>
      </c>
      <c r="R79" s="17">
        <v>17.489000000000001</v>
      </c>
      <c r="S79" s="17">
        <v>55.435000000000002</v>
      </c>
      <c r="T79" s="17">
        <v>16.088000000000001</v>
      </c>
      <c r="U79" s="17">
        <v>31.225899999999999</v>
      </c>
      <c r="V79" s="17">
        <v>44.4726</v>
      </c>
      <c r="W79" s="17">
        <v>16.236899999999999</v>
      </c>
      <c r="X79" s="34">
        <v>36.5411</v>
      </c>
      <c r="Y79" s="17">
        <v>13.9697</v>
      </c>
      <c r="Z79" s="17">
        <v>25.8703</v>
      </c>
      <c r="AA79" s="17">
        <v>10.2387</v>
      </c>
      <c r="AB79" s="17">
        <v>15.6568</v>
      </c>
      <c r="AC79" s="17">
        <v>23.548300000000001</v>
      </c>
      <c r="AD79" s="17">
        <v>30.110499999999998</v>
      </c>
      <c r="AE79" s="17">
        <v>17.7254</v>
      </c>
      <c r="AF79" s="17">
        <v>20.925000000000001</v>
      </c>
      <c r="AG79" s="17">
        <v>18.333300000000001</v>
      </c>
      <c r="AH79" s="17">
        <v>18.089500000000001</v>
      </c>
      <c r="AI79" s="17">
        <v>12.0822</v>
      </c>
      <c r="AJ79" s="17">
        <v>19.567299999999999</v>
      </c>
      <c r="AK79" s="17">
        <v>14.9489</v>
      </c>
      <c r="AL79" s="17">
        <v>11.973000000000001</v>
      </c>
      <c r="AM79" s="17">
        <v>14.2822</v>
      </c>
      <c r="AN79" s="17">
        <v>12.871499999999999</v>
      </c>
      <c r="AO79" s="17">
        <v>16.2652</v>
      </c>
      <c r="AP79" s="17">
        <v>10.0242</v>
      </c>
      <c r="AQ79" s="85">
        <v>10.349</v>
      </c>
    </row>
    <row r="80" spans="1:43" x14ac:dyDescent="0.2">
      <c r="A80" s="34">
        <f t="shared" si="1"/>
        <v>21.823376923076925</v>
      </c>
      <c r="B80" s="17">
        <v>60</v>
      </c>
      <c r="C80" s="17">
        <v>24</v>
      </c>
      <c r="D80" s="34">
        <v>27.514700000000001</v>
      </c>
      <c r="E80" s="17">
        <v>21.460999999999999</v>
      </c>
      <c r="F80" s="17">
        <v>31.258600000000001</v>
      </c>
      <c r="G80" s="17">
        <v>14.7813</v>
      </c>
      <c r="H80" s="17">
        <v>22.470600000000001</v>
      </c>
      <c r="I80" s="17">
        <v>27.4421</v>
      </c>
      <c r="J80" s="17">
        <v>25.841000000000001</v>
      </c>
      <c r="K80" s="17">
        <v>17.5915</v>
      </c>
      <c r="L80" s="17">
        <v>17.045000000000002</v>
      </c>
      <c r="M80" s="17">
        <v>18.4255</v>
      </c>
      <c r="N80" s="17">
        <v>29.092500000000001</v>
      </c>
      <c r="O80" s="17">
        <v>22.296600000000002</v>
      </c>
      <c r="P80" s="17">
        <v>17.411000000000001</v>
      </c>
      <c r="Q80" s="17">
        <v>20.066400000000002</v>
      </c>
      <c r="R80" s="17">
        <v>16.756900000000002</v>
      </c>
      <c r="S80" s="17">
        <v>29.561</v>
      </c>
      <c r="T80" s="17">
        <v>14.4877</v>
      </c>
      <c r="U80" s="17">
        <v>23.932600000000001</v>
      </c>
      <c r="V80" s="17">
        <v>13.282400000000001</v>
      </c>
      <c r="W80" s="17">
        <v>16.463100000000001</v>
      </c>
      <c r="X80" s="34">
        <v>23.857800000000001</v>
      </c>
      <c r="Y80" s="17">
        <v>32.912300000000002</v>
      </c>
      <c r="Z80" s="17">
        <v>25.525600000000001</v>
      </c>
      <c r="AA80" s="17">
        <v>21.0947</v>
      </c>
      <c r="AB80" s="17">
        <v>13.867900000000001</v>
      </c>
      <c r="AC80" s="17">
        <v>28.617999999999999</v>
      </c>
      <c r="AD80" s="17">
        <v>21.864699999999999</v>
      </c>
      <c r="AE80" s="17">
        <v>15.458600000000001</v>
      </c>
      <c r="AF80" s="17">
        <v>14.8025</v>
      </c>
      <c r="AG80" s="17">
        <v>25.2393</v>
      </c>
      <c r="AH80" s="17">
        <v>27.357800000000001</v>
      </c>
      <c r="AI80" s="17">
        <v>14.663399999999999</v>
      </c>
      <c r="AJ80" s="17">
        <v>14.212</v>
      </c>
      <c r="AK80" s="17">
        <v>14.121600000000001</v>
      </c>
      <c r="AL80" s="17">
        <v>13.851900000000001</v>
      </c>
      <c r="AM80" s="17">
        <v>28.7727</v>
      </c>
      <c r="AN80" s="17">
        <v>13.4438</v>
      </c>
      <c r="AO80" s="17">
        <v>19.553599999999999</v>
      </c>
      <c r="AP80" s="17">
        <v>18.749300000000002</v>
      </c>
      <c r="AQ80" s="85">
        <v>20.919799999999999</v>
      </c>
    </row>
    <row r="81" spans="1:43" x14ac:dyDescent="0.2">
      <c r="A81" s="34">
        <f t="shared" si="1"/>
        <v>32.216611538461535</v>
      </c>
      <c r="B81" s="17">
        <v>62</v>
      </c>
      <c r="C81" s="17">
        <v>25</v>
      </c>
      <c r="D81" s="34">
        <v>61.190600000000003</v>
      </c>
      <c r="E81" s="17">
        <v>38.145299999999999</v>
      </c>
      <c r="F81" s="17">
        <v>49.4512</v>
      </c>
      <c r="G81" s="17">
        <v>28.678999999999998</v>
      </c>
      <c r="H81" s="17">
        <v>21.659099999999999</v>
      </c>
      <c r="I81" s="17">
        <v>51.454300000000003</v>
      </c>
      <c r="J81" s="17">
        <v>23.604199999999999</v>
      </c>
      <c r="K81" s="17">
        <v>26.681799999999999</v>
      </c>
      <c r="L81" s="17">
        <v>38.297199999999997</v>
      </c>
      <c r="M81" s="17">
        <v>60.573799999999999</v>
      </c>
      <c r="N81" s="17">
        <v>45.398000000000003</v>
      </c>
      <c r="O81" s="17">
        <v>20.538699999999999</v>
      </c>
      <c r="P81" s="17">
        <v>40.034399999999998</v>
      </c>
      <c r="Q81" s="17">
        <v>39.022799999999997</v>
      </c>
      <c r="R81" s="17">
        <v>19.636199999999999</v>
      </c>
      <c r="S81" s="17">
        <v>30.796199999999999</v>
      </c>
      <c r="T81" s="17">
        <v>20.926200000000001</v>
      </c>
      <c r="U81" s="17">
        <v>39.781599999999997</v>
      </c>
      <c r="V81" s="17">
        <v>35.191099999999999</v>
      </c>
      <c r="W81" s="17">
        <v>27.811800000000002</v>
      </c>
      <c r="X81" s="34">
        <v>25.483599999999999</v>
      </c>
      <c r="Y81" s="17">
        <v>25.3262</v>
      </c>
      <c r="Z81" s="17">
        <v>20.0303</v>
      </c>
      <c r="AA81" s="17">
        <v>37.810200000000002</v>
      </c>
      <c r="AB81" s="17">
        <v>19.652799999999999</v>
      </c>
      <c r="AC81" s="17">
        <v>31.565999999999999</v>
      </c>
      <c r="AD81" s="17">
        <v>20.079899999999999</v>
      </c>
      <c r="AE81" s="17">
        <v>20.7393</v>
      </c>
      <c r="AF81" s="17">
        <v>20.7258</v>
      </c>
      <c r="AG81" s="17">
        <v>32.564100000000003</v>
      </c>
      <c r="AH81" s="17">
        <v>37.178899999999999</v>
      </c>
      <c r="AI81" s="17">
        <v>34.440399999999997</v>
      </c>
      <c r="AJ81" s="17">
        <v>20.702999999999999</v>
      </c>
      <c r="AK81" s="17">
        <v>21.2468</v>
      </c>
      <c r="AL81" s="17">
        <v>10.827400000000001</v>
      </c>
      <c r="AM81" s="17">
        <v>34.457599999999999</v>
      </c>
      <c r="AN81" s="17">
        <v>23.4422</v>
      </c>
      <c r="AO81" s="17">
        <v>21.666</v>
      </c>
      <c r="AP81" s="17">
        <v>38.832500000000003</v>
      </c>
      <c r="AQ81" s="85">
        <v>29.330500000000001</v>
      </c>
    </row>
    <row r="82" spans="1:43" x14ac:dyDescent="0.2">
      <c r="A82" s="34">
        <f t="shared" si="1"/>
        <v>62.764038461538448</v>
      </c>
      <c r="B82" s="17">
        <v>64</v>
      </c>
      <c r="C82" s="17">
        <v>26</v>
      </c>
      <c r="D82" s="34">
        <v>68.913200000000003</v>
      </c>
      <c r="E82" s="17">
        <v>70.308499999999995</v>
      </c>
      <c r="F82" s="17">
        <v>128.86009999999999</v>
      </c>
      <c r="G82" s="17">
        <v>82.894599999999997</v>
      </c>
      <c r="H82" s="17">
        <v>31.700700000000001</v>
      </c>
      <c r="I82" s="17">
        <v>125.789</v>
      </c>
      <c r="J82" s="17">
        <v>67.252099999999999</v>
      </c>
      <c r="K82" s="17">
        <v>58.847900000000003</v>
      </c>
      <c r="L82" s="17">
        <v>80.911000000000001</v>
      </c>
      <c r="M82" s="17">
        <v>102.56440000000001</v>
      </c>
      <c r="N82" s="17">
        <v>74.071700000000007</v>
      </c>
      <c r="O82" s="17">
        <v>52.605699999999999</v>
      </c>
      <c r="P82" s="17">
        <v>40.287199999999999</v>
      </c>
      <c r="Q82" s="17">
        <v>135.00210000000001</v>
      </c>
      <c r="R82" s="17">
        <v>70.300200000000004</v>
      </c>
      <c r="S82" s="17">
        <v>122.6524</v>
      </c>
      <c r="T82" s="17">
        <v>38.543199999999999</v>
      </c>
      <c r="U82" s="17">
        <v>43.471899999999998</v>
      </c>
      <c r="V82" s="17">
        <v>30.528199999999998</v>
      </c>
      <c r="W82" s="17">
        <v>28.345199999999998</v>
      </c>
      <c r="X82" s="34">
        <v>18.5547</v>
      </c>
      <c r="Y82" s="17">
        <v>33.131399999999999</v>
      </c>
      <c r="Z82" s="17">
        <v>59.400199999999998</v>
      </c>
      <c r="AA82" s="17">
        <v>28.125699999999998</v>
      </c>
      <c r="AB82" s="17">
        <v>25.3033</v>
      </c>
      <c r="AC82" s="17">
        <v>24.361799999999999</v>
      </c>
      <c r="AD82" s="17">
        <v>58.0518</v>
      </c>
      <c r="AE82" s="17">
        <v>17.4922</v>
      </c>
      <c r="AF82" s="17">
        <v>27.7714</v>
      </c>
      <c r="AG82" s="17">
        <v>20.6614</v>
      </c>
      <c r="AH82" s="17">
        <v>20.523399999999999</v>
      </c>
      <c r="AI82" s="17">
        <v>22.935700000000001</v>
      </c>
      <c r="AJ82" s="17">
        <v>14.4993</v>
      </c>
      <c r="AK82" s="17">
        <v>23.552499999999998</v>
      </c>
      <c r="AL82" s="17">
        <v>19.546399999999998</v>
      </c>
      <c r="AM82" s="17">
        <v>42.211599999999997</v>
      </c>
      <c r="AN82" s="17">
        <v>24.900400000000001</v>
      </c>
      <c r="AO82" s="17">
        <v>39.957500000000003</v>
      </c>
      <c r="AP82" s="17">
        <v>38.5242</v>
      </c>
      <c r="AQ82" s="85">
        <v>22.4163</v>
      </c>
    </row>
    <row r="83" spans="1:43" x14ac:dyDescent="0.2">
      <c r="A83" s="34">
        <f t="shared" si="1"/>
        <v>29.324234615384622</v>
      </c>
      <c r="B83" s="17">
        <v>66</v>
      </c>
      <c r="C83" s="17">
        <v>27</v>
      </c>
      <c r="D83" s="34">
        <v>62.478000000000002</v>
      </c>
      <c r="E83" s="17">
        <v>43.8142</v>
      </c>
      <c r="F83" s="17">
        <v>41.049300000000002</v>
      </c>
      <c r="G83" s="17">
        <v>22.320399999999999</v>
      </c>
      <c r="H83" s="17">
        <v>31.650300000000001</v>
      </c>
      <c r="I83" s="17">
        <v>36.599299999999999</v>
      </c>
      <c r="J83" s="17">
        <v>25.481100000000001</v>
      </c>
      <c r="K83" s="17">
        <v>27.9024</v>
      </c>
      <c r="L83" s="17">
        <v>33.347900000000003</v>
      </c>
      <c r="M83" s="17">
        <v>25.715299999999999</v>
      </c>
      <c r="N83" s="17">
        <v>41.035800000000002</v>
      </c>
      <c r="O83" s="17">
        <v>36.6511</v>
      </c>
      <c r="P83" s="17">
        <v>22.904299999999999</v>
      </c>
      <c r="Q83" s="17">
        <v>30.581199999999999</v>
      </c>
      <c r="R83" s="17">
        <v>25.025700000000001</v>
      </c>
      <c r="S83" s="17">
        <v>57.631300000000003</v>
      </c>
      <c r="T83" s="17">
        <v>33.752800000000001</v>
      </c>
      <c r="U83" s="17">
        <v>39.698900000000002</v>
      </c>
      <c r="V83" s="17">
        <v>36.234900000000003</v>
      </c>
      <c r="W83" s="17">
        <v>26.204499999999999</v>
      </c>
      <c r="X83" s="34">
        <v>21.450600000000001</v>
      </c>
      <c r="Y83" s="17">
        <v>13.515499999999999</v>
      </c>
      <c r="Z83" s="17">
        <v>20.413799999999998</v>
      </c>
      <c r="AA83" s="17">
        <v>12.704700000000001</v>
      </c>
      <c r="AB83" s="17">
        <v>23.701799999999999</v>
      </c>
      <c r="AC83" s="17">
        <v>15.6937</v>
      </c>
      <c r="AD83" s="17">
        <v>17.349299999999999</v>
      </c>
      <c r="AE83" s="17">
        <v>10.550599999999999</v>
      </c>
      <c r="AF83" s="17">
        <v>16.875</v>
      </c>
      <c r="AG83" s="17">
        <v>17.230499999999999</v>
      </c>
      <c r="AH83" s="17">
        <v>16.388500000000001</v>
      </c>
      <c r="AI83" s="17">
        <v>37.4572</v>
      </c>
      <c r="AJ83" s="17">
        <v>12.2727</v>
      </c>
      <c r="AK83" s="17">
        <v>22.250800000000002</v>
      </c>
      <c r="AL83" s="17">
        <v>8.4456000000000007</v>
      </c>
      <c r="AM83" s="17">
        <v>23.449200000000001</v>
      </c>
      <c r="AN83" s="17">
        <v>16.8779</v>
      </c>
      <c r="AO83" s="17">
        <v>21.7987</v>
      </c>
      <c r="AP83" s="17">
        <v>19.392199999999999</v>
      </c>
      <c r="AQ83" s="85">
        <v>10.7784</v>
      </c>
    </row>
    <row r="84" spans="1:43" x14ac:dyDescent="0.2">
      <c r="A84" s="34">
        <f t="shared" si="1"/>
        <v>19.97655769230769</v>
      </c>
      <c r="B84" s="17">
        <v>68</v>
      </c>
      <c r="C84" s="17">
        <v>28</v>
      </c>
      <c r="D84" s="34">
        <v>10.055400000000001</v>
      </c>
      <c r="E84" s="17">
        <v>18.4422</v>
      </c>
      <c r="F84" s="17">
        <v>10.6601</v>
      </c>
      <c r="G84" s="17">
        <v>12.945499999999999</v>
      </c>
      <c r="H84" s="17">
        <v>12.168699999999999</v>
      </c>
      <c r="I84" s="17">
        <v>28.749199999999998</v>
      </c>
      <c r="J84" s="17">
        <v>45.982199999999999</v>
      </c>
      <c r="K84" s="17">
        <v>26.041499999999999</v>
      </c>
      <c r="L84" s="17">
        <v>22.947099999999999</v>
      </c>
      <c r="M84" s="17">
        <v>15.553699999999999</v>
      </c>
      <c r="N84" s="17">
        <v>23.215399999999999</v>
      </c>
      <c r="O84" s="17">
        <v>17.960699999999999</v>
      </c>
      <c r="P84" s="17">
        <v>13.6555</v>
      </c>
      <c r="Q84" s="17">
        <v>30.220600000000001</v>
      </c>
      <c r="R84" s="17">
        <v>30.775300000000001</v>
      </c>
      <c r="S84" s="17">
        <v>14.4099</v>
      </c>
      <c r="T84" s="17">
        <v>29.8065</v>
      </c>
      <c r="U84" s="17">
        <v>17.278300000000002</v>
      </c>
      <c r="V84" s="17">
        <v>15.483000000000001</v>
      </c>
      <c r="W84" s="17">
        <v>19.342199999999998</v>
      </c>
      <c r="X84" s="34">
        <v>22.823599999999999</v>
      </c>
      <c r="Y84" s="17">
        <v>12.8851</v>
      </c>
      <c r="Z84" s="17">
        <v>11.513500000000001</v>
      </c>
      <c r="AA84" s="17">
        <v>16.913399999999999</v>
      </c>
      <c r="AB84" s="17">
        <v>21.773800000000001</v>
      </c>
      <c r="AC84" s="17">
        <v>10.6755</v>
      </c>
      <c r="AD84" s="17">
        <v>17.167999999999999</v>
      </c>
      <c r="AE84" s="17">
        <v>18.319500000000001</v>
      </c>
      <c r="AF84" s="17">
        <v>14.0382</v>
      </c>
      <c r="AG84" s="17">
        <v>13.375999999999999</v>
      </c>
      <c r="AH84" s="17">
        <v>18.639600000000002</v>
      </c>
      <c r="AI84" s="17">
        <v>16.408000000000001</v>
      </c>
      <c r="AJ84" s="17">
        <v>10.7966</v>
      </c>
      <c r="AK84" s="17">
        <v>24.890799999999999</v>
      </c>
      <c r="AL84" s="17">
        <v>14.2966</v>
      </c>
      <c r="AM84" s="17">
        <v>12.055199999999999</v>
      </c>
      <c r="AN84" s="17">
        <v>31.904599999999999</v>
      </c>
      <c r="AO84" s="17">
        <v>12.2936</v>
      </c>
      <c r="AP84" s="17">
        <v>13.020200000000001</v>
      </c>
      <c r="AQ84" s="85">
        <v>15.7575</v>
      </c>
    </row>
    <row r="85" spans="1:43" x14ac:dyDescent="0.2">
      <c r="A85" s="34">
        <f t="shared" si="1"/>
        <v>21.740930769230772</v>
      </c>
      <c r="B85" s="17">
        <v>71</v>
      </c>
      <c r="C85" s="17">
        <v>29</v>
      </c>
      <c r="D85" s="34">
        <v>35.966700000000003</v>
      </c>
      <c r="E85" s="17">
        <v>31.677600000000002</v>
      </c>
      <c r="F85" s="17">
        <v>15.136100000000001</v>
      </c>
      <c r="G85" s="17">
        <v>18.8048</v>
      </c>
      <c r="H85" s="17">
        <v>18.237500000000001</v>
      </c>
      <c r="I85" s="17">
        <v>18.579599999999999</v>
      </c>
      <c r="J85" s="17">
        <v>15.712899999999999</v>
      </c>
      <c r="K85" s="17">
        <v>28.776299999999999</v>
      </c>
      <c r="L85" s="17">
        <v>19.600200000000001</v>
      </c>
      <c r="M85" s="17">
        <v>30.1538</v>
      </c>
      <c r="N85" s="17">
        <v>28.3826</v>
      </c>
      <c r="O85" s="17">
        <v>27.701599999999999</v>
      </c>
      <c r="P85" s="17">
        <v>17.690200000000001</v>
      </c>
      <c r="Q85" s="17">
        <v>28.642600000000002</v>
      </c>
      <c r="R85" s="17">
        <v>21.499099999999999</v>
      </c>
      <c r="S85" s="17">
        <v>29.803699999999999</v>
      </c>
      <c r="T85" s="17">
        <v>20.947299999999998</v>
      </c>
      <c r="U85" s="17">
        <v>17.4437</v>
      </c>
      <c r="V85" s="17">
        <v>18.399799999999999</v>
      </c>
      <c r="W85" s="17">
        <v>14.0877</v>
      </c>
      <c r="X85" s="34">
        <v>18.5823</v>
      </c>
      <c r="Y85" s="17">
        <v>16.6675</v>
      </c>
      <c r="Z85" s="17">
        <v>21.219000000000001</v>
      </c>
      <c r="AA85" s="17">
        <v>27.4391</v>
      </c>
      <c r="AB85" s="17">
        <v>20.578199999999999</v>
      </c>
      <c r="AC85" s="17">
        <v>23.179600000000001</v>
      </c>
      <c r="AD85" s="17">
        <v>16.321400000000001</v>
      </c>
      <c r="AE85" s="17">
        <v>16.8567</v>
      </c>
      <c r="AF85" s="17">
        <v>16.248899999999999</v>
      </c>
      <c r="AG85" s="17">
        <v>22.571400000000001</v>
      </c>
      <c r="AH85" s="17">
        <v>17.449000000000002</v>
      </c>
      <c r="AI85" s="17">
        <v>14.0997</v>
      </c>
      <c r="AJ85" s="17">
        <v>15.8605</v>
      </c>
      <c r="AK85" s="17">
        <v>18.017499999999998</v>
      </c>
      <c r="AL85" s="17">
        <v>18.0139</v>
      </c>
      <c r="AM85" s="17">
        <v>17.561900000000001</v>
      </c>
      <c r="AN85" s="17">
        <v>22.890499999999999</v>
      </c>
      <c r="AO85" s="17">
        <v>22.630800000000001</v>
      </c>
      <c r="AP85" s="17">
        <v>22.82</v>
      </c>
      <c r="AQ85" s="85">
        <v>23.343</v>
      </c>
    </row>
    <row r="86" spans="1:43" x14ac:dyDescent="0.2">
      <c r="A86" s="34">
        <f t="shared" si="1"/>
        <v>35.250834615384619</v>
      </c>
      <c r="B86" s="17">
        <v>73</v>
      </c>
      <c r="C86" s="17">
        <v>30</v>
      </c>
      <c r="D86" s="34">
        <v>56.396799999999999</v>
      </c>
      <c r="E86" s="17">
        <v>42.002400000000002</v>
      </c>
      <c r="F86" s="17">
        <v>59.676200000000001</v>
      </c>
      <c r="G86" s="17">
        <v>26.3735</v>
      </c>
      <c r="H86" s="17">
        <v>55.672199999999997</v>
      </c>
      <c r="I86" s="17">
        <v>62.605200000000004</v>
      </c>
      <c r="J86" s="17">
        <v>23.985499999999998</v>
      </c>
      <c r="K86" s="17">
        <v>35.8506</v>
      </c>
      <c r="L86" s="17">
        <v>53.582900000000002</v>
      </c>
      <c r="M86" s="17">
        <v>18.8032</v>
      </c>
      <c r="N86" s="17">
        <v>38.292700000000004</v>
      </c>
      <c r="O86" s="17">
        <v>45.773000000000003</v>
      </c>
      <c r="P86" s="17">
        <v>24.691800000000001</v>
      </c>
      <c r="Q86" s="17">
        <v>89.087800000000001</v>
      </c>
      <c r="R86" s="17">
        <v>23.5077</v>
      </c>
      <c r="S86" s="17">
        <v>37.803100000000001</v>
      </c>
      <c r="T86" s="17">
        <v>26.055700000000002</v>
      </c>
      <c r="U86" s="17">
        <v>46.936999999999998</v>
      </c>
      <c r="V86" s="17">
        <v>25.113</v>
      </c>
      <c r="W86" s="17">
        <v>18.532399999999999</v>
      </c>
      <c r="X86" s="34">
        <v>18.099900000000002</v>
      </c>
      <c r="Y86" s="17">
        <v>27.326599999999999</v>
      </c>
      <c r="Z86" s="17">
        <v>32.4816</v>
      </c>
      <c r="AA86" s="17">
        <v>27.346299999999999</v>
      </c>
      <c r="AB86" s="17">
        <v>18.991499999999998</v>
      </c>
      <c r="AC86" s="17">
        <v>16.037800000000001</v>
      </c>
      <c r="AD86" s="17">
        <v>21.892099999999999</v>
      </c>
      <c r="AE86" s="17">
        <v>11.521599999999999</v>
      </c>
      <c r="AF86" s="17">
        <v>17.675699999999999</v>
      </c>
      <c r="AG86" s="17">
        <v>13.826599999999999</v>
      </c>
      <c r="AH86" s="17">
        <v>13.3165</v>
      </c>
      <c r="AI86" s="17">
        <v>29.3248</v>
      </c>
      <c r="AJ86" s="17">
        <v>13.3308</v>
      </c>
      <c r="AK86" s="17">
        <v>36.487200000000001</v>
      </c>
      <c r="AL86" s="17">
        <v>18.2867</v>
      </c>
      <c r="AM86" s="17">
        <v>29.1021</v>
      </c>
      <c r="AN86" s="17">
        <v>8.5620999999999992</v>
      </c>
      <c r="AO86" s="17">
        <v>11.635</v>
      </c>
      <c r="AP86" s="17">
        <v>32.1248</v>
      </c>
      <c r="AQ86" s="85">
        <v>13.289300000000001</v>
      </c>
    </row>
    <row r="87" spans="1:43" x14ac:dyDescent="0.2">
      <c r="A87" s="34">
        <f t="shared" si="1"/>
        <v>27.736119230769241</v>
      </c>
      <c r="B87" s="17">
        <v>76</v>
      </c>
      <c r="C87" s="17">
        <v>31</v>
      </c>
      <c r="D87" s="34">
        <v>29.880199999999999</v>
      </c>
      <c r="E87" s="17">
        <v>51.9011</v>
      </c>
      <c r="F87" s="17">
        <v>20.648499999999999</v>
      </c>
      <c r="G87" s="17">
        <v>22.446400000000001</v>
      </c>
      <c r="H87" s="17">
        <v>20.558399999999999</v>
      </c>
      <c r="I87" s="17">
        <v>36.748800000000003</v>
      </c>
      <c r="J87" s="17">
        <v>25.1328</v>
      </c>
      <c r="K87" s="17">
        <v>26.485099999999999</v>
      </c>
      <c r="L87" s="17">
        <v>45.384700000000002</v>
      </c>
      <c r="M87" s="17">
        <v>33.128599999999999</v>
      </c>
      <c r="N87" s="17">
        <v>34.573700000000002</v>
      </c>
      <c r="O87" s="17">
        <v>18.851800000000001</v>
      </c>
      <c r="P87" s="17">
        <v>38.323999999999998</v>
      </c>
      <c r="Q87" s="17">
        <v>43.573999999999998</v>
      </c>
      <c r="R87" s="17">
        <v>23.2379</v>
      </c>
      <c r="S87" s="17">
        <v>53.489100000000001</v>
      </c>
      <c r="T87" s="17">
        <v>15.6868</v>
      </c>
      <c r="U87" s="17">
        <v>16.906500000000001</v>
      </c>
      <c r="V87" s="17">
        <v>15.3561</v>
      </c>
      <c r="W87" s="17">
        <v>20.363099999999999</v>
      </c>
      <c r="X87" s="34">
        <v>22.047899999999998</v>
      </c>
      <c r="Y87" s="17">
        <v>34.407899999999998</v>
      </c>
      <c r="Z87" s="17">
        <v>25.714400000000001</v>
      </c>
      <c r="AA87" s="17">
        <v>15.5815</v>
      </c>
      <c r="AB87" s="17">
        <v>18.301300000000001</v>
      </c>
      <c r="AC87" s="17">
        <v>24.404299999999999</v>
      </c>
      <c r="AD87" s="17">
        <v>17.884399999999999</v>
      </c>
      <c r="AE87" s="17">
        <v>21.311699999999998</v>
      </c>
      <c r="AF87" s="17">
        <v>15.845800000000001</v>
      </c>
      <c r="AG87" s="17">
        <v>24.2362</v>
      </c>
      <c r="AH87" s="17">
        <v>37.886499999999998</v>
      </c>
      <c r="AI87" s="17">
        <v>23.5976</v>
      </c>
      <c r="AJ87" s="17">
        <v>15.6357</v>
      </c>
      <c r="AK87" s="17">
        <v>18.447299999999998</v>
      </c>
      <c r="AL87" s="17">
        <v>11.798500000000001</v>
      </c>
      <c r="AM87" s="17">
        <v>14.0259</v>
      </c>
      <c r="AN87" s="17">
        <v>21.431699999999999</v>
      </c>
      <c r="AO87" s="17">
        <v>17.334</v>
      </c>
      <c r="AP87" s="17">
        <v>25.670400000000001</v>
      </c>
      <c r="AQ87" s="85">
        <v>15.2281</v>
      </c>
    </row>
    <row r="88" spans="1:43" x14ac:dyDescent="0.2">
      <c r="A88" s="34">
        <f t="shared" si="1"/>
        <v>23.235076923076921</v>
      </c>
      <c r="B88" s="17">
        <v>77</v>
      </c>
      <c r="C88" s="17">
        <v>32</v>
      </c>
      <c r="D88" s="34">
        <v>24.5444</v>
      </c>
      <c r="E88" s="17">
        <v>38.790599999999998</v>
      </c>
      <c r="F88" s="17">
        <v>31.568000000000001</v>
      </c>
      <c r="G88" s="17">
        <v>17.377199999999998</v>
      </c>
      <c r="H88" s="17">
        <v>19.626999999999999</v>
      </c>
      <c r="I88" s="17">
        <v>47.050800000000002</v>
      </c>
      <c r="J88" s="17">
        <v>15.869300000000001</v>
      </c>
      <c r="K88" s="17">
        <v>20.139500000000002</v>
      </c>
      <c r="L88" s="17">
        <v>32.503300000000003</v>
      </c>
      <c r="M88" s="17">
        <v>28.932300000000001</v>
      </c>
      <c r="N88" s="17">
        <v>23.880700000000001</v>
      </c>
      <c r="O88" s="17">
        <v>19.366499999999998</v>
      </c>
      <c r="P88" s="17">
        <v>13.6313</v>
      </c>
      <c r="Q88" s="17">
        <v>11.2807</v>
      </c>
      <c r="R88" s="17">
        <v>32.217399999999998</v>
      </c>
      <c r="S88" s="17">
        <v>20.027999999999999</v>
      </c>
      <c r="T88" s="17">
        <v>13.577299999999999</v>
      </c>
      <c r="U88" s="17">
        <v>36.276299999999999</v>
      </c>
      <c r="V88" s="17">
        <v>21.059699999999999</v>
      </c>
      <c r="W88" s="17">
        <v>32.184699999999999</v>
      </c>
      <c r="X88" s="34">
        <v>22.1114</v>
      </c>
      <c r="Y88" s="17">
        <v>16.878699999999998</v>
      </c>
      <c r="Z88" s="17">
        <v>19.4209</v>
      </c>
      <c r="AA88" s="17">
        <v>15.5024</v>
      </c>
      <c r="AB88" s="17">
        <v>8.5129000000000001</v>
      </c>
      <c r="AC88" s="17">
        <v>25.527200000000001</v>
      </c>
      <c r="AD88" s="17">
        <v>20.797899999999998</v>
      </c>
      <c r="AE88" s="17">
        <v>19.298400000000001</v>
      </c>
      <c r="AF88" s="17">
        <v>12.9443</v>
      </c>
      <c r="AG88" s="17">
        <v>19.469799999999999</v>
      </c>
      <c r="AH88" s="17">
        <v>17.527899999999999</v>
      </c>
      <c r="AI88" s="17">
        <v>12.5373</v>
      </c>
      <c r="AJ88" s="17">
        <v>17.690799999999999</v>
      </c>
      <c r="AK88" s="17">
        <v>5.7043999999999997</v>
      </c>
      <c r="AL88" s="17">
        <v>18.299800000000001</v>
      </c>
      <c r="AM88" s="17">
        <v>15.367900000000001</v>
      </c>
      <c r="AN88" s="17">
        <v>14.133699999999999</v>
      </c>
      <c r="AO88" s="17">
        <v>30.953700000000001</v>
      </c>
      <c r="AP88" s="17">
        <v>15.493600000000001</v>
      </c>
      <c r="AQ88" s="85">
        <v>20.976800000000001</v>
      </c>
    </row>
    <row r="89" spans="1:43" x14ac:dyDescent="0.2">
      <c r="A89" s="34">
        <f t="shared" si="1"/>
        <v>42.900038461538458</v>
      </c>
      <c r="B89" s="17">
        <v>79</v>
      </c>
      <c r="C89" s="17">
        <v>33</v>
      </c>
      <c r="D89" s="34">
        <v>67.424899999999994</v>
      </c>
      <c r="E89" s="17">
        <v>49.444699999999997</v>
      </c>
      <c r="F89" s="17">
        <v>32.5886</v>
      </c>
      <c r="G89" s="17">
        <v>37.384700000000002</v>
      </c>
      <c r="H89" s="17">
        <v>61.199800000000003</v>
      </c>
      <c r="I89" s="17">
        <v>104.8249</v>
      </c>
      <c r="J89" s="17">
        <v>28.750599999999999</v>
      </c>
      <c r="K89" s="17">
        <v>23.708100000000002</v>
      </c>
      <c r="L89" s="17">
        <v>35.491100000000003</v>
      </c>
      <c r="M89" s="17">
        <v>50.442</v>
      </c>
      <c r="N89" s="17">
        <v>113.6987</v>
      </c>
      <c r="O89" s="17">
        <v>40.029400000000003</v>
      </c>
      <c r="P89" s="17">
        <v>61.097900000000003</v>
      </c>
      <c r="Q89" s="17">
        <v>48.515999999999998</v>
      </c>
      <c r="R89" s="17">
        <v>41.128599999999999</v>
      </c>
      <c r="S89" s="17">
        <v>51.740200000000002</v>
      </c>
      <c r="T89" s="17">
        <v>28.936800000000002</v>
      </c>
      <c r="U89" s="17">
        <v>52.764699999999998</v>
      </c>
      <c r="V89" s="17">
        <v>27.024799999999999</v>
      </c>
      <c r="W89" s="17">
        <v>37.100499999999997</v>
      </c>
      <c r="X89" s="34">
        <v>36.813499999999998</v>
      </c>
      <c r="Y89" s="17">
        <v>43.014400000000002</v>
      </c>
      <c r="Z89" s="17">
        <v>14.8233</v>
      </c>
      <c r="AA89" s="17">
        <v>13.696199999999999</v>
      </c>
      <c r="AB89" s="17">
        <v>30.56</v>
      </c>
      <c r="AC89" s="17">
        <v>26.142900000000001</v>
      </c>
      <c r="AD89" s="17">
        <v>24.4786</v>
      </c>
      <c r="AE89" s="17">
        <v>17.398499999999999</v>
      </c>
      <c r="AF89" s="17">
        <v>17.2882</v>
      </c>
      <c r="AG89" s="17">
        <v>18.462399999999999</v>
      </c>
      <c r="AH89" s="17">
        <v>27.917999999999999</v>
      </c>
      <c r="AI89" s="17">
        <v>53.758000000000003</v>
      </c>
      <c r="AJ89" s="17">
        <v>13.747199999999999</v>
      </c>
      <c r="AK89" s="17">
        <v>14.7844</v>
      </c>
      <c r="AL89" s="17">
        <v>16.081499999999998</v>
      </c>
      <c r="AM89" s="17">
        <v>22.818200000000001</v>
      </c>
      <c r="AN89" s="17">
        <v>23.285399999999999</v>
      </c>
      <c r="AO89" s="17">
        <v>22.6891</v>
      </c>
      <c r="AP89" s="17">
        <v>39.387900000000002</v>
      </c>
      <c r="AQ89" s="85">
        <v>11.3657</v>
      </c>
    </row>
    <row r="90" spans="1:43" x14ac:dyDescent="0.2">
      <c r="A90" s="34">
        <f t="shared" si="1"/>
        <v>21.282165384615389</v>
      </c>
      <c r="B90" s="17">
        <v>81</v>
      </c>
      <c r="C90" s="17">
        <v>34</v>
      </c>
      <c r="D90" s="34">
        <v>16.4313</v>
      </c>
      <c r="E90" s="17">
        <v>25.1252</v>
      </c>
      <c r="F90" s="17">
        <v>15.466699999999999</v>
      </c>
      <c r="G90" s="17">
        <v>22.151199999999999</v>
      </c>
      <c r="H90" s="17">
        <v>32.464300000000001</v>
      </c>
      <c r="I90" s="17">
        <v>31.873699999999999</v>
      </c>
      <c r="J90" s="17">
        <v>29.241199999999999</v>
      </c>
      <c r="K90" s="17">
        <v>17.923999999999999</v>
      </c>
      <c r="L90" s="17">
        <v>20.071400000000001</v>
      </c>
      <c r="M90" s="17">
        <v>27.369700000000002</v>
      </c>
      <c r="N90" s="17">
        <v>22.8767</v>
      </c>
      <c r="O90" s="17">
        <v>26.441500000000001</v>
      </c>
      <c r="P90" s="17">
        <v>26.667100000000001</v>
      </c>
      <c r="Q90" s="17">
        <v>16.885100000000001</v>
      </c>
      <c r="R90" s="17">
        <v>22.524799999999999</v>
      </c>
      <c r="S90" s="17">
        <v>12.35</v>
      </c>
      <c r="T90" s="17">
        <v>28.233000000000001</v>
      </c>
      <c r="U90" s="17">
        <v>14.3437</v>
      </c>
      <c r="V90" s="17">
        <v>18.5167</v>
      </c>
      <c r="W90" s="17">
        <v>17.594000000000001</v>
      </c>
      <c r="X90" s="34">
        <v>17.5364</v>
      </c>
      <c r="Y90" s="17">
        <v>17.4193</v>
      </c>
      <c r="Z90" s="17">
        <v>15.4574</v>
      </c>
      <c r="AA90" s="17">
        <v>19.732700000000001</v>
      </c>
      <c r="AB90" s="17">
        <v>28.9285</v>
      </c>
      <c r="AC90" s="17">
        <v>13.3842</v>
      </c>
      <c r="AD90" s="17">
        <v>12.7578</v>
      </c>
      <c r="AE90" s="17">
        <v>16.7499</v>
      </c>
      <c r="AF90" s="17">
        <v>24.389099999999999</v>
      </c>
      <c r="AG90" s="17">
        <v>13.9702</v>
      </c>
      <c r="AH90" s="17">
        <v>25.7254</v>
      </c>
      <c r="AI90" s="17">
        <v>47.768099999999997</v>
      </c>
      <c r="AJ90" s="17">
        <v>19.860399999999998</v>
      </c>
      <c r="AK90" s="17">
        <v>12.1714</v>
      </c>
      <c r="AL90" s="17">
        <v>8.4469999999999992</v>
      </c>
      <c r="AM90" s="17">
        <v>14.8437</v>
      </c>
      <c r="AN90" s="17">
        <v>27.6663</v>
      </c>
      <c r="AO90" s="17">
        <v>12.9443</v>
      </c>
      <c r="AP90" s="17">
        <v>11.3444</v>
      </c>
      <c r="AQ90" s="85">
        <v>13.7742</v>
      </c>
    </row>
    <row r="91" spans="1:43" x14ac:dyDescent="0.2">
      <c r="A91" s="34">
        <f t="shared" si="1"/>
        <v>22.38671153846154</v>
      </c>
      <c r="B91" s="17">
        <v>83</v>
      </c>
      <c r="C91" s="17">
        <v>35</v>
      </c>
      <c r="D91" s="34">
        <v>18.854500000000002</v>
      </c>
      <c r="E91" s="17">
        <v>18.531600000000001</v>
      </c>
      <c r="F91" s="17">
        <v>18.165500000000002</v>
      </c>
      <c r="G91" s="17">
        <v>26.146699999999999</v>
      </c>
      <c r="H91" s="17">
        <v>18.215399999999999</v>
      </c>
      <c r="I91" s="17">
        <v>47.055500000000002</v>
      </c>
      <c r="J91" s="17">
        <v>35.945500000000003</v>
      </c>
      <c r="K91" s="17">
        <v>21.1783</v>
      </c>
      <c r="L91" s="17">
        <v>27.7424</v>
      </c>
      <c r="M91" s="17">
        <v>20.960899999999999</v>
      </c>
      <c r="N91" s="17">
        <v>24.087599999999998</v>
      </c>
      <c r="O91" s="17">
        <v>28.543299999999999</v>
      </c>
      <c r="P91" s="17">
        <v>17.7318</v>
      </c>
      <c r="Q91" s="17">
        <v>20.177800000000001</v>
      </c>
      <c r="R91" s="17">
        <v>23.1736</v>
      </c>
      <c r="S91" s="17">
        <v>37.804499999999997</v>
      </c>
      <c r="T91" s="17">
        <v>23.094200000000001</v>
      </c>
      <c r="U91" s="17">
        <v>31.626300000000001</v>
      </c>
      <c r="V91" s="17">
        <v>13.7029</v>
      </c>
      <c r="W91" s="17">
        <v>12.375299999999999</v>
      </c>
      <c r="X91" s="34">
        <v>12.777799999999999</v>
      </c>
      <c r="Y91" s="17">
        <v>15.890499999999999</v>
      </c>
      <c r="Z91" s="17">
        <v>20.464300000000001</v>
      </c>
      <c r="AA91" s="17">
        <v>8.0314999999999994</v>
      </c>
      <c r="AB91" s="17">
        <v>11.219900000000001</v>
      </c>
      <c r="AC91" s="17">
        <v>24.746500000000001</v>
      </c>
      <c r="AD91" s="17">
        <v>22.664899999999999</v>
      </c>
      <c r="AE91" s="17">
        <v>15.3306</v>
      </c>
      <c r="AF91" s="17">
        <v>14.857200000000001</v>
      </c>
      <c r="AG91" s="17">
        <v>9.8116000000000003</v>
      </c>
      <c r="AH91" s="17">
        <v>15.4381</v>
      </c>
      <c r="AI91" s="17">
        <v>14.147</v>
      </c>
      <c r="AJ91" s="17">
        <v>8.5798000000000005</v>
      </c>
      <c r="AK91" s="17">
        <v>15.749700000000001</v>
      </c>
      <c r="AL91" s="17">
        <v>14.5153</v>
      </c>
      <c r="AM91" s="17">
        <v>15.8093</v>
      </c>
      <c r="AN91" s="17">
        <v>16.285900000000002</v>
      </c>
      <c r="AO91" s="17">
        <v>26.5015</v>
      </c>
      <c r="AP91" s="17">
        <v>11.6289</v>
      </c>
      <c r="AQ91" s="85">
        <v>10.2768</v>
      </c>
    </row>
    <row r="92" spans="1:43" x14ac:dyDescent="0.2">
      <c r="A92" s="34">
        <f t="shared" si="1"/>
        <v>38.770492307692301</v>
      </c>
      <c r="B92" s="17">
        <v>90</v>
      </c>
      <c r="C92" s="17">
        <v>36</v>
      </c>
      <c r="D92" s="34">
        <v>43.672699999999999</v>
      </c>
      <c r="E92" s="17">
        <v>63.950899999999997</v>
      </c>
      <c r="F92" s="17">
        <v>48.601100000000002</v>
      </c>
      <c r="G92" s="17">
        <v>27.488600000000002</v>
      </c>
      <c r="H92" s="17">
        <v>23.123100000000001</v>
      </c>
      <c r="I92" s="17">
        <v>41.484000000000002</v>
      </c>
      <c r="J92" s="17">
        <v>38.8782</v>
      </c>
      <c r="K92" s="17">
        <v>30.7515</v>
      </c>
      <c r="L92" s="17">
        <v>51.867100000000001</v>
      </c>
      <c r="M92" s="17">
        <v>74.564599999999999</v>
      </c>
      <c r="N92" s="17">
        <v>42.177599999999998</v>
      </c>
      <c r="O92" s="17">
        <v>31.055299999999999</v>
      </c>
      <c r="P92" s="17">
        <v>41.0854</v>
      </c>
      <c r="Q92" s="17">
        <v>52.297899999999998</v>
      </c>
      <c r="R92" s="17">
        <v>35.059800000000003</v>
      </c>
      <c r="S92" s="17">
        <v>49.984699999999997</v>
      </c>
      <c r="T92" s="17">
        <v>30.8626</v>
      </c>
      <c r="U92" s="17">
        <v>41.880899999999997</v>
      </c>
      <c r="V92" s="17">
        <v>102.7098</v>
      </c>
      <c r="W92" s="17">
        <v>65.020600000000002</v>
      </c>
      <c r="X92" s="34">
        <v>21.552700000000002</v>
      </c>
      <c r="Y92" s="17">
        <v>12.9793</v>
      </c>
      <c r="Z92" s="17">
        <v>21.151</v>
      </c>
      <c r="AA92" s="17">
        <v>14.9696</v>
      </c>
      <c r="AB92" s="17">
        <v>11.7372</v>
      </c>
      <c r="AC92" s="17">
        <v>15.6408</v>
      </c>
      <c r="AD92" s="17">
        <v>17.1585</v>
      </c>
      <c r="AE92" s="17">
        <v>16.349799999999998</v>
      </c>
      <c r="AF92" s="17">
        <v>12.474500000000001</v>
      </c>
      <c r="AG92" s="17">
        <v>14.8881</v>
      </c>
      <c r="AH92" s="17">
        <v>19.370999999999999</v>
      </c>
      <c r="AI92" s="17">
        <v>16.1693</v>
      </c>
      <c r="AJ92" s="17">
        <v>9.9220000000000006</v>
      </c>
      <c r="AK92" s="17">
        <v>21.633900000000001</v>
      </c>
      <c r="AL92" s="17">
        <v>10.2309</v>
      </c>
      <c r="AM92" s="17">
        <v>15.248200000000001</v>
      </c>
      <c r="AN92" s="17">
        <v>13.058199999999999</v>
      </c>
      <c r="AO92" s="17">
        <v>19.3108</v>
      </c>
      <c r="AP92" s="17">
        <v>10.9191</v>
      </c>
      <c r="AQ92" s="85">
        <v>37.154600000000002</v>
      </c>
    </row>
    <row r="93" spans="1:43" x14ac:dyDescent="0.2">
      <c r="A93" s="34">
        <f t="shared" si="1"/>
        <v>25.63342307692308</v>
      </c>
      <c r="B93" s="17">
        <v>92</v>
      </c>
      <c r="C93" s="17">
        <v>37</v>
      </c>
      <c r="D93" s="34">
        <v>34.1569</v>
      </c>
      <c r="E93" s="17">
        <v>31.577000000000002</v>
      </c>
      <c r="F93" s="17">
        <v>18.290800000000001</v>
      </c>
      <c r="G93" s="17">
        <v>15.023199999999999</v>
      </c>
      <c r="H93" s="17">
        <v>32.533299999999997</v>
      </c>
      <c r="I93" s="17">
        <v>39.258099999999999</v>
      </c>
      <c r="J93" s="17">
        <v>20.167100000000001</v>
      </c>
      <c r="K93" s="17">
        <v>12.7669</v>
      </c>
      <c r="L93" s="17">
        <v>35.414299999999997</v>
      </c>
      <c r="M93" s="17">
        <v>30.372399999999999</v>
      </c>
      <c r="N93" s="17">
        <v>46.622900000000001</v>
      </c>
      <c r="O93" s="17">
        <v>27.464300000000001</v>
      </c>
      <c r="P93" s="17">
        <v>57.292999999999999</v>
      </c>
      <c r="Q93" s="17">
        <v>21.498699999999999</v>
      </c>
      <c r="R93" s="17">
        <v>23.785</v>
      </c>
      <c r="S93" s="17">
        <v>39.369999999999997</v>
      </c>
      <c r="T93" s="17">
        <v>18.282499999999999</v>
      </c>
      <c r="U93" s="17">
        <v>27.7667</v>
      </c>
      <c r="V93" s="17">
        <v>23.125499999999999</v>
      </c>
      <c r="W93" s="17">
        <v>22.695499999999999</v>
      </c>
      <c r="X93" s="34">
        <v>11.3537</v>
      </c>
      <c r="Y93" s="17">
        <v>33.2151</v>
      </c>
      <c r="Z93" s="17">
        <v>14.1629</v>
      </c>
      <c r="AA93" s="17">
        <v>18.163499999999999</v>
      </c>
      <c r="AB93" s="17">
        <v>13.4267</v>
      </c>
      <c r="AC93" s="17">
        <v>16.258800000000001</v>
      </c>
      <c r="AD93" s="17">
        <v>16.581099999999999</v>
      </c>
      <c r="AE93" s="17">
        <v>19.3568</v>
      </c>
      <c r="AF93" s="17">
        <v>16.474799999999998</v>
      </c>
      <c r="AG93" s="17">
        <v>25.109300000000001</v>
      </c>
      <c r="AH93" s="17">
        <v>17.066299999999998</v>
      </c>
      <c r="AI93" s="17">
        <v>19.913399999999999</v>
      </c>
      <c r="AJ93" s="17">
        <v>14.507400000000001</v>
      </c>
      <c r="AK93" s="17">
        <v>20.515599999999999</v>
      </c>
      <c r="AL93" s="17">
        <v>19.941800000000001</v>
      </c>
      <c r="AM93" s="17">
        <v>23.7578</v>
      </c>
      <c r="AN93" s="17">
        <v>23.346499999999999</v>
      </c>
      <c r="AO93" s="17">
        <v>15.106199999999999</v>
      </c>
      <c r="AP93" s="17">
        <v>10.047000000000001</v>
      </c>
      <c r="AQ93" s="85">
        <v>11.314299999999999</v>
      </c>
    </row>
    <row r="94" spans="1:43" x14ac:dyDescent="0.2">
      <c r="A94" s="34">
        <f t="shared" si="1"/>
        <v>23.482976923076926</v>
      </c>
      <c r="B94" s="17">
        <v>97</v>
      </c>
      <c r="C94" s="17">
        <v>38</v>
      </c>
      <c r="D94" s="34">
        <v>19.672499999999999</v>
      </c>
      <c r="E94" s="17">
        <v>37.361199999999997</v>
      </c>
      <c r="F94" s="17">
        <v>21.155100000000001</v>
      </c>
      <c r="G94" s="17">
        <v>24.975000000000001</v>
      </c>
      <c r="H94" s="17">
        <v>27.522200000000002</v>
      </c>
      <c r="I94" s="17">
        <v>20.0565</v>
      </c>
      <c r="J94" s="17">
        <v>15.708299999999999</v>
      </c>
      <c r="K94" s="17">
        <v>18.5274</v>
      </c>
      <c r="L94" s="17">
        <v>19.4023</v>
      </c>
      <c r="M94" s="17">
        <v>20.7456</v>
      </c>
      <c r="N94" s="17">
        <v>43.733699999999999</v>
      </c>
      <c r="O94" s="17">
        <v>20.581099999999999</v>
      </c>
      <c r="P94" s="17">
        <v>23.695799999999998</v>
      </c>
      <c r="Q94" s="17">
        <v>9.9741999999999997</v>
      </c>
      <c r="R94" s="17">
        <v>20.036200000000001</v>
      </c>
      <c r="S94" s="17">
        <v>19.843800000000002</v>
      </c>
      <c r="T94" s="17">
        <v>17.243200000000002</v>
      </c>
      <c r="U94" s="17">
        <v>30.497199999999999</v>
      </c>
      <c r="V94" s="17">
        <v>57.856499999999997</v>
      </c>
      <c r="W94" s="17">
        <v>21.966200000000001</v>
      </c>
      <c r="X94" s="34">
        <v>16.485700000000001</v>
      </c>
      <c r="Y94" s="17">
        <v>14.629</v>
      </c>
      <c r="Z94" s="17">
        <v>28.893799999999999</v>
      </c>
      <c r="AA94" s="17">
        <v>19.244599999999998</v>
      </c>
      <c r="AB94" s="17">
        <v>25.8249</v>
      </c>
      <c r="AC94" s="17">
        <v>19.096800000000002</v>
      </c>
      <c r="AD94" s="17">
        <v>15.501099999999999</v>
      </c>
      <c r="AE94" s="17">
        <v>13.306900000000001</v>
      </c>
      <c r="AF94" s="17">
        <v>21.795300000000001</v>
      </c>
      <c r="AG94" s="17">
        <v>21.293500000000002</v>
      </c>
      <c r="AH94" s="17">
        <v>24.4331</v>
      </c>
      <c r="AI94" s="17">
        <v>27.773700000000002</v>
      </c>
      <c r="AJ94" s="17">
        <v>16.840900000000001</v>
      </c>
      <c r="AK94" s="17">
        <v>13.9283</v>
      </c>
      <c r="AL94" s="17">
        <v>10.264799999999999</v>
      </c>
      <c r="AM94" s="17">
        <v>14.517099999999999</v>
      </c>
      <c r="AN94" s="17">
        <v>18.120799999999999</v>
      </c>
      <c r="AO94" s="17">
        <v>29.0336</v>
      </c>
      <c r="AP94" s="17">
        <v>14.9344</v>
      </c>
      <c r="AQ94" s="85">
        <v>25.594999999999999</v>
      </c>
    </row>
    <row r="95" spans="1:43" x14ac:dyDescent="0.2">
      <c r="A95" s="86">
        <f t="shared" si="1"/>
        <v>52.685380769230783</v>
      </c>
      <c r="B95" s="87">
        <v>98</v>
      </c>
      <c r="C95" s="87">
        <v>39</v>
      </c>
      <c r="D95" s="86">
        <v>58.327399999999997</v>
      </c>
      <c r="E95" s="87">
        <v>61.1935</v>
      </c>
      <c r="F95" s="87">
        <v>58.164000000000001</v>
      </c>
      <c r="G95" s="87">
        <v>39.143500000000003</v>
      </c>
      <c r="H95" s="87">
        <v>57.804099999999998</v>
      </c>
      <c r="I95" s="87">
        <v>61.467799999999997</v>
      </c>
      <c r="J95" s="87">
        <v>59.994399999999999</v>
      </c>
      <c r="K95" s="87">
        <v>36.000999999999998</v>
      </c>
      <c r="L95" s="87">
        <v>53.100200000000001</v>
      </c>
      <c r="M95" s="87">
        <v>48.141599999999997</v>
      </c>
      <c r="N95" s="87">
        <v>72.509200000000007</v>
      </c>
      <c r="O95" s="87">
        <v>55.884799999999998</v>
      </c>
      <c r="P95" s="87">
        <v>63.673699999999997</v>
      </c>
      <c r="Q95" s="87">
        <v>116.5652</v>
      </c>
      <c r="R95" s="87">
        <v>36.152000000000001</v>
      </c>
      <c r="S95" s="87">
        <v>36.910499999999999</v>
      </c>
      <c r="T95" s="87">
        <v>53.124400000000001</v>
      </c>
      <c r="U95" s="87">
        <v>39.044800000000002</v>
      </c>
      <c r="V95" s="87">
        <v>58.999400000000001</v>
      </c>
      <c r="W95" s="87">
        <v>72.597200000000001</v>
      </c>
      <c r="X95" s="86">
        <v>36.394399999999997</v>
      </c>
      <c r="Y95" s="87">
        <v>38.435299999999998</v>
      </c>
      <c r="Z95" s="87">
        <v>30.306699999999999</v>
      </c>
      <c r="AA95" s="87">
        <v>21.9498</v>
      </c>
      <c r="AB95" s="87">
        <v>43.654000000000003</v>
      </c>
      <c r="AC95" s="87">
        <v>73.673599999999993</v>
      </c>
      <c r="AD95" s="87">
        <v>44.934800000000003</v>
      </c>
      <c r="AE95" s="87">
        <v>30.628399999999999</v>
      </c>
      <c r="AF95" s="87">
        <v>18.684999999999999</v>
      </c>
      <c r="AG95" s="87">
        <v>14.0275</v>
      </c>
      <c r="AH95" s="87">
        <v>54.133400000000002</v>
      </c>
      <c r="AI95" s="87">
        <v>36.69</v>
      </c>
      <c r="AJ95" s="87">
        <v>28.452200000000001</v>
      </c>
      <c r="AK95" s="87">
        <v>27.793900000000001</v>
      </c>
      <c r="AL95" s="87">
        <v>22.429099999999998</v>
      </c>
      <c r="AM95" s="87">
        <v>36.252099999999999</v>
      </c>
      <c r="AN95" s="87">
        <v>20.8795</v>
      </c>
      <c r="AO95" s="87">
        <v>41.722499999999997</v>
      </c>
      <c r="AP95" s="87">
        <v>65.524199999999993</v>
      </c>
      <c r="AQ95" s="88">
        <v>24.741399999999999</v>
      </c>
    </row>
  </sheetData>
  <mergeCells count="6">
    <mergeCell ref="A1:C1"/>
    <mergeCell ref="D1:W1"/>
    <mergeCell ref="X1:AQ1"/>
    <mergeCell ref="A52:C52"/>
    <mergeCell ref="D52:W52"/>
    <mergeCell ref="X52:AQ52"/>
  </mergeCells>
  <phoneticPr fontId="1" type="noConversion"/>
  <conditionalFormatting sqref="A5:A50">
    <cfRule type="aboveAverage" dxfId="10" priority="4"/>
  </conditionalFormatting>
  <conditionalFormatting sqref="A56:A95">
    <cfRule type="aboveAverage" dxfId="9" priority="3"/>
  </conditionalFormatting>
  <conditionalFormatting sqref="B96:B98">
    <cfRule type="aboveAverage" dxfId="8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B4D3-BC0C-4DBA-A35F-1C7035005AB3}">
  <dimension ref="A1:AC49"/>
  <sheetViews>
    <sheetView workbookViewId="0">
      <selection activeCell="D5" sqref="D5:W49"/>
    </sheetView>
  </sheetViews>
  <sheetFormatPr defaultColWidth="8.625" defaultRowHeight="11.25" x14ac:dyDescent="0.2"/>
  <cols>
    <col min="1" max="3" width="8.625" style="17"/>
    <col min="4" max="4" width="8.625" style="17" customWidth="1"/>
    <col min="5" max="16384" width="8.625" style="17"/>
  </cols>
  <sheetData>
    <row r="1" spans="1:29" s="9" customFormat="1" x14ac:dyDescent="0.2">
      <c r="C1" s="9" t="s">
        <v>46</v>
      </c>
      <c r="D1" s="10">
        <v>2</v>
      </c>
      <c r="E1" s="10">
        <v>11</v>
      </c>
      <c r="F1" s="10">
        <v>12</v>
      </c>
      <c r="G1" s="10">
        <v>18</v>
      </c>
      <c r="H1" s="10">
        <v>15</v>
      </c>
      <c r="I1" s="10">
        <v>3</v>
      </c>
      <c r="J1" s="10">
        <v>20</v>
      </c>
      <c r="K1" s="10">
        <v>19</v>
      </c>
      <c r="L1" s="10">
        <v>7</v>
      </c>
      <c r="M1" s="10">
        <v>8</v>
      </c>
      <c r="N1" s="10">
        <v>1</v>
      </c>
      <c r="O1" s="10">
        <v>16</v>
      </c>
      <c r="P1" s="10">
        <v>9</v>
      </c>
      <c r="Q1" s="10">
        <v>4</v>
      </c>
      <c r="R1" s="10">
        <v>5</v>
      </c>
      <c r="S1" s="10">
        <v>13</v>
      </c>
      <c r="T1" s="10">
        <v>17</v>
      </c>
      <c r="U1" s="10">
        <v>14</v>
      </c>
      <c r="V1" s="10">
        <v>10</v>
      </c>
      <c r="W1" s="10">
        <v>6</v>
      </c>
    </row>
    <row r="2" spans="1:29" s="9" customFormat="1" x14ac:dyDescent="0.2">
      <c r="C2" s="9" t="s">
        <v>47</v>
      </c>
      <c r="D2" s="10">
        <v>1</v>
      </c>
      <c r="E2" s="11">
        <v>2</v>
      </c>
      <c r="F2" s="11">
        <v>3</v>
      </c>
      <c r="G2" s="12">
        <v>4</v>
      </c>
      <c r="H2" s="13">
        <v>5</v>
      </c>
      <c r="I2" s="14">
        <v>6</v>
      </c>
      <c r="J2" s="10">
        <v>7</v>
      </c>
      <c r="K2" s="12">
        <v>8</v>
      </c>
      <c r="L2" s="15">
        <v>9</v>
      </c>
      <c r="M2" s="15">
        <v>10</v>
      </c>
      <c r="N2" s="16">
        <v>11</v>
      </c>
      <c r="O2" s="13">
        <v>12</v>
      </c>
      <c r="P2" s="15">
        <v>13</v>
      </c>
      <c r="Q2" s="14">
        <v>14</v>
      </c>
      <c r="R2" s="14">
        <v>15</v>
      </c>
      <c r="S2" s="11">
        <v>16</v>
      </c>
      <c r="T2" s="13">
        <v>17</v>
      </c>
      <c r="U2" s="11">
        <v>18</v>
      </c>
      <c r="V2" s="15">
        <v>19</v>
      </c>
      <c r="W2" s="14">
        <v>20</v>
      </c>
      <c r="X2" s="9">
        <v>21</v>
      </c>
      <c r="Y2" s="9">
        <v>22</v>
      </c>
      <c r="Z2" s="9">
        <v>23</v>
      </c>
      <c r="AA2" s="9">
        <v>24</v>
      </c>
      <c r="AB2" s="9">
        <v>25</v>
      </c>
      <c r="AC2" s="9">
        <v>26</v>
      </c>
    </row>
    <row r="3" spans="1:29" s="9" customFormat="1" x14ac:dyDescent="0.2">
      <c r="D3" s="10" t="s">
        <v>0</v>
      </c>
      <c r="E3" s="11" t="s">
        <v>2</v>
      </c>
      <c r="F3" s="11" t="s">
        <v>4</v>
      </c>
      <c r="G3" s="12" t="s">
        <v>6</v>
      </c>
      <c r="H3" s="13" t="s">
        <v>8</v>
      </c>
      <c r="I3" s="14" t="s">
        <v>10</v>
      </c>
      <c r="J3" s="10" t="s">
        <v>12</v>
      </c>
      <c r="K3" s="12" t="s">
        <v>14</v>
      </c>
      <c r="L3" s="15" t="s">
        <v>16</v>
      </c>
      <c r="M3" s="15" t="s">
        <v>18</v>
      </c>
      <c r="N3" s="16" t="s">
        <v>20</v>
      </c>
      <c r="O3" s="13" t="s">
        <v>22</v>
      </c>
      <c r="P3" s="15" t="s">
        <v>24</v>
      </c>
      <c r="Q3" s="14" t="s">
        <v>26</v>
      </c>
      <c r="R3" s="14" t="s">
        <v>28</v>
      </c>
      <c r="S3" s="11" t="s">
        <v>30</v>
      </c>
      <c r="T3" s="13" t="s">
        <v>32</v>
      </c>
      <c r="U3" s="11" t="s">
        <v>34</v>
      </c>
      <c r="V3" s="15" t="s">
        <v>36</v>
      </c>
      <c r="W3" s="14" t="s">
        <v>38</v>
      </c>
    </row>
    <row r="4" spans="1:29" s="9" customFormat="1" ht="22.5" x14ac:dyDescent="0.2">
      <c r="A4" s="9" t="s">
        <v>94</v>
      </c>
      <c r="B4" s="9" t="s">
        <v>57</v>
      </c>
      <c r="C4" s="17" t="s">
        <v>45</v>
      </c>
      <c r="D4" s="10" t="s">
        <v>1</v>
      </c>
      <c r="E4" s="11" t="s">
        <v>3</v>
      </c>
      <c r="F4" s="11" t="s">
        <v>5</v>
      </c>
      <c r="G4" s="12" t="s">
        <v>7</v>
      </c>
      <c r="H4" s="13" t="s">
        <v>9</v>
      </c>
      <c r="I4" s="14" t="s">
        <v>11</v>
      </c>
      <c r="J4" s="10" t="s">
        <v>13</v>
      </c>
      <c r="K4" s="12" t="s">
        <v>15</v>
      </c>
      <c r="L4" s="15" t="s">
        <v>17</v>
      </c>
      <c r="M4" s="15" t="s">
        <v>19</v>
      </c>
      <c r="N4" s="16" t="s">
        <v>21</v>
      </c>
      <c r="O4" s="13" t="s">
        <v>23</v>
      </c>
      <c r="P4" s="15" t="s">
        <v>25</v>
      </c>
      <c r="Q4" s="14" t="s">
        <v>27</v>
      </c>
      <c r="R4" s="14" t="s">
        <v>29</v>
      </c>
      <c r="S4" s="11" t="s">
        <v>31</v>
      </c>
      <c r="T4" s="13" t="s">
        <v>33</v>
      </c>
      <c r="U4" s="11" t="s">
        <v>35</v>
      </c>
      <c r="V4" s="15" t="s">
        <v>37</v>
      </c>
      <c r="W4" s="14" t="s">
        <v>39</v>
      </c>
      <c r="X4" s="9" t="s">
        <v>42</v>
      </c>
      <c r="Y4" s="9" t="s">
        <v>42</v>
      </c>
      <c r="Z4" s="9" t="s">
        <v>42</v>
      </c>
      <c r="AA4" s="9" t="s">
        <v>42</v>
      </c>
      <c r="AB4" s="9" t="s">
        <v>42</v>
      </c>
      <c r="AC4" s="9" t="s">
        <v>42</v>
      </c>
    </row>
    <row r="5" spans="1:29" x14ac:dyDescent="0.2">
      <c r="A5" s="17">
        <f>AVERAGE(D5:AC5)</f>
        <v>7.260190820314417</v>
      </c>
      <c r="B5" s="17">
        <v>101</v>
      </c>
      <c r="C5" s="17">
        <v>1</v>
      </c>
      <c r="D5" s="17" t="s">
        <v>44</v>
      </c>
      <c r="E5" s="17">
        <v>6.3505976478291304</v>
      </c>
      <c r="F5" s="17">
        <v>9.7749935647373007</v>
      </c>
      <c r="G5" s="17">
        <v>1.77019666063883</v>
      </c>
      <c r="H5" s="17">
        <v>5.8305833284831499</v>
      </c>
      <c r="I5" s="17">
        <v>23.346530937851298</v>
      </c>
      <c r="J5" s="17">
        <v>7.0518524904922399</v>
      </c>
      <c r="K5" s="17">
        <v>5.3635956146834003</v>
      </c>
      <c r="L5" s="17" t="s">
        <v>44</v>
      </c>
      <c r="M5" s="17">
        <v>11.3519597807644</v>
      </c>
      <c r="N5" s="17">
        <v>6.6499600993612704</v>
      </c>
      <c r="O5" s="17">
        <v>4.2465355483862801</v>
      </c>
      <c r="P5" s="17">
        <v>4.5345100358219304</v>
      </c>
      <c r="Q5" s="17">
        <v>10.331357754276</v>
      </c>
      <c r="R5" s="17" t="s">
        <v>44</v>
      </c>
      <c r="S5" s="17">
        <v>21.671543641904599</v>
      </c>
      <c r="T5" s="17">
        <v>2.45328465544809</v>
      </c>
      <c r="U5" s="17">
        <v>2.97136174370277</v>
      </c>
      <c r="V5" s="17">
        <v>4.5689801345924304</v>
      </c>
      <c r="W5" s="17">
        <v>5.10086347166511</v>
      </c>
      <c r="X5" s="17">
        <v>4.8820645577457702</v>
      </c>
      <c r="Y5" s="17">
        <v>3.9383089561033402</v>
      </c>
      <c r="Z5" s="17">
        <v>4.8161393811424498</v>
      </c>
      <c r="AA5" s="17">
        <v>7.9982134934199403</v>
      </c>
      <c r="AB5" s="17">
        <v>6.6284698715988197</v>
      </c>
      <c r="AC5" s="17">
        <v>5.3524854965830801</v>
      </c>
    </row>
    <row r="6" spans="1:29" x14ac:dyDescent="0.2">
      <c r="A6" s="17">
        <f t="shared" ref="A6:A49" si="0">AVERAGE(D6:AC6)</f>
        <v>9.0683795816915911</v>
      </c>
      <c r="B6" s="17">
        <v>102</v>
      </c>
      <c r="C6" s="17">
        <v>2</v>
      </c>
      <c r="D6" s="17" t="s">
        <v>44</v>
      </c>
      <c r="E6" s="17" t="s">
        <v>44</v>
      </c>
      <c r="F6" s="17">
        <v>18.425717274653799</v>
      </c>
      <c r="G6" s="17">
        <v>7.39402638933245</v>
      </c>
      <c r="H6" s="17" t="s">
        <v>44</v>
      </c>
      <c r="I6" s="17">
        <v>13.2928343715884</v>
      </c>
      <c r="J6" s="17">
        <v>3.4043025126485702</v>
      </c>
      <c r="K6" s="17">
        <v>11.247637736201501</v>
      </c>
      <c r="L6" s="17">
        <v>4.6850906806264501</v>
      </c>
      <c r="M6" s="17">
        <v>10.1641642371729</v>
      </c>
      <c r="N6" s="17" t="s">
        <v>44</v>
      </c>
      <c r="O6" s="17">
        <v>5.5535178711607802</v>
      </c>
      <c r="P6" s="17">
        <v>9.5254185431875094</v>
      </c>
      <c r="Q6" s="17">
        <v>3.6939780881116699</v>
      </c>
      <c r="R6" s="17">
        <v>20.9305801800658</v>
      </c>
      <c r="S6" s="17">
        <v>16.285199135511199</v>
      </c>
      <c r="T6" s="17">
        <v>13.2188825554652</v>
      </c>
      <c r="U6" s="17">
        <v>6.6945654997443702</v>
      </c>
      <c r="V6" s="17">
        <v>1.91495698523215</v>
      </c>
      <c r="W6" s="17">
        <v>3.6793723431748702</v>
      </c>
      <c r="X6" s="17">
        <v>7.46731851556431</v>
      </c>
      <c r="Y6" s="17">
        <v>4.4628128041770401</v>
      </c>
      <c r="Z6" s="17">
        <v>11.323251868028899</v>
      </c>
      <c r="AA6" s="17">
        <v>12.3125410857908</v>
      </c>
      <c r="AB6" s="17" t="s">
        <v>44</v>
      </c>
      <c r="AC6" s="17">
        <v>4.7598025380847702</v>
      </c>
    </row>
    <row r="7" spans="1:29" x14ac:dyDescent="0.2">
      <c r="A7" s="17">
        <f t="shared" si="0"/>
        <v>8.5811556207607431</v>
      </c>
      <c r="B7" s="17">
        <v>104</v>
      </c>
      <c r="C7" s="17">
        <v>3</v>
      </c>
      <c r="D7" s="17">
        <v>7.0215081545895801</v>
      </c>
      <c r="E7" s="17">
        <v>8.0732699671878905</v>
      </c>
      <c r="F7" s="17">
        <v>9.45490376224752</v>
      </c>
      <c r="G7" s="17">
        <v>2.3201081675322901</v>
      </c>
      <c r="H7" s="17">
        <v>12.297082661738999</v>
      </c>
      <c r="I7" s="17">
        <v>18.875597425334298</v>
      </c>
      <c r="J7" s="17">
        <v>13.3802484288759</v>
      </c>
      <c r="K7" s="17">
        <v>5.69734430348446</v>
      </c>
      <c r="L7" s="17">
        <v>4.06298878894445</v>
      </c>
      <c r="M7" s="17">
        <v>4.9349836813260604</v>
      </c>
      <c r="N7" s="17">
        <v>9.8399721390053596</v>
      </c>
      <c r="O7" s="17">
        <v>18.2275011821223</v>
      </c>
      <c r="P7" s="17">
        <v>13.2110634400593</v>
      </c>
      <c r="Q7" s="17">
        <v>1.5911563796527901</v>
      </c>
      <c r="R7" s="17">
        <v>1.9131444529423001</v>
      </c>
      <c r="S7" s="17">
        <v>12.9150471569106</v>
      </c>
      <c r="T7" s="17">
        <v>3.3973589012683099</v>
      </c>
      <c r="U7" s="17">
        <v>8.4138305496342891</v>
      </c>
      <c r="V7" s="17">
        <v>11.220653599786701</v>
      </c>
      <c r="W7" s="17">
        <v>10.258726044361801</v>
      </c>
      <c r="X7" s="17">
        <v>12.695174144004399</v>
      </c>
      <c r="Y7" s="17">
        <v>8.3168284020193202</v>
      </c>
      <c r="Z7" s="17">
        <v>8.7424011248878095</v>
      </c>
      <c r="AA7" s="17">
        <v>10.0761309806932</v>
      </c>
      <c r="AB7" s="17">
        <v>3.09540864739111</v>
      </c>
      <c r="AC7" s="17">
        <v>3.0776136537782999</v>
      </c>
    </row>
    <row r="8" spans="1:29" x14ac:dyDescent="0.2">
      <c r="A8" s="17">
        <f t="shared" si="0"/>
        <v>11.890302519550177</v>
      </c>
      <c r="B8" s="17">
        <v>106</v>
      </c>
      <c r="C8" s="17">
        <v>4</v>
      </c>
      <c r="D8" s="17">
        <v>34.171110386534899</v>
      </c>
      <c r="E8" s="17">
        <v>16.498241914131</v>
      </c>
      <c r="F8" s="17">
        <v>18.823398130155901</v>
      </c>
      <c r="G8" s="17">
        <v>7.3416980623528101</v>
      </c>
      <c r="H8" s="17">
        <v>6.5618894922101401</v>
      </c>
      <c r="I8" s="17">
        <v>32.953901972323699</v>
      </c>
      <c r="J8" s="17">
        <v>17.5215104188038</v>
      </c>
      <c r="K8" s="17">
        <v>10.8166416983512</v>
      </c>
      <c r="L8" s="17">
        <v>14.3162054549398</v>
      </c>
      <c r="M8" s="17">
        <v>4.9124252928349001</v>
      </c>
      <c r="N8" s="17">
        <v>10.4522401231491</v>
      </c>
      <c r="O8" s="17">
        <v>5.6493928670767604</v>
      </c>
      <c r="P8" s="17">
        <v>3.7498987477659398</v>
      </c>
      <c r="Q8" s="17">
        <v>10.0214682060071</v>
      </c>
      <c r="R8" s="17">
        <v>9.9419793237430607</v>
      </c>
      <c r="S8" s="17">
        <v>14.220901570527101</v>
      </c>
      <c r="T8" s="17">
        <v>3.6872066422676002</v>
      </c>
      <c r="U8" s="17">
        <v>9.2264186333583105</v>
      </c>
      <c r="V8" s="17">
        <v>4.5402898932363396</v>
      </c>
      <c r="W8" s="17">
        <v>3.4686824196720201</v>
      </c>
      <c r="X8" s="17">
        <v>17.611693951984201</v>
      </c>
      <c r="Y8" s="17">
        <v>11.4792165607673</v>
      </c>
      <c r="Z8" s="17">
        <v>6.5355993424467496</v>
      </c>
      <c r="AA8" s="17">
        <v>9.4179843699862005</v>
      </c>
      <c r="AB8" s="17">
        <v>13.3375675141285</v>
      </c>
      <c r="AC8" s="17" t="s">
        <v>44</v>
      </c>
    </row>
    <row r="9" spans="1:29" x14ac:dyDescent="0.2">
      <c r="A9" s="17">
        <f t="shared" si="0"/>
        <v>7.7822953198653666</v>
      </c>
      <c r="B9" s="17">
        <v>108</v>
      </c>
      <c r="C9" s="17">
        <v>5</v>
      </c>
      <c r="D9" s="17">
        <v>23.617046220320599</v>
      </c>
      <c r="E9" s="17">
        <v>8.6742293428518504</v>
      </c>
      <c r="F9" s="17">
        <v>5.2952822423566204</v>
      </c>
      <c r="G9" s="17">
        <v>1.58506209289629</v>
      </c>
      <c r="H9" s="17">
        <v>4.0898899989151998</v>
      </c>
      <c r="I9" s="17">
        <v>5.6051871853814399</v>
      </c>
      <c r="J9" s="17">
        <v>6.3540128900518402</v>
      </c>
      <c r="K9" s="17">
        <v>2.3571405484388599</v>
      </c>
      <c r="L9" s="17">
        <v>3.9400378683702</v>
      </c>
      <c r="M9" s="17" t="s">
        <v>44</v>
      </c>
      <c r="N9" s="17" t="s">
        <v>44</v>
      </c>
      <c r="O9" s="17">
        <v>6.1184628084633799</v>
      </c>
      <c r="P9" s="17">
        <v>6.7394466158025503</v>
      </c>
      <c r="Q9" s="17">
        <v>6.0175340466840499</v>
      </c>
      <c r="R9" s="17">
        <v>11.990956750115201</v>
      </c>
      <c r="S9" s="17">
        <v>7.37459702428374</v>
      </c>
      <c r="T9" s="17">
        <v>6.1542207237758602</v>
      </c>
      <c r="U9" s="17">
        <v>8.9363245519725503</v>
      </c>
      <c r="V9" s="17">
        <v>6.5542714270723899</v>
      </c>
      <c r="W9" s="17">
        <v>2.5777360062041899</v>
      </c>
      <c r="X9" s="17">
        <v>2.2787899057719798</v>
      </c>
      <c r="Y9" s="17" t="s">
        <v>44</v>
      </c>
      <c r="Z9" s="17">
        <v>7.3529921166180596</v>
      </c>
      <c r="AA9" s="17">
        <v>12.752806030290399</v>
      </c>
      <c r="AB9" s="17">
        <v>16.005346322930901</v>
      </c>
      <c r="AC9" s="17">
        <v>16.6214196373353</v>
      </c>
    </row>
    <row r="10" spans="1:29" x14ac:dyDescent="0.2">
      <c r="A10" s="17">
        <f t="shared" si="0"/>
        <v>11.321684683356979</v>
      </c>
      <c r="B10" s="17">
        <v>109</v>
      </c>
      <c r="C10" s="17">
        <v>6</v>
      </c>
      <c r="D10" s="17">
        <v>21.279419305035098</v>
      </c>
      <c r="E10" s="17">
        <v>6.8282684914446898</v>
      </c>
      <c r="F10" s="17">
        <v>5.9931420134473603</v>
      </c>
      <c r="G10" s="17">
        <v>12.145354908550701</v>
      </c>
      <c r="H10" s="17">
        <v>13.6039709629502</v>
      </c>
      <c r="I10" s="17">
        <v>36.369032237889698</v>
      </c>
      <c r="J10" s="17">
        <v>4.4848677360393898</v>
      </c>
      <c r="K10" s="17">
        <v>7.7060369166939298</v>
      </c>
      <c r="L10" s="17">
        <v>5.6048434285540703</v>
      </c>
      <c r="M10" s="17">
        <v>4.4746040970211096</v>
      </c>
      <c r="N10" s="17">
        <v>9.05216054161132</v>
      </c>
      <c r="O10" s="17">
        <v>13.7950107947297</v>
      </c>
      <c r="P10" s="17">
        <v>7.0138886909046896</v>
      </c>
      <c r="Q10" s="17">
        <v>7.18507729719955</v>
      </c>
      <c r="R10" s="17">
        <v>1.7792692226807001</v>
      </c>
      <c r="S10" s="17">
        <v>15.254879800431199</v>
      </c>
      <c r="T10" s="17">
        <v>15.179268675386099</v>
      </c>
      <c r="U10" s="17">
        <v>11.628872004600501</v>
      </c>
      <c r="V10" s="17">
        <v>11.491380988891599</v>
      </c>
      <c r="W10" s="17">
        <v>16.368331433039099</v>
      </c>
      <c r="X10" s="17">
        <v>9.3073015066003801</v>
      </c>
      <c r="Y10" s="17">
        <v>8.3434222833073104</v>
      </c>
      <c r="Z10" s="17">
        <v>9.3722355094784007</v>
      </c>
      <c r="AA10" s="17">
        <v>7.4014552994718601</v>
      </c>
      <c r="AB10" s="17">
        <v>29.1641382856854</v>
      </c>
      <c r="AC10" s="17">
        <v>3.5375693356374098</v>
      </c>
    </row>
    <row r="11" spans="1:29" x14ac:dyDescent="0.2">
      <c r="A11" s="17">
        <f t="shared" si="0"/>
        <v>8.5965762102784407</v>
      </c>
      <c r="B11" s="17">
        <v>32</v>
      </c>
      <c r="C11" s="17">
        <v>7</v>
      </c>
      <c r="D11" s="17">
        <v>8.8332509834646693</v>
      </c>
      <c r="E11" s="17">
        <v>12.3951794748842</v>
      </c>
      <c r="F11" s="17">
        <v>15.7185608824079</v>
      </c>
      <c r="G11" s="17">
        <v>7.2345508089313899</v>
      </c>
      <c r="H11" s="17">
        <v>6.8098077696910604</v>
      </c>
      <c r="I11" s="17">
        <v>21.4590303512338</v>
      </c>
      <c r="J11" s="17">
        <v>7.9215071999144104</v>
      </c>
      <c r="K11" s="17">
        <v>5.7831274077032102</v>
      </c>
      <c r="L11" s="17">
        <v>2.2840098383624201</v>
      </c>
      <c r="M11" s="17">
        <v>3.6373635226261598</v>
      </c>
      <c r="N11" s="17">
        <v>15.084827493787699</v>
      </c>
      <c r="O11" s="17">
        <v>6.0699624813713999</v>
      </c>
      <c r="P11" s="17">
        <v>4.4401571005005698</v>
      </c>
      <c r="Q11" s="17">
        <v>15.632028202100001</v>
      </c>
      <c r="R11" s="17">
        <v>5.1647718673315701</v>
      </c>
      <c r="S11" s="17">
        <v>4.9094901124133701</v>
      </c>
      <c r="T11" s="17">
        <v>1.3874512123431599</v>
      </c>
      <c r="U11" s="17">
        <v>3.5763784840550201</v>
      </c>
      <c r="V11" s="17">
        <v>8.5967509670919195</v>
      </c>
      <c r="W11" s="17">
        <v>9.21928757349189</v>
      </c>
      <c r="X11" s="17">
        <v>7.1190723762165202</v>
      </c>
      <c r="Y11" s="17">
        <v>10.067459145589201</v>
      </c>
      <c r="Z11" s="17">
        <v>15.964194708175</v>
      </c>
      <c r="AA11" s="17">
        <v>9.3516466633372595</v>
      </c>
      <c r="AB11" s="17">
        <v>8.2504142674113101</v>
      </c>
      <c r="AC11" s="17">
        <v>6.6007005728043397</v>
      </c>
    </row>
    <row r="12" spans="1:29" x14ac:dyDescent="0.2">
      <c r="A12" s="17">
        <f t="shared" si="0"/>
        <v>10.307629893368103</v>
      </c>
      <c r="B12" s="17">
        <v>36</v>
      </c>
      <c r="C12" s="17">
        <v>8</v>
      </c>
      <c r="D12" s="17">
        <v>8.6568382148001799</v>
      </c>
      <c r="E12" s="17">
        <v>17.577807589393899</v>
      </c>
      <c r="F12" s="17">
        <v>17.410377756311899</v>
      </c>
      <c r="G12" s="17">
        <v>0.432973422989337</v>
      </c>
      <c r="H12" s="17">
        <v>3.5360424578232998</v>
      </c>
      <c r="I12" s="17">
        <v>21.532998165796901</v>
      </c>
      <c r="J12" s="17">
        <v>3.9191986939950199</v>
      </c>
      <c r="K12" s="17">
        <v>3.0968566032257101</v>
      </c>
      <c r="L12" s="17">
        <v>3.9745127894146699</v>
      </c>
      <c r="M12" s="17">
        <v>11.4724251692266</v>
      </c>
      <c r="N12" s="17">
        <v>6.7925211366068803</v>
      </c>
      <c r="O12" s="17">
        <v>8.5284381925412003</v>
      </c>
      <c r="P12" s="17">
        <v>13.572333525705799</v>
      </c>
      <c r="Q12" s="17">
        <v>17.687676917246399</v>
      </c>
      <c r="R12" s="17">
        <v>13.0789712275776</v>
      </c>
      <c r="S12" s="17">
        <v>20.789252261809601</v>
      </c>
      <c r="T12" s="17">
        <v>12.7484886133283</v>
      </c>
      <c r="U12" s="17">
        <v>12.795488031029199</v>
      </c>
      <c r="V12" s="17">
        <v>8.3020197616019207</v>
      </c>
      <c r="W12" s="17">
        <v>14.8388562162634</v>
      </c>
      <c r="X12" s="17">
        <v>6.2650753721941896</v>
      </c>
      <c r="Y12" s="17">
        <v>5.9062312266429302</v>
      </c>
      <c r="Z12" s="17">
        <v>9.2577925753705497</v>
      </c>
      <c r="AA12" s="17">
        <v>12.1329857853907</v>
      </c>
      <c r="AB12" s="17">
        <v>8.7330957971177501</v>
      </c>
      <c r="AC12" s="17">
        <v>4.9591197241667899</v>
      </c>
    </row>
    <row r="13" spans="1:29" x14ac:dyDescent="0.2">
      <c r="A13" s="17">
        <f t="shared" si="0"/>
        <v>8.077493993440287</v>
      </c>
      <c r="B13" s="17">
        <v>37</v>
      </c>
      <c r="C13" s="17">
        <v>9</v>
      </c>
      <c r="D13" s="17" t="s">
        <v>44</v>
      </c>
      <c r="E13" s="17">
        <v>8.5931222532123499</v>
      </c>
      <c r="F13" s="17" t="s">
        <v>44</v>
      </c>
      <c r="G13" s="17">
        <v>10.890395557631299</v>
      </c>
      <c r="H13" s="17" t="s">
        <v>44</v>
      </c>
      <c r="I13" s="17">
        <v>19.1420273048046</v>
      </c>
      <c r="J13" s="17">
        <v>6.1987602885195203</v>
      </c>
      <c r="K13" s="17">
        <v>12.433712133333399</v>
      </c>
      <c r="L13" s="17">
        <v>1.2477974860246801</v>
      </c>
      <c r="M13" s="17" t="s">
        <v>44</v>
      </c>
      <c r="N13" s="17" t="s">
        <v>44</v>
      </c>
      <c r="O13" s="17">
        <v>5.2885521024289304</v>
      </c>
      <c r="P13" s="17">
        <v>8.4603535217541506</v>
      </c>
      <c r="Q13" s="17" t="s">
        <v>44</v>
      </c>
      <c r="R13" s="17">
        <v>2.22683945834165</v>
      </c>
      <c r="S13" s="17" t="s">
        <v>44</v>
      </c>
      <c r="T13" s="17">
        <v>5.3756504906071099</v>
      </c>
      <c r="U13" s="17" t="s">
        <v>44</v>
      </c>
      <c r="V13" s="17" t="s">
        <v>44</v>
      </c>
      <c r="W13" s="17" t="s">
        <v>44</v>
      </c>
      <c r="X13" s="17">
        <v>8.9952233311854606</v>
      </c>
      <c r="Y13" s="17" t="s">
        <v>44</v>
      </c>
      <c r="Z13" s="17" t="s">
        <v>44</v>
      </c>
      <c r="AA13" s="17" t="s">
        <v>44</v>
      </c>
      <c r="AB13" s="17" t="s">
        <v>44</v>
      </c>
      <c r="AC13" s="17" t="s">
        <v>44</v>
      </c>
    </row>
    <row r="14" spans="1:29" x14ac:dyDescent="0.2">
      <c r="A14" s="17">
        <f t="shared" si="0"/>
        <v>6.993878813864014</v>
      </c>
      <c r="B14" s="17">
        <v>99</v>
      </c>
      <c r="C14" s="17">
        <v>10</v>
      </c>
      <c r="D14" s="17" t="s">
        <v>44</v>
      </c>
      <c r="E14" s="17">
        <v>6.53766154968769</v>
      </c>
      <c r="F14" s="17">
        <v>7.8181751716555201</v>
      </c>
      <c r="G14" s="17">
        <v>4.7299874088574301</v>
      </c>
      <c r="H14" s="17">
        <v>4.2447989130435202</v>
      </c>
      <c r="I14" s="17" t="s">
        <v>44</v>
      </c>
      <c r="J14" s="17">
        <v>15.426245656671201</v>
      </c>
      <c r="K14" s="17">
        <v>6.2842574542218097</v>
      </c>
      <c r="L14" s="17">
        <v>1.8771849273097001</v>
      </c>
      <c r="M14" s="17">
        <v>10.097503236628601</v>
      </c>
      <c r="N14" s="17">
        <v>8.4772833750966594</v>
      </c>
      <c r="O14" s="17">
        <v>2.8298173830187299</v>
      </c>
      <c r="P14" s="17">
        <v>8.0903994395286993</v>
      </c>
      <c r="Q14" s="17" t="s">
        <v>44</v>
      </c>
      <c r="R14" s="17">
        <v>10.9725188212471</v>
      </c>
      <c r="S14" s="17">
        <v>11.901984990726501</v>
      </c>
      <c r="T14" s="17">
        <v>1.56021857888087</v>
      </c>
      <c r="U14" s="17">
        <v>12.080567068774901</v>
      </c>
      <c r="V14" s="17">
        <v>9.5639959608552605</v>
      </c>
      <c r="W14" s="17">
        <v>1.3551968381414301</v>
      </c>
      <c r="X14" s="17">
        <v>4.9076139792421998</v>
      </c>
      <c r="Y14" s="17">
        <v>6.0446183759681498</v>
      </c>
      <c r="Z14" s="17">
        <v>8.6661345627110293</v>
      </c>
      <c r="AA14" s="17">
        <v>6.1901701036133803</v>
      </c>
      <c r="AB14" s="17">
        <v>7.4758511160093404</v>
      </c>
      <c r="AC14" s="17">
        <v>3.7270278069825902</v>
      </c>
    </row>
    <row r="15" spans="1:29" x14ac:dyDescent="0.2">
      <c r="A15" s="17">
        <f t="shared" si="0"/>
        <v>9.5306923186353494</v>
      </c>
      <c r="B15" s="17">
        <v>42</v>
      </c>
      <c r="C15" s="17">
        <v>11</v>
      </c>
      <c r="D15" s="17">
        <v>17.1650941066498</v>
      </c>
      <c r="E15" s="17">
        <v>13.551133187407601</v>
      </c>
      <c r="F15" s="17">
        <v>16.430186394582801</v>
      </c>
      <c r="G15" s="17">
        <v>8.1872928847581896</v>
      </c>
      <c r="H15" s="17">
        <v>11.116832786781099</v>
      </c>
      <c r="I15" s="17" t="s">
        <v>44</v>
      </c>
      <c r="J15" s="17">
        <v>10.5716418972656</v>
      </c>
      <c r="K15" s="17">
        <v>5.1169393327647796</v>
      </c>
      <c r="L15" s="17">
        <v>9.0790706912622205</v>
      </c>
      <c r="M15" s="17">
        <v>6.0682109648144698</v>
      </c>
      <c r="N15" s="17">
        <v>5.8840937790574799</v>
      </c>
      <c r="O15" s="17">
        <v>18.095596045923699</v>
      </c>
      <c r="P15" s="17">
        <v>2.1486283094835601</v>
      </c>
      <c r="Q15" s="17">
        <v>8.2011287270529305</v>
      </c>
      <c r="R15" s="17">
        <v>9.2371475707363508</v>
      </c>
      <c r="S15" s="17">
        <v>5.2377608506311102</v>
      </c>
      <c r="T15" s="17">
        <v>13.0333672554095</v>
      </c>
      <c r="U15" s="17">
        <v>7.6187376395684199</v>
      </c>
      <c r="V15" s="17">
        <v>2.74517005083765</v>
      </c>
      <c r="W15" s="17">
        <v>6.5247846011016097</v>
      </c>
      <c r="X15" s="17">
        <v>6.4836962070723603</v>
      </c>
      <c r="Y15" s="17">
        <v>12.7253232360705</v>
      </c>
      <c r="Z15" s="17">
        <v>20.015485615912901</v>
      </c>
      <c r="AA15" s="17">
        <v>13.8458673845221</v>
      </c>
      <c r="AB15" s="17">
        <v>5.9985765606192896</v>
      </c>
      <c r="AC15" s="17">
        <v>3.18554188559773</v>
      </c>
    </row>
    <row r="16" spans="1:29" x14ac:dyDescent="0.2">
      <c r="A16" s="17">
        <f t="shared" si="0"/>
        <v>10.778275596661805</v>
      </c>
      <c r="B16" s="17">
        <v>46</v>
      </c>
      <c r="C16" s="17">
        <v>12</v>
      </c>
      <c r="D16" s="17" t="s">
        <v>44</v>
      </c>
      <c r="E16" s="17">
        <v>4.5296499864937498</v>
      </c>
      <c r="F16" s="17">
        <v>10.6054838549731</v>
      </c>
      <c r="G16" s="17">
        <v>23.973781567576999</v>
      </c>
      <c r="H16" s="17">
        <v>11.970285617104899</v>
      </c>
      <c r="I16" s="17">
        <v>13.505079795060601</v>
      </c>
      <c r="J16" s="17">
        <v>6.3511327166559299</v>
      </c>
      <c r="K16" s="17">
        <v>6.7419963064744097</v>
      </c>
      <c r="L16" s="17">
        <v>10.648524282351501</v>
      </c>
      <c r="M16" s="17">
        <v>12.530672279903399</v>
      </c>
      <c r="N16" s="17">
        <v>18.0334269592447</v>
      </c>
      <c r="O16" s="17">
        <v>4.32613745036286</v>
      </c>
      <c r="P16" s="17">
        <v>11.231323086267199</v>
      </c>
      <c r="Q16" s="17">
        <v>10.3108241148873</v>
      </c>
      <c r="R16" s="17">
        <v>3.25536763054687</v>
      </c>
      <c r="S16" s="17">
        <v>17.975903431427302</v>
      </c>
      <c r="T16" s="17">
        <v>5.2792874835242003</v>
      </c>
      <c r="U16" s="17">
        <v>12.034431191643799</v>
      </c>
      <c r="V16" s="17">
        <v>6.2443459924194498</v>
      </c>
      <c r="W16" s="17">
        <v>9.1685635586854595</v>
      </c>
      <c r="X16" s="17">
        <v>3.7696390677264899</v>
      </c>
      <c r="Y16" s="17">
        <v>13.094803395796401</v>
      </c>
      <c r="Z16" s="17">
        <v>15.1362525078719</v>
      </c>
      <c r="AA16" s="17">
        <v>20.040083510059599</v>
      </c>
      <c r="AB16" s="17" t="s">
        <v>44</v>
      </c>
      <c r="AC16" s="17">
        <v>7.9216185328251996</v>
      </c>
    </row>
    <row r="17" spans="1:29" x14ac:dyDescent="0.2">
      <c r="A17" s="17">
        <f t="shared" si="0"/>
        <v>10.987237155853236</v>
      </c>
      <c r="B17" s="17">
        <v>47</v>
      </c>
      <c r="C17" s="17">
        <v>13</v>
      </c>
      <c r="D17" s="17">
        <v>12.2273417055845</v>
      </c>
      <c r="E17" s="17">
        <v>22.7431814990207</v>
      </c>
      <c r="F17" s="17">
        <v>2.03193803971884</v>
      </c>
      <c r="G17" s="17">
        <v>6.0481392376523004</v>
      </c>
      <c r="H17" s="17">
        <v>5.7922634183555299</v>
      </c>
      <c r="I17" s="17">
        <v>14.4169051651552</v>
      </c>
      <c r="J17" s="17">
        <v>8.1105151719022608</v>
      </c>
      <c r="K17" s="17">
        <v>6.8845431649150104</v>
      </c>
      <c r="L17" s="17" t="s">
        <v>44</v>
      </c>
      <c r="M17" s="17">
        <v>12.3315152023404</v>
      </c>
      <c r="N17" s="17">
        <v>2.9213128251218898</v>
      </c>
      <c r="O17" s="17">
        <v>11.113165306099299</v>
      </c>
      <c r="P17" s="17">
        <v>5.3808726137646303</v>
      </c>
      <c r="Q17" s="17">
        <v>9.0616510588721102</v>
      </c>
      <c r="R17" s="17">
        <v>10.830171075716599</v>
      </c>
      <c r="S17" s="17">
        <v>23.511363840730201</v>
      </c>
      <c r="T17" s="17">
        <v>8.3414808915205203</v>
      </c>
      <c r="U17" s="17">
        <v>9.9963458276791304</v>
      </c>
      <c r="V17" s="17">
        <v>11.1270598811565</v>
      </c>
      <c r="W17" s="17">
        <v>8.24637566365171</v>
      </c>
      <c r="X17" s="17">
        <v>7.3380553839559202</v>
      </c>
      <c r="Y17" s="17">
        <v>8.1031417137471298</v>
      </c>
      <c r="Z17" s="17">
        <v>19.492419684051399</v>
      </c>
      <c r="AA17" s="17">
        <v>24.619303041283999</v>
      </c>
      <c r="AB17" s="17">
        <v>12.625645143686301</v>
      </c>
      <c r="AC17" s="17">
        <v>11.3862223406488</v>
      </c>
    </row>
    <row r="18" spans="1:29" x14ac:dyDescent="0.2">
      <c r="A18" s="17">
        <f t="shared" si="0"/>
        <v>9.2551885662547004</v>
      </c>
      <c r="B18" s="17">
        <v>50</v>
      </c>
      <c r="C18" s="17">
        <v>14</v>
      </c>
      <c r="D18" s="17">
        <v>9.3065840098197103</v>
      </c>
      <c r="E18" s="17">
        <v>5.2263693164090297</v>
      </c>
      <c r="F18" s="17">
        <v>14.6812270983835</v>
      </c>
      <c r="G18" s="17">
        <v>5.2674483080310202</v>
      </c>
      <c r="H18" s="17">
        <v>11.7445373449399</v>
      </c>
      <c r="I18" s="17">
        <v>13.71022928689</v>
      </c>
      <c r="J18" s="17">
        <v>2.22621883319828</v>
      </c>
      <c r="K18" s="17">
        <v>7.2020732925984197</v>
      </c>
      <c r="L18" s="17">
        <v>8.1132996118796896</v>
      </c>
      <c r="M18" s="17">
        <v>8.2732038980074698</v>
      </c>
      <c r="N18" s="17">
        <v>8.5030768439480209</v>
      </c>
      <c r="O18" s="17">
        <v>5.5621802540712997</v>
      </c>
      <c r="P18" s="17">
        <v>10.4692680422792</v>
      </c>
      <c r="Q18" s="17">
        <v>9.2445861887216605</v>
      </c>
      <c r="R18" s="17">
        <v>7.4249249541017797</v>
      </c>
      <c r="S18" s="17">
        <v>5.99837263740155</v>
      </c>
      <c r="T18" s="17">
        <v>7.0441630493918801</v>
      </c>
      <c r="U18" s="17">
        <v>12.8079213983627</v>
      </c>
      <c r="V18" s="17">
        <v>12.492262658081099</v>
      </c>
      <c r="W18" s="17">
        <v>6.6187313809441504</v>
      </c>
      <c r="X18" s="17" t="s">
        <v>44</v>
      </c>
      <c r="Y18" s="17">
        <v>13.068130899521099</v>
      </c>
      <c r="Z18" s="17">
        <v>5.99272071906947</v>
      </c>
      <c r="AA18" s="17">
        <v>5.5064224521737701</v>
      </c>
      <c r="AB18" s="17">
        <v>19.5535359139447</v>
      </c>
      <c r="AC18" s="17">
        <v>15.342225764198099</v>
      </c>
    </row>
    <row r="19" spans="1:29" x14ac:dyDescent="0.2">
      <c r="A19" s="17">
        <f t="shared" si="0"/>
        <v>12.813325085518047</v>
      </c>
      <c r="B19" s="17">
        <v>52</v>
      </c>
      <c r="C19" s="17">
        <v>15</v>
      </c>
      <c r="D19" s="17">
        <v>6.2956646250261104</v>
      </c>
      <c r="E19" s="17">
        <v>14.740867350978601</v>
      </c>
      <c r="F19" s="17">
        <v>7.3248703653587803</v>
      </c>
      <c r="G19" s="17">
        <v>15.091632828478399</v>
      </c>
      <c r="H19" s="17" t="s">
        <v>44</v>
      </c>
      <c r="I19" s="17">
        <v>51.401344413902201</v>
      </c>
      <c r="J19" s="17">
        <v>19.164940760735998</v>
      </c>
      <c r="K19" s="17">
        <v>11.0917675470077</v>
      </c>
      <c r="L19" s="17">
        <v>2.25468039272317</v>
      </c>
      <c r="M19" s="17">
        <v>4.9298060006447004</v>
      </c>
      <c r="N19" s="17">
        <v>2.66930617517168</v>
      </c>
      <c r="O19" s="17" t="s">
        <v>44</v>
      </c>
      <c r="P19" s="17">
        <v>6.3865498280965802</v>
      </c>
      <c r="Q19" s="17">
        <v>10.1963010770568</v>
      </c>
      <c r="R19" s="17">
        <v>16.333775451695701</v>
      </c>
      <c r="S19" s="17">
        <v>9.6480392808367696</v>
      </c>
      <c r="T19" s="17" t="s">
        <v>44</v>
      </c>
      <c r="U19" s="17">
        <v>12.6430514117868</v>
      </c>
      <c r="V19" s="17">
        <v>8.1503119975603706</v>
      </c>
      <c r="W19" s="17">
        <v>3.7935716762627898</v>
      </c>
      <c r="X19" s="17">
        <v>14.1556718641554</v>
      </c>
      <c r="Y19" s="17">
        <v>10.837147515443</v>
      </c>
      <c r="Z19" s="17">
        <v>16.202433890764901</v>
      </c>
      <c r="AA19" s="17">
        <v>29.882632177255701</v>
      </c>
      <c r="AB19" s="17">
        <v>10.6203177783855</v>
      </c>
      <c r="AC19" s="17">
        <v>10.891792557587401</v>
      </c>
    </row>
    <row r="20" spans="1:29" x14ac:dyDescent="0.2">
      <c r="A20" s="17">
        <f t="shared" si="0"/>
        <v>10.980445177012994</v>
      </c>
      <c r="B20" s="17">
        <v>54</v>
      </c>
      <c r="C20" s="17">
        <v>16</v>
      </c>
      <c r="D20" s="17">
        <v>9.7161605357885197</v>
      </c>
      <c r="E20" s="17">
        <v>7.9410095371629001</v>
      </c>
      <c r="F20" s="17">
        <v>3.0203599666493002</v>
      </c>
      <c r="G20" s="17">
        <v>14.195200952353099</v>
      </c>
      <c r="H20" s="17">
        <v>16.6499104335707</v>
      </c>
      <c r="I20" s="17">
        <v>40.122803645370603</v>
      </c>
      <c r="J20" s="17">
        <v>3.58978660299262</v>
      </c>
      <c r="K20" s="17">
        <v>4.9157244753134304</v>
      </c>
      <c r="L20" s="17">
        <v>11.9478373344832</v>
      </c>
      <c r="M20" s="17">
        <v>14.3284840308971</v>
      </c>
      <c r="N20" s="17">
        <v>10.1729705869193</v>
      </c>
      <c r="O20" s="17">
        <v>17.176219934088799</v>
      </c>
      <c r="P20" s="17">
        <v>12.1757699908141</v>
      </c>
      <c r="Q20" s="17">
        <v>8.1275726839788192</v>
      </c>
      <c r="R20" s="17">
        <v>9.7338623159309705</v>
      </c>
      <c r="S20" s="17">
        <v>8.4270006405635396</v>
      </c>
      <c r="T20" s="17">
        <v>11.682329313011399</v>
      </c>
      <c r="U20" s="17">
        <v>17.315512440720202</v>
      </c>
      <c r="V20" s="17">
        <v>6.9488696294896402</v>
      </c>
      <c r="W20" s="17">
        <v>13.7032878121795</v>
      </c>
      <c r="X20" s="17">
        <v>9.2136107750954004</v>
      </c>
      <c r="Y20" s="17">
        <v>7.7779895453042798</v>
      </c>
      <c r="Z20" s="17">
        <v>10.374121508658099</v>
      </c>
      <c r="AA20" s="17">
        <v>4.0594374268348803</v>
      </c>
      <c r="AB20" s="17">
        <v>6.6431287692620602</v>
      </c>
      <c r="AC20" s="17">
        <v>5.53261371490537</v>
      </c>
    </row>
    <row r="21" spans="1:29" x14ac:dyDescent="0.2">
      <c r="A21" s="17">
        <f t="shared" si="0"/>
        <v>8.7685922667339238</v>
      </c>
      <c r="B21" s="17">
        <v>56</v>
      </c>
      <c r="C21" s="17">
        <v>17</v>
      </c>
      <c r="D21" s="17">
        <v>12.7183924778569</v>
      </c>
      <c r="E21" s="17">
        <v>7.1826155194741297</v>
      </c>
      <c r="F21" s="17">
        <v>2.1409539748254498</v>
      </c>
      <c r="G21" s="17">
        <v>7.3229794559087997</v>
      </c>
      <c r="H21" s="17">
        <v>2.1739255987939599</v>
      </c>
      <c r="I21" s="17" t="s">
        <v>44</v>
      </c>
      <c r="J21" s="17">
        <v>5.2619436885321402</v>
      </c>
      <c r="K21" s="17">
        <v>4.6881540422729904</v>
      </c>
      <c r="L21" s="17">
        <v>4.8720639291232599</v>
      </c>
      <c r="M21" s="17">
        <v>12.6185081968804</v>
      </c>
      <c r="N21" s="17" t="s">
        <v>44</v>
      </c>
      <c r="O21" s="17">
        <v>4.7160554208182699</v>
      </c>
      <c r="P21" s="17">
        <v>2.24866437147849</v>
      </c>
      <c r="Q21" s="17">
        <v>26.886809547398698</v>
      </c>
      <c r="R21" s="17">
        <v>6.86674836317792</v>
      </c>
      <c r="S21" s="17">
        <v>13.495313452094599</v>
      </c>
      <c r="T21" s="17">
        <v>4.6699384796494998</v>
      </c>
      <c r="U21" s="17">
        <v>13.8496282610124</v>
      </c>
      <c r="V21" s="17">
        <v>7.0694546666856199</v>
      </c>
      <c r="W21" s="17">
        <v>16.176779359561099</v>
      </c>
      <c r="X21" s="17">
        <v>6.3001799577693998</v>
      </c>
      <c r="Y21" s="17">
        <v>11.798059333481399</v>
      </c>
      <c r="Z21" s="17">
        <v>12.445272871935201</v>
      </c>
      <c r="AA21" s="17">
        <v>11.6456223725441</v>
      </c>
      <c r="AB21" s="17">
        <v>4.2110590615414099</v>
      </c>
      <c r="AC21" s="17">
        <v>9.0870919987980692</v>
      </c>
    </row>
    <row r="22" spans="1:29" x14ac:dyDescent="0.2">
      <c r="A22" s="17">
        <f t="shared" si="0"/>
        <v>7.2830146046416253</v>
      </c>
      <c r="B22" s="17">
        <v>58</v>
      </c>
      <c r="C22" s="17">
        <v>18</v>
      </c>
      <c r="D22" s="17">
        <v>9.1462705954662091</v>
      </c>
      <c r="E22" s="17">
        <v>16.254922842243701</v>
      </c>
      <c r="F22" s="17">
        <v>3.9006321277264702</v>
      </c>
      <c r="G22" s="17">
        <v>1.4317392020253901</v>
      </c>
      <c r="H22" s="17">
        <v>3.2473455428936902</v>
      </c>
      <c r="I22" s="17">
        <v>15.8569618837678</v>
      </c>
      <c r="J22" s="17">
        <v>8.34033559682514</v>
      </c>
      <c r="K22" s="17">
        <v>10.215362332602201</v>
      </c>
      <c r="L22" s="17">
        <v>10.6390165431038</v>
      </c>
      <c r="M22" s="17">
        <v>0.48665744400729899</v>
      </c>
      <c r="N22" s="17">
        <v>6.0115057745527496</v>
      </c>
      <c r="O22" s="17">
        <v>6.0937971531245196</v>
      </c>
      <c r="P22" s="17">
        <v>8.1185975901801193</v>
      </c>
      <c r="Q22" s="17">
        <v>13.7133759587991</v>
      </c>
      <c r="R22" s="17">
        <v>1.9124250790127999</v>
      </c>
      <c r="S22" s="17">
        <v>13.678676254250099</v>
      </c>
      <c r="T22" s="17">
        <v>6.3904076067200002</v>
      </c>
      <c r="U22" s="17">
        <v>3.2549103759233899</v>
      </c>
      <c r="V22" s="17">
        <v>6.98608772759082</v>
      </c>
      <c r="W22" s="17">
        <v>10.368779665824301</v>
      </c>
      <c r="X22" s="17">
        <v>5.5161740125350001</v>
      </c>
      <c r="Y22" s="17">
        <v>6.3950970343098401</v>
      </c>
      <c r="Z22" s="17">
        <v>4.9865977026391803</v>
      </c>
      <c r="AA22" s="17">
        <v>4.4456499271933296</v>
      </c>
      <c r="AB22" s="17">
        <v>3.6993880334355</v>
      </c>
      <c r="AC22" s="17">
        <v>8.2676657139297998</v>
      </c>
    </row>
    <row r="23" spans="1:29" x14ac:dyDescent="0.2">
      <c r="A23" s="17">
        <f t="shared" si="0"/>
        <v>9.1984622296053207</v>
      </c>
      <c r="B23" s="17">
        <v>59</v>
      </c>
      <c r="C23" s="17">
        <v>19</v>
      </c>
      <c r="D23" s="17" t="s">
        <v>44</v>
      </c>
      <c r="E23" s="17">
        <v>7.3682892642905502</v>
      </c>
      <c r="F23" s="17">
        <v>5.7931013283475501</v>
      </c>
      <c r="G23" s="17">
        <v>8.8750015531188602</v>
      </c>
      <c r="H23" s="17">
        <v>4.5347997077056101</v>
      </c>
      <c r="I23" s="17">
        <v>24.345598356766299</v>
      </c>
      <c r="J23" s="17">
        <v>8.7816352040553092</v>
      </c>
      <c r="K23" s="17">
        <v>10.0522535672755</v>
      </c>
      <c r="L23" s="17">
        <v>15.979447912739399</v>
      </c>
      <c r="M23" s="17">
        <v>11.5620426079821</v>
      </c>
      <c r="N23" s="17">
        <v>3.34344490846419</v>
      </c>
      <c r="O23" s="17">
        <v>16.571678033429901</v>
      </c>
      <c r="P23" s="17">
        <v>6.5899375242460598</v>
      </c>
      <c r="Q23" s="17">
        <v>15.0164975662166</v>
      </c>
      <c r="R23" s="17">
        <v>8.1242466210762991</v>
      </c>
      <c r="S23" s="17">
        <v>17.2063883947386</v>
      </c>
      <c r="T23" s="17">
        <v>11.3544735943194</v>
      </c>
      <c r="U23" s="17">
        <v>3.6972973951857</v>
      </c>
      <c r="V23" s="17">
        <v>0.81785564502456598</v>
      </c>
      <c r="W23" s="17">
        <v>10.6768864656768</v>
      </c>
      <c r="X23" s="17">
        <v>7.2776903830038</v>
      </c>
      <c r="Y23" s="17">
        <v>7.0563047224610003</v>
      </c>
      <c r="Z23" s="17">
        <v>7.0247321983550002</v>
      </c>
      <c r="AA23" s="17">
        <v>9.1023905525186404</v>
      </c>
      <c r="AB23" s="17">
        <v>6.0622786177458297</v>
      </c>
      <c r="AC23" s="17">
        <v>2.74728361538949</v>
      </c>
    </row>
    <row r="24" spans="1:29" x14ac:dyDescent="0.2">
      <c r="A24" s="17">
        <f t="shared" si="0"/>
        <v>10.910014966978885</v>
      </c>
      <c r="B24" s="17">
        <v>61</v>
      </c>
      <c r="C24" s="17">
        <v>20</v>
      </c>
      <c r="D24" s="17">
        <v>22.1012290180775</v>
      </c>
      <c r="E24" s="17">
        <v>16.595363942384001</v>
      </c>
      <c r="F24" s="17">
        <v>12.3215727093121</v>
      </c>
      <c r="G24" s="17">
        <v>8.2977630055125697</v>
      </c>
      <c r="H24" s="17">
        <v>14.021868046214299</v>
      </c>
      <c r="I24" s="17">
        <v>18.087242182527099</v>
      </c>
      <c r="J24" s="17">
        <v>2.6032048107230898</v>
      </c>
      <c r="K24" s="17">
        <v>4.1373785545201196</v>
      </c>
      <c r="L24" s="17">
        <v>3.57251582252719</v>
      </c>
      <c r="M24" s="17">
        <v>15.994946501741399</v>
      </c>
      <c r="N24" s="17">
        <v>13.8881189796582</v>
      </c>
      <c r="O24" s="17">
        <v>13.9403458184754</v>
      </c>
      <c r="P24" s="17">
        <v>1.7589039576774099</v>
      </c>
      <c r="Q24" s="17">
        <v>8.2652380905664806</v>
      </c>
      <c r="R24" s="17">
        <v>7.6580784539436104</v>
      </c>
      <c r="S24" s="17">
        <v>16.409997801178299</v>
      </c>
      <c r="T24" s="17">
        <v>3.0418092130155601</v>
      </c>
      <c r="U24" s="17">
        <v>16.4109349922463</v>
      </c>
      <c r="V24" s="17">
        <v>12.014397294108701</v>
      </c>
      <c r="W24" s="17">
        <v>4.14731587329607</v>
      </c>
      <c r="X24" s="17" t="s">
        <v>44</v>
      </c>
      <c r="Y24" s="17">
        <v>10.440825856229701</v>
      </c>
      <c r="Z24" s="17">
        <v>6.3355778639255798</v>
      </c>
      <c r="AA24" s="17">
        <v>15.8480690923782</v>
      </c>
      <c r="AB24" s="17">
        <v>12.612099260681999</v>
      </c>
      <c r="AC24" s="17">
        <v>12.245577033551299</v>
      </c>
    </row>
    <row r="25" spans="1:29" x14ac:dyDescent="0.2">
      <c r="A25" s="17">
        <f t="shared" si="0"/>
        <v>11.828974450954652</v>
      </c>
      <c r="B25" s="17">
        <v>63</v>
      </c>
      <c r="C25" s="17">
        <v>21</v>
      </c>
      <c r="D25" s="17" t="s">
        <v>44</v>
      </c>
      <c r="E25" s="17">
        <v>5.2821564653466497</v>
      </c>
      <c r="F25" s="17">
        <v>3.2249047364166801</v>
      </c>
      <c r="G25" s="17">
        <v>8.8081735529820993</v>
      </c>
      <c r="H25" s="17">
        <v>8.0158345008910992</v>
      </c>
      <c r="I25" s="17">
        <v>30.754512656283001</v>
      </c>
      <c r="J25" s="17">
        <v>11.598212615108499</v>
      </c>
      <c r="K25" s="17">
        <v>8.1360622159607203</v>
      </c>
      <c r="L25" s="17">
        <v>1.9754803142426101</v>
      </c>
      <c r="M25" s="17">
        <v>16.959438458694301</v>
      </c>
      <c r="N25" s="17">
        <v>1.4820999976812601</v>
      </c>
      <c r="O25" s="17">
        <v>7.39737521461333</v>
      </c>
      <c r="P25" s="17">
        <v>3.43076201387121</v>
      </c>
      <c r="Q25" s="17">
        <v>33.661429125466199</v>
      </c>
      <c r="R25" s="17">
        <v>7.4764259395181503</v>
      </c>
      <c r="S25" s="17">
        <v>4.6650085890071002</v>
      </c>
      <c r="T25" s="17">
        <v>3.8733546113572301</v>
      </c>
      <c r="U25" s="17">
        <v>8.9797625802337606</v>
      </c>
      <c r="V25" s="17">
        <v>11.9001416811642</v>
      </c>
      <c r="W25" s="17">
        <v>10.381076251856401</v>
      </c>
      <c r="X25" s="17">
        <v>18.573010084713498</v>
      </c>
      <c r="Y25" s="17">
        <v>17.832515578110101</v>
      </c>
      <c r="Z25" s="17">
        <v>8.3952179767655402</v>
      </c>
      <c r="AA25" s="17">
        <v>35.683013517146101</v>
      </c>
      <c r="AB25" s="17">
        <v>14.844825256990299</v>
      </c>
      <c r="AC25" s="17">
        <v>12.3935673394462</v>
      </c>
    </row>
    <row r="26" spans="1:29" x14ac:dyDescent="0.2">
      <c r="A26" s="17">
        <f t="shared" si="0"/>
        <v>12.372542695217559</v>
      </c>
      <c r="B26" s="17">
        <v>65</v>
      </c>
      <c r="C26" s="17">
        <v>22</v>
      </c>
      <c r="D26" s="17">
        <v>19.671485415211901</v>
      </c>
      <c r="E26" s="17">
        <v>11.0340906121952</v>
      </c>
      <c r="F26" s="17">
        <v>21.529897858534301</v>
      </c>
      <c r="G26" s="17">
        <v>7.2878364026228297</v>
      </c>
      <c r="H26" s="17">
        <v>4.7678419649274799</v>
      </c>
      <c r="I26" s="17">
        <v>47.983287915337797</v>
      </c>
      <c r="J26" s="17">
        <v>2.4084703348662799</v>
      </c>
      <c r="K26" s="17">
        <v>7.30327145122423</v>
      </c>
      <c r="L26" s="17">
        <v>17.053948584625601</v>
      </c>
      <c r="M26" s="17">
        <v>5.0688896017537797</v>
      </c>
      <c r="N26" s="17">
        <v>3.7666406851624301</v>
      </c>
      <c r="O26" s="17">
        <v>11.149526016439999</v>
      </c>
      <c r="P26" s="17">
        <v>7.1041722844050401</v>
      </c>
      <c r="Q26" s="17">
        <v>12.7537556326612</v>
      </c>
      <c r="R26" s="17">
        <v>2.4274440260315702</v>
      </c>
      <c r="S26" s="17">
        <v>25.895006199196398</v>
      </c>
      <c r="T26" s="17">
        <v>3.03345073609416</v>
      </c>
      <c r="U26" s="17">
        <v>11.465812003097801</v>
      </c>
      <c r="V26" s="17">
        <v>10.1042097121239</v>
      </c>
      <c r="W26" s="17">
        <v>17.4296945595385</v>
      </c>
      <c r="X26" s="17">
        <v>11.017800328945</v>
      </c>
      <c r="Y26" s="17">
        <v>8.5457068675684003</v>
      </c>
      <c r="Z26" s="17">
        <v>7.9137764386407898</v>
      </c>
      <c r="AA26" s="17">
        <v>13.024112374306499</v>
      </c>
      <c r="AB26" s="17">
        <v>19.573439374927901</v>
      </c>
      <c r="AC26" s="17" t="s">
        <v>44</v>
      </c>
    </row>
    <row r="27" spans="1:29" x14ac:dyDescent="0.2">
      <c r="A27" s="17">
        <f t="shared" si="0"/>
        <v>10.189336888537987</v>
      </c>
      <c r="B27" s="17">
        <v>67</v>
      </c>
      <c r="C27" s="17">
        <v>23</v>
      </c>
      <c r="D27" s="17">
        <v>21.638347080046799</v>
      </c>
      <c r="E27" s="17">
        <v>9.4209407074887004</v>
      </c>
      <c r="F27" s="17">
        <v>7.5897296722320702</v>
      </c>
      <c r="G27" s="17">
        <v>9.4438543549725704</v>
      </c>
      <c r="H27" s="17">
        <v>5.5250437493837197</v>
      </c>
      <c r="I27" s="17" t="s">
        <v>44</v>
      </c>
      <c r="J27" s="17">
        <v>17.1307076967732</v>
      </c>
      <c r="K27" s="17">
        <v>2.74772250806088</v>
      </c>
      <c r="L27" s="17">
        <v>15.873807285866601</v>
      </c>
      <c r="M27" s="17">
        <v>15.4782001372255</v>
      </c>
      <c r="N27" s="17">
        <v>6.1902174823479204</v>
      </c>
      <c r="O27" s="17">
        <v>14.666501682735801</v>
      </c>
      <c r="P27" s="17" t="s">
        <v>44</v>
      </c>
      <c r="Q27" s="17">
        <v>5.8315232687467002</v>
      </c>
      <c r="R27" s="17">
        <v>13.696879796305399</v>
      </c>
      <c r="S27" s="17">
        <v>28.0638427141179</v>
      </c>
      <c r="T27" s="17">
        <v>5.1960435680629198</v>
      </c>
      <c r="U27" s="17">
        <v>13.8228056996848</v>
      </c>
      <c r="V27" s="17">
        <v>6.9197771085276498</v>
      </c>
      <c r="W27" s="17">
        <v>3.7303536149052499</v>
      </c>
      <c r="X27" s="17">
        <v>5.2227405317735798</v>
      </c>
      <c r="Y27" s="17">
        <v>3.0218361065627901</v>
      </c>
      <c r="Z27" s="17">
        <v>7.3336812042280997</v>
      </c>
      <c r="AA27" s="17">
        <v>5.6208555777868101</v>
      </c>
      <c r="AB27" s="17" t="s">
        <v>44</v>
      </c>
      <c r="AC27" s="17" t="s">
        <v>44</v>
      </c>
    </row>
    <row r="28" spans="1:29" x14ac:dyDescent="0.2">
      <c r="A28" s="17">
        <f t="shared" si="0"/>
        <v>12.34483751725951</v>
      </c>
      <c r="B28" s="17">
        <v>69</v>
      </c>
      <c r="C28" s="17">
        <v>24</v>
      </c>
      <c r="D28" s="17">
        <v>25.039806058526299</v>
      </c>
      <c r="E28" s="17">
        <v>18.136450912453899</v>
      </c>
      <c r="F28" s="17">
        <v>17.806237851453801</v>
      </c>
      <c r="G28" s="17">
        <v>5.3511045734444602</v>
      </c>
      <c r="H28" s="17">
        <v>6.1346633630345497</v>
      </c>
      <c r="I28" s="17">
        <v>30.352713480375598</v>
      </c>
      <c r="J28" s="17">
        <v>3.3386177021769101</v>
      </c>
      <c r="K28" s="17">
        <v>2.9338693052806799</v>
      </c>
      <c r="L28" s="17">
        <v>14.8110034202597</v>
      </c>
      <c r="M28" s="17">
        <v>6.0619374367718599</v>
      </c>
      <c r="N28" s="17">
        <v>24.074612999526298</v>
      </c>
      <c r="O28" s="17">
        <v>9.5982305180666803</v>
      </c>
      <c r="P28" s="17">
        <v>12.401697271447199</v>
      </c>
      <c r="Q28" s="17">
        <v>17.537600401100701</v>
      </c>
      <c r="R28" s="17">
        <v>16.534076175494899</v>
      </c>
      <c r="S28" s="17">
        <v>8.5889248084177598</v>
      </c>
      <c r="T28" s="17">
        <v>14.2470631091456</v>
      </c>
      <c r="U28" s="17">
        <v>5.6354435980461197</v>
      </c>
      <c r="V28" s="17">
        <v>6.52490416030472</v>
      </c>
      <c r="W28" s="17">
        <v>12.5445490505378</v>
      </c>
      <c r="X28" s="17">
        <v>12.487141227254201</v>
      </c>
      <c r="Y28" s="17">
        <v>9.7507036168547607</v>
      </c>
      <c r="Z28" s="17">
        <v>12.5042710689558</v>
      </c>
      <c r="AA28" s="17">
        <v>10.8125104333447</v>
      </c>
      <c r="AB28" s="17">
        <v>7.72908670851184</v>
      </c>
      <c r="AC28" s="17">
        <v>10.0285561979604</v>
      </c>
    </row>
    <row r="29" spans="1:29" x14ac:dyDescent="0.2">
      <c r="A29" s="17">
        <f t="shared" si="0"/>
        <v>8.0195489731093108</v>
      </c>
      <c r="B29" s="17">
        <v>6</v>
      </c>
      <c r="C29" s="17">
        <v>25</v>
      </c>
      <c r="D29" s="17" t="s">
        <v>44</v>
      </c>
      <c r="E29" s="17">
        <v>7.3719994446964803</v>
      </c>
      <c r="F29" s="17">
        <v>15.6333737241967</v>
      </c>
      <c r="G29" s="17">
        <v>4.4535875531613298</v>
      </c>
      <c r="H29" s="17">
        <v>3.2604874858777899</v>
      </c>
      <c r="I29" s="17">
        <v>16.092524796977699</v>
      </c>
      <c r="J29" s="17">
        <v>5.2673045210132399</v>
      </c>
      <c r="K29" s="17">
        <v>3.26481711150161</v>
      </c>
      <c r="L29" s="17">
        <v>6.2461451745122103</v>
      </c>
      <c r="M29" s="17">
        <v>8.2996361654690407</v>
      </c>
      <c r="N29" s="17">
        <v>4.1525718058355796</v>
      </c>
      <c r="O29" s="17">
        <v>9.0758023024962302</v>
      </c>
      <c r="P29" s="17">
        <v>7.1542015541174502</v>
      </c>
      <c r="Q29" s="17">
        <v>5.1365750071557796</v>
      </c>
      <c r="R29" s="17">
        <v>12.0730068167417</v>
      </c>
      <c r="S29" s="17" t="s">
        <v>44</v>
      </c>
      <c r="T29" s="17">
        <v>9.4095260479201297</v>
      </c>
      <c r="U29" s="17">
        <v>5.4030912692137703</v>
      </c>
      <c r="V29" s="17">
        <v>12.161741961535901</v>
      </c>
      <c r="W29" s="17">
        <v>8.2978001431980903</v>
      </c>
      <c r="X29" s="17">
        <v>5.2156510746467202</v>
      </c>
      <c r="Y29" s="17">
        <v>8.1901267660514794</v>
      </c>
      <c r="Z29" s="17">
        <v>7.5308821716454197</v>
      </c>
      <c r="AA29" s="17">
        <v>12.023993632986899</v>
      </c>
      <c r="AB29" s="17">
        <v>7.3536070997150897</v>
      </c>
      <c r="AC29" s="17">
        <v>9.4007217239571101</v>
      </c>
    </row>
    <row r="30" spans="1:29" x14ac:dyDescent="0.2">
      <c r="A30" s="17">
        <f t="shared" si="0"/>
        <v>12.717086702755807</v>
      </c>
      <c r="B30" s="17">
        <v>70</v>
      </c>
      <c r="C30" s="17">
        <v>26</v>
      </c>
      <c r="D30" s="17">
        <v>15.019477614404099</v>
      </c>
      <c r="E30" s="17">
        <v>6.8632311958974199</v>
      </c>
      <c r="F30" s="17">
        <v>14.087305407194901</v>
      </c>
      <c r="G30" s="17">
        <v>25.918579538437601</v>
      </c>
      <c r="H30" s="17">
        <v>3.9346438357773801</v>
      </c>
      <c r="I30" s="17">
        <v>50.614560793625103</v>
      </c>
      <c r="J30" s="17">
        <v>9.4995928410229205</v>
      </c>
      <c r="K30" s="17">
        <v>7.3712274844400003</v>
      </c>
      <c r="L30" s="17" t="s">
        <v>44</v>
      </c>
      <c r="M30" s="17">
        <v>8.2985415345711395</v>
      </c>
      <c r="N30" s="17">
        <v>8.2214572189384096</v>
      </c>
      <c r="O30" s="17">
        <v>17.259844437807299</v>
      </c>
      <c r="P30" s="17">
        <v>9.8205753861351202</v>
      </c>
      <c r="Q30" s="17">
        <v>13.7525489992959</v>
      </c>
      <c r="R30" s="17">
        <v>11.0164176272962</v>
      </c>
      <c r="S30" s="17">
        <v>11.1186983236171</v>
      </c>
      <c r="T30" s="17">
        <v>2.7258021227978899</v>
      </c>
      <c r="U30" s="17">
        <v>9.9093206800051608</v>
      </c>
      <c r="V30" s="17">
        <v>6.7208523825673296</v>
      </c>
      <c r="W30" s="17">
        <v>8.7320409564467205</v>
      </c>
      <c r="X30" s="17">
        <v>9.79559440109138</v>
      </c>
      <c r="Y30" s="17" t="s">
        <v>44</v>
      </c>
      <c r="Z30" s="17">
        <v>20.909750220857301</v>
      </c>
      <c r="AA30" s="17">
        <v>13.4766378820832</v>
      </c>
      <c r="AB30" s="17">
        <v>7.9778660977702804</v>
      </c>
      <c r="AC30" s="17">
        <v>12.1655138840595</v>
      </c>
    </row>
    <row r="31" spans="1:29" x14ac:dyDescent="0.2">
      <c r="A31" s="17">
        <f t="shared" si="0"/>
        <v>8.3904450722329038</v>
      </c>
      <c r="B31" s="17">
        <v>72</v>
      </c>
      <c r="C31" s="17">
        <v>27</v>
      </c>
      <c r="D31" s="17">
        <v>24.477639853123598</v>
      </c>
      <c r="E31" s="17">
        <v>4.5800580575947203</v>
      </c>
      <c r="F31" s="17">
        <v>1.77637592514948</v>
      </c>
      <c r="G31" s="17">
        <v>5.2211933185044801</v>
      </c>
      <c r="H31" s="17">
        <v>7.5230608099865597</v>
      </c>
      <c r="I31" s="17">
        <v>19.9894648828474</v>
      </c>
      <c r="J31" s="17">
        <v>5.1105745484746699</v>
      </c>
      <c r="K31" s="17">
        <v>8.9742498502999606</v>
      </c>
      <c r="L31" s="17">
        <v>4.1487395098714996</v>
      </c>
      <c r="M31" s="17">
        <v>14.7746069953242</v>
      </c>
      <c r="N31" s="17">
        <v>5.5004394722535803</v>
      </c>
      <c r="O31" s="17">
        <v>4.2964193858152999</v>
      </c>
      <c r="P31" s="17">
        <v>2.5023967856537901</v>
      </c>
      <c r="Q31" s="17">
        <v>1.6035361340483101</v>
      </c>
      <c r="R31" s="17">
        <v>4.9086811200140401</v>
      </c>
      <c r="S31" s="17">
        <v>1.9213739165353301</v>
      </c>
      <c r="T31" s="17">
        <v>8.4356680002317805</v>
      </c>
      <c r="U31" s="17">
        <v>9.6572894396682099</v>
      </c>
      <c r="V31" s="17">
        <v>2.5438399902890798</v>
      </c>
      <c r="W31" s="17">
        <v>21.644928914856099</v>
      </c>
      <c r="X31" s="17">
        <v>14.826448116755101</v>
      </c>
      <c r="Y31" s="17">
        <v>9.1080084281351699</v>
      </c>
      <c r="Z31" s="17">
        <v>8.4369349277496504</v>
      </c>
      <c r="AA31" s="17">
        <v>10.228112930511699</v>
      </c>
      <c r="AB31" s="17">
        <v>7.4106543186915896</v>
      </c>
      <c r="AC31" s="17">
        <v>8.5508762456701</v>
      </c>
    </row>
    <row r="32" spans="1:29" x14ac:dyDescent="0.2">
      <c r="A32" s="17">
        <f t="shared" si="0"/>
        <v>8.1609741521888335</v>
      </c>
      <c r="B32" s="17">
        <v>74</v>
      </c>
      <c r="C32" s="17">
        <v>28</v>
      </c>
      <c r="D32" s="17">
        <v>22.197926590816401</v>
      </c>
      <c r="E32" s="17">
        <v>6.5640465444087397</v>
      </c>
      <c r="F32" s="17">
        <v>9.6255583344378408</v>
      </c>
      <c r="G32" s="17">
        <v>11.8529193415789</v>
      </c>
      <c r="H32" s="17">
        <v>5.3175417968191203</v>
      </c>
      <c r="I32" s="17" t="s">
        <v>44</v>
      </c>
      <c r="J32" s="17">
        <v>4.6251900155567203</v>
      </c>
      <c r="K32" s="17">
        <v>6.8916526661933704</v>
      </c>
      <c r="L32" s="17">
        <v>5.1117471755669701</v>
      </c>
      <c r="M32" s="17">
        <v>4.1312590280894197</v>
      </c>
      <c r="N32" s="17">
        <v>16.867742903732399</v>
      </c>
      <c r="O32" s="17">
        <v>6.1713584912335904</v>
      </c>
      <c r="P32" s="17">
        <v>7.0184637777611298</v>
      </c>
      <c r="Q32" s="17">
        <v>4.5168316071529802</v>
      </c>
      <c r="R32" s="17">
        <v>2.1359225134055899</v>
      </c>
      <c r="S32" s="17">
        <v>10.0314739111479</v>
      </c>
      <c r="T32" s="17">
        <v>3.99154608365866</v>
      </c>
      <c r="U32" s="17">
        <v>12.9198007519225</v>
      </c>
      <c r="V32" s="17">
        <v>7.2362018509173298</v>
      </c>
      <c r="W32" s="17">
        <v>11.484400157200399</v>
      </c>
      <c r="X32" s="17">
        <v>7.28545762704419</v>
      </c>
      <c r="Y32" s="17">
        <v>11.236005057046</v>
      </c>
      <c r="Z32" s="17">
        <v>6.3230575890006202</v>
      </c>
      <c r="AA32" s="17">
        <v>4.6022884332656098</v>
      </c>
      <c r="AB32" s="17">
        <v>9.3223786778295405</v>
      </c>
      <c r="AC32" s="17">
        <v>6.5635828789348896</v>
      </c>
    </row>
    <row r="33" spans="1:29" x14ac:dyDescent="0.2">
      <c r="A33" s="17">
        <f t="shared" si="0"/>
        <v>7.4071182042487598</v>
      </c>
      <c r="B33" s="17">
        <v>75</v>
      </c>
      <c r="C33" s="17">
        <v>29</v>
      </c>
      <c r="D33" s="17">
        <v>6.1035197255640901</v>
      </c>
      <c r="E33" s="17">
        <v>9.62521839536514</v>
      </c>
      <c r="F33" s="17">
        <v>19.306818640678699</v>
      </c>
      <c r="G33" s="17">
        <v>4.7360783255122501</v>
      </c>
      <c r="H33" s="17">
        <v>12.483267793324901</v>
      </c>
      <c r="I33" s="17">
        <v>1.66155922704188</v>
      </c>
      <c r="J33" s="17">
        <v>4.7785789876863598</v>
      </c>
      <c r="K33" s="17">
        <v>3.9442526106568998</v>
      </c>
      <c r="L33" s="17">
        <v>1.43729749098061</v>
      </c>
      <c r="M33" s="17">
        <v>3.9143313457419802</v>
      </c>
      <c r="N33" s="17">
        <v>15.4791031953482</v>
      </c>
      <c r="O33" s="17">
        <v>11.2145309301211</v>
      </c>
      <c r="P33" s="17">
        <v>4.36933247913512</v>
      </c>
      <c r="Q33" s="17">
        <v>3.9277191272165202</v>
      </c>
      <c r="R33" s="17">
        <v>3.2054966082970502</v>
      </c>
      <c r="S33" s="17">
        <v>3.5697395850023899</v>
      </c>
      <c r="T33" s="17">
        <v>16.085281069117901</v>
      </c>
      <c r="U33" s="17">
        <v>1.6124503348424599</v>
      </c>
      <c r="V33" s="17">
        <v>10.738061713765701</v>
      </c>
      <c r="W33" s="17">
        <v>13.3339302333041</v>
      </c>
      <c r="X33" s="17">
        <v>6.1797810739898198</v>
      </c>
      <c r="Y33" s="17">
        <v>11.5363036665554</v>
      </c>
      <c r="Z33" s="17">
        <v>5.0110346273661897</v>
      </c>
      <c r="AA33" s="17">
        <v>10.4416500956572</v>
      </c>
      <c r="AB33" s="17">
        <v>4.9229199163543997</v>
      </c>
      <c r="AC33" s="17">
        <v>2.9668161118413598</v>
      </c>
    </row>
    <row r="34" spans="1:29" x14ac:dyDescent="0.2">
      <c r="A34" s="17">
        <f t="shared" si="0"/>
        <v>10.360889984241757</v>
      </c>
      <c r="B34" s="17">
        <v>78</v>
      </c>
      <c r="C34" s="17">
        <v>30</v>
      </c>
      <c r="D34" s="17">
        <v>14.5594940010843</v>
      </c>
      <c r="E34" s="17">
        <v>7.3652543101218999</v>
      </c>
      <c r="F34" s="17">
        <v>18.3421255454905</v>
      </c>
      <c r="G34" s="17">
        <v>6.66758578743611</v>
      </c>
      <c r="H34" s="17">
        <v>2.40748020108758</v>
      </c>
      <c r="I34" s="17">
        <v>41.746474009762203</v>
      </c>
      <c r="J34" s="17">
        <v>11.3088075679879</v>
      </c>
      <c r="K34" s="17">
        <v>7.4040838454677296</v>
      </c>
      <c r="L34" s="17">
        <v>11.5116915425005</v>
      </c>
      <c r="M34" s="17">
        <v>10.7767537311914</v>
      </c>
      <c r="N34" s="17">
        <v>24.192846293349699</v>
      </c>
      <c r="O34" s="17">
        <v>10.3225824557952</v>
      </c>
      <c r="P34" s="17">
        <v>5.8942778335433701</v>
      </c>
      <c r="Q34" s="17">
        <v>3.9732018996952401</v>
      </c>
      <c r="R34" s="17">
        <v>3.6863930955307098</v>
      </c>
      <c r="S34" s="17">
        <v>6.4929884078449502</v>
      </c>
      <c r="T34" s="17">
        <v>5.3498142942159603</v>
      </c>
      <c r="U34" s="17">
        <v>6.6500431065739596</v>
      </c>
      <c r="V34" s="17">
        <v>6.7236051279526299</v>
      </c>
      <c r="W34" s="17">
        <v>10.777998575699201</v>
      </c>
      <c r="X34" s="17">
        <v>8.6667767916600607</v>
      </c>
      <c r="Y34" s="17">
        <v>7.1552694914263002</v>
      </c>
      <c r="Z34" s="17">
        <v>15.561806146042001</v>
      </c>
      <c r="AA34" s="17">
        <v>6.5391746540419398</v>
      </c>
      <c r="AB34" s="17">
        <v>4.9958357814026098</v>
      </c>
      <c r="AC34" s="17">
        <v>10.3107750933817</v>
      </c>
    </row>
    <row r="35" spans="1:29" x14ac:dyDescent="0.2">
      <c r="A35" s="17">
        <f t="shared" si="0"/>
        <v>12.891392050800462</v>
      </c>
      <c r="B35" s="17">
        <v>80</v>
      </c>
      <c r="C35" s="17">
        <v>31</v>
      </c>
      <c r="D35" s="17">
        <v>7.7842080648652203</v>
      </c>
      <c r="E35" s="17">
        <v>7.7076763028205999</v>
      </c>
      <c r="F35" s="17">
        <v>14.730796995480601</v>
      </c>
      <c r="G35" s="17">
        <v>6.8105924325586402</v>
      </c>
      <c r="H35" s="17">
        <v>10.724044912583301</v>
      </c>
      <c r="I35" s="17">
        <v>23.8320030485648</v>
      </c>
      <c r="J35" s="17">
        <v>11.8755722930524</v>
      </c>
      <c r="K35" s="17">
        <v>7.7013301721297802</v>
      </c>
      <c r="L35" s="17">
        <v>7.0315999148651196</v>
      </c>
      <c r="M35" s="17">
        <v>8.3653843337420799</v>
      </c>
      <c r="N35" s="17" t="s">
        <v>44</v>
      </c>
      <c r="O35" s="17">
        <v>9.2646612439543699</v>
      </c>
      <c r="P35" s="17">
        <v>5.1107456661333401</v>
      </c>
      <c r="Q35" s="17">
        <v>13.0824719497364</v>
      </c>
      <c r="R35" s="17">
        <v>3.9927207939045299</v>
      </c>
      <c r="S35" s="17">
        <v>6.0393711523858702</v>
      </c>
      <c r="T35" s="17">
        <v>17.858642130911001</v>
      </c>
      <c r="U35" s="17">
        <v>21.479924925569399</v>
      </c>
      <c r="V35" s="17">
        <v>11.7645235245246</v>
      </c>
      <c r="W35" s="17">
        <v>19.052229094899101</v>
      </c>
      <c r="X35" s="17">
        <v>22.7954632503093</v>
      </c>
      <c r="Y35" s="17">
        <v>20.5201793597099</v>
      </c>
      <c r="Z35" s="17">
        <v>18.5883513675095</v>
      </c>
      <c r="AA35" s="17">
        <v>24.852507760048098</v>
      </c>
      <c r="AB35" s="17">
        <v>13.544096850994601</v>
      </c>
      <c r="AC35" s="17">
        <v>7.7757037287589696</v>
      </c>
    </row>
    <row r="36" spans="1:29" x14ac:dyDescent="0.2">
      <c r="A36" s="17">
        <f t="shared" si="0"/>
        <v>7.2092188522774459</v>
      </c>
      <c r="B36" s="17">
        <v>82</v>
      </c>
      <c r="C36" s="17">
        <v>32</v>
      </c>
      <c r="D36" s="17">
        <v>7.4322514461809499</v>
      </c>
      <c r="E36" s="17">
        <v>7.2269160519256896</v>
      </c>
      <c r="F36" s="17">
        <v>4.9865073948213796</v>
      </c>
      <c r="G36" s="17">
        <v>4.2463790431367903</v>
      </c>
      <c r="H36" s="17">
        <v>3.3714502426736201</v>
      </c>
      <c r="I36" s="17">
        <v>12.961761817063501</v>
      </c>
      <c r="J36" s="17">
        <v>5.3524233971421102</v>
      </c>
      <c r="K36" s="17">
        <v>7.6425745712897903</v>
      </c>
      <c r="L36" s="17" t="s">
        <v>44</v>
      </c>
      <c r="M36" s="17">
        <v>3.5191492421103598</v>
      </c>
      <c r="N36" s="17">
        <v>11.4128699550779</v>
      </c>
      <c r="O36" s="17">
        <v>5.4947882824915304</v>
      </c>
      <c r="P36" s="17">
        <v>10.1302184674479</v>
      </c>
      <c r="Q36" s="17">
        <v>4.8295351046584702</v>
      </c>
      <c r="R36" s="17">
        <v>2.4731076449426701</v>
      </c>
      <c r="S36" s="17">
        <v>9.5844986443590106</v>
      </c>
      <c r="T36" s="17">
        <v>4.2019518661465201</v>
      </c>
      <c r="U36" s="17">
        <v>6.5575803862098203</v>
      </c>
      <c r="V36" s="17">
        <v>17.316363929047299</v>
      </c>
      <c r="W36" s="17">
        <v>11.3981765654094</v>
      </c>
      <c r="X36" s="17">
        <v>11.005812956193299</v>
      </c>
      <c r="Y36" s="17">
        <v>5.8151170082409998</v>
      </c>
      <c r="Z36" s="17">
        <v>7.9448290877277996</v>
      </c>
      <c r="AA36" s="17">
        <v>5.28017939736492</v>
      </c>
      <c r="AB36" s="17">
        <v>6.2397745321015101</v>
      </c>
      <c r="AC36" s="17">
        <v>3.8062542731728799</v>
      </c>
    </row>
    <row r="37" spans="1:29" x14ac:dyDescent="0.2">
      <c r="A37" s="17">
        <f t="shared" si="0"/>
        <v>8.7142677984872527</v>
      </c>
      <c r="B37" s="17">
        <v>84</v>
      </c>
      <c r="C37" s="17">
        <v>33</v>
      </c>
      <c r="D37" s="17">
        <v>11.549111578906601</v>
      </c>
      <c r="E37" s="17">
        <v>10.1310925611886</v>
      </c>
      <c r="F37" s="17">
        <v>2.4803878805065498</v>
      </c>
      <c r="G37" s="17">
        <v>11.4682455271069</v>
      </c>
      <c r="H37" s="17">
        <v>6.7229323542464998</v>
      </c>
      <c r="I37" s="17">
        <v>21.1719105454684</v>
      </c>
      <c r="J37" s="17">
        <v>4.2007878378843797</v>
      </c>
      <c r="K37" s="17">
        <v>5.0900825423548604</v>
      </c>
      <c r="L37" s="17">
        <v>25.418535395110599</v>
      </c>
      <c r="M37" s="17">
        <v>5.9695432361090699</v>
      </c>
      <c r="N37" s="17">
        <v>7.0112911178720099</v>
      </c>
      <c r="O37" s="17">
        <v>4.4692231363661499</v>
      </c>
      <c r="P37" s="17">
        <v>2.7114920669190798</v>
      </c>
      <c r="Q37" s="17">
        <v>3.9773799715589702</v>
      </c>
      <c r="R37" s="17">
        <v>5.1231902192898104</v>
      </c>
      <c r="S37" s="17">
        <v>21.4237029690014</v>
      </c>
      <c r="T37" s="17">
        <v>3.9247635648963901</v>
      </c>
      <c r="U37" s="17">
        <v>16.106636712093401</v>
      </c>
      <c r="V37" s="17">
        <v>8.0488432473911704</v>
      </c>
      <c r="W37" s="17">
        <v>9.6058887506174102</v>
      </c>
      <c r="X37" s="17">
        <v>6.1633860154836597</v>
      </c>
      <c r="Y37" s="17">
        <v>4.50042318067179</v>
      </c>
      <c r="Z37" s="17">
        <v>11.802917636462899</v>
      </c>
      <c r="AA37" s="17">
        <v>10.7512838083764</v>
      </c>
      <c r="AB37" s="17">
        <v>3.9301276705994601</v>
      </c>
      <c r="AC37" s="17">
        <v>2.81778323418607</v>
      </c>
    </row>
    <row r="38" spans="1:29" x14ac:dyDescent="0.2">
      <c r="A38" s="17">
        <f t="shared" si="0"/>
        <v>10.841221832992879</v>
      </c>
      <c r="B38" s="17">
        <v>85</v>
      </c>
      <c r="C38" s="17">
        <v>34</v>
      </c>
      <c r="D38" s="17">
        <v>15.075048880297899</v>
      </c>
      <c r="E38" s="17" t="s">
        <v>44</v>
      </c>
      <c r="F38" s="17">
        <v>11.1261915501634</v>
      </c>
      <c r="G38" s="17">
        <v>12.451848428014999</v>
      </c>
      <c r="H38" s="17">
        <v>3.0210452883767398</v>
      </c>
      <c r="I38" s="17">
        <v>46.898041841396797</v>
      </c>
      <c r="J38" s="17">
        <v>3.8794186956571002</v>
      </c>
      <c r="K38" s="17">
        <v>10.4894116015533</v>
      </c>
      <c r="L38" s="17" t="s">
        <v>44</v>
      </c>
      <c r="M38" s="17">
        <v>13.8166545474158</v>
      </c>
      <c r="N38" s="17">
        <v>7.4496753261888298</v>
      </c>
      <c r="O38" s="17">
        <v>5.9804287067857604</v>
      </c>
      <c r="P38" s="17">
        <v>6.3659700719768999</v>
      </c>
      <c r="Q38" s="17">
        <v>5.5326289534319599</v>
      </c>
      <c r="R38" s="17">
        <v>13.679187373658101</v>
      </c>
      <c r="S38" s="17">
        <v>19.106738266522001</v>
      </c>
      <c r="T38" s="17">
        <v>8.7660895202772302</v>
      </c>
      <c r="U38" s="17">
        <v>5.7976966506530001</v>
      </c>
      <c r="V38" s="17">
        <v>3.1118187884709698</v>
      </c>
      <c r="W38" s="17">
        <v>21.1676705167466</v>
      </c>
      <c r="X38" s="17">
        <v>5.27642337589793</v>
      </c>
      <c r="Y38" s="17">
        <v>5.4455292094915801</v>
      </c>
      <c r="Z38" s="17">
        <v>8.5699847393981194</v>
      </c>
      <c r="AA38" s="17">
        <v>3.6133585295736199</v>
      </c>
      <c r="AB38" s="17">
        <v>11.532211757639301</v>
      </c>
      <c r="AC38" s="17">
        <v>12.0362513722412</v>
      </c>
    </row>
    <row r="39" spans="1:29" x14ac:dyDescent="0.2">
      <c r="A39" s="17">
        <f t="shared" si="0"/>
        <v>13.426056651284801</v>
      </c>
      <c r="B39" s="17">
        <v>86</v>
      </c>
      <c r="C39" s="17">
        <v>35</v>
      </c>
      <c r="D39" s="17">
        <v>19.7418824819887</v>
      </c>
      <c r="E39" s="17">
        <v>8.6785503919275495</v>
      </c>
      <c r="F39" s="17">
        <v>19.384624260431298</v>
      </c>
      <c r="G39" s="17">
        <v>14.268324041185799</v>
      </c>
      <c r="H39" s="17">
        <v>8.4772948767861305</v>
      </c>
      <c r="I39" s="17">
        <v>48.597773334446003</v>
      </c>
      <c r="J39" s="17">
        <v>2.77279432180995</v>
      </c>
      <c r="K39" s="17">
        <v>8.0236991144754999</v>
      </c>
      <c r="L39" s="17">
        <v>8.8555719875487799</v>
      </c>
      <c r="M39" s="17">
        <v>13.910194331543901</v>
      </c>
      <c r="N39" s="17">
        <v>9.7100512284072895</v>
      </c>
      <c r="O39" s="17">
        <v>8.4237716961329099</v>
      </c>
      <c r="P39" s="17">
        <v>12.469683688367301</v>
      </c>
      <c r="Q39" s="17" t="s">
        <v>44</v>
      </c>
      <c r="R39" s="17">
        <v>13.128985998497701</v>
      </c>
      <c r="S39" s="17">
        <v>1.70697259387865</v>
      </c>
      <c r="T39" s="17">
        <v>10.621958436995399</v>
      </c>
      <c r="U39" s="17">
        <v>15.947158235560901</v>
      </c>
      <c r="V39" s="17">
        <v>11.305732764082</v>
      </c>
      <c r="W39" s="17">
        <v>1.6846557239414499</v>
      </c>
      <c r="X39" s="17">
        <v>17.122667240463301</v>
      </c>
      <c r="Y39" s="17">
        <v>22.246735915063201</v>
      </c>
      <c r="Z39" s="17" t="s">
        <v>44</v>
      </c>
      <c r="AA39" s="17">
        <v>28.495603658840899</v>
      </c>
      <c r="AB39" s="17">
        <v>7.1156958514809903</v>
      </c>
      <c r="AC39" s="17">
        <v>9.5349774569796306</v>
      </c>
    </row>
    <row r="40" spans="1:29" x14ac:dyDescent="0.2">
      <c r="A40" s="17">
        <f t="shared" si="0"/>
        <v>8.9407606779116051</v>
      </c>
      <c r="B40" s="17">
        <v>87</v>
      </c>
      <c r="C40" s="17">
        <v>36</v>
      </c>
      <c r="D40" s="17">
        <v>19.2548807138249</v>
      </c>
      <c r="E40" s="17">
        <v>10.862402983805699</v>
      </c>
      <c r="F40" s="17">
        <v>2.9009914112311801</v>
      </c>
      <c r="G40" s="17">
        <v>6.1467593246064798</v>
      </c>
      <c r="H40" s="17">
        <v>2.3405443414630298</v>
      </c>
      <c r="I40" s="17">
        <v>20.472312251032999</v>
      </c>
      <c r="J40" s="17">
        <v>10.0364771841954</v>
      </c>
      <c r="K40" s="17">
        <v>10.363465364364499</v>
      </c>
      <c r="L40" s="17">
        <v>7.0851880387778401</v>
      </c>
      <c r="M40" s="17">
        <v>6.4273505504180299</v>
      </c>
      <c r="N40" s="17">
        <v>2.57057083840209</v>
      </c>
      <c r="O40" s="17">
        <v>9.1215165772649893</v>
      </c>
      <c r="P40" s="17">
        <v>4.9402032282729298</v>
      </c>
      <c r="Q40" s="17">
        <v>10.223363365356899</v>
      </c>
      <c r="R40" s="17">
        <v>4.4090467320000704</v>
      </c>
      <c r="S40" s="17">
        <v>5.0310657768371403</v>
      </c>
      <c r="T40" s="17">
        <v>10.0370840553056</v>
      </c>
      <c r="U40" s="17">
        <v>8.2477519347023307</v>
      </c>
      <c r="V40" s="17">
        <v>5.8915565412789297</v>
      </c>
      <c r="W40" s="17">
        <v>4.3349231574489897</v>
      </c>
      <c r="X40" s="17">
        <v>6.7183383195837996</v>
      </c>
      <c r="Y40" s="17">
        <v>10.9348198679982</v>
      </c>
      <c r="Z40" s="17">
        <v>15.659697589511399</v>
      </c>
      <c r="AA40" s="17">
        <v>10.8613289280113</v>
      </c>
      <c r="AB40" s="17">
        <v>14.5451793350305</v>
      </c>
      <c r="AC40" s="17">
        <v>13.0429592149765</v>
      </c>
    </row>
    <row r="41" spans="1:29" x14ac:dyDescent="0.2">
      <c r="A41" s="17">
        <f t="shared" si="0"/>
        <v>9.6655497222360101</v>
      </c>
      <c r="B41" s="17">
        <v>88</v>
      </c>
      <c r="C41" s="17">
        <v>37</v>
      </c>
      <c r="D41" s="17">
        <v>15.758243022931</v>
      </c>
      <c r="E41" s="17">
        <v>11.991052334735</v>
      </c>
      <c r="F41" s="17">
        <v>5.50068144851301</v>
      </c>
      <c r="G41" s="17">
        <v>13.619527113625001</v>
      </c>
      <c r="H41" s="17">
        <v>15.0699416925866</v>
      </c>
      <c r="I41" s="17">
        <v>10.723103533975401</v>
      </c>
      <c r="J41" s="17" t="s">
        <v>44</v>
      </c>
      <c r="K41" s="17">
        <v>6.0057643868323503</v>
      </c>
      <c r="L41" s="17">
        <v>3.9036739647645602</v>
      </c>
      <c r="M41" s="17">
        <v>6.3765887276845197</v>
      </c>
      <c r="N41" s="17">
        <v>6.7179212909289996</v>
      </c>
      <c r="O41" s="17">
        <v>7.7036481079000998</v>
      </c>
      <c r="P41" s="17">
        <v>10.8627437688112</v>
      </c>
      <c r="Q41" s="17">
        <v>15.9041491829487</v>
      </c>
      <c r="R41" s="17">
        <v>1.7453372786049901</v>
      </c>
      <c r="S41" s="17">
        <v>16.587438962526502</v>
      </c>
      <c r="T41" s="17">
        <v>12.1621475064081</v>
      </c>
      <c r="U41" s="17">
        <v>3.48944047719506</v>
      </c>
      <c r="V41" s="17">
        <v>5.6686462216289097</v>
      </c>
      <c r="W41" s="17" t="s">
        <v>44</v>
      </c>
      <c r="X41" s="17">
        <v>11.5089527445332</v>
      </c>
      <c r="Y41" s="17">
        <v>10.6661958251293</v>
      </c>
      <c r="Z41" s="17">
        <v>9.6846359690445105</v>
      </c>
      <c r="AA41" s="17">
        <v>12.879712509812601</v>
      </c>
      <c r="AB41" s="17" t="s">
        <v>44</v>
      </c>
      <c r="AC41" s="17">
        <v>7.7780975403086696</v>
      </c>
    </row>
    <row r="42" spans="1:29" x14ac:dyDescent="0.2">
      <c r="A42" s="17">
        <f t="shared" si="0"/>
        <v>10.978871277369963</v>
      </c>
      <c r="B42" s="17">
        <v>89</v>
      </c>
      <c r="C42" s="17">
        <v>38</v>
      </c>
      <c r="D42" s="17">
        <v>16.052188128641401</v>
      </c>
      <c r="E42" s="17">
        <v>9.4608397028419091</v>
      </c>
      <c r="F42" s="17">
        <v>20.407429692186899</v>
      </c>
      <c r="G42" s="17">
        <v>4.5055405097186103</v>
      </c>
      <c r="H42" s="17">
        <v>10.198394984677799</v>
      </c>
      <c r="I42" s="17">
        <v>25.493125255723601</v>
      </c>
      <c r="J42" s="17">
        <v>6.6589040590547199</v>
      </c>
      <c r="K42" s="17">
        <v>13.280748994146</v>
      </c>
      <c r="L42" s="17">
        <v>6.6785180023516197</v>
      </c>
      <c r="M42" s="17">
        <v>18.425806126069201</v>
      </c>
      <c r="N42" s="17">
        <v>20.1387528958724</v>
      </c>
      <c r="O42" s="17">
        <v>8.1073075402639994</v>
      </c>
      <c r="P42" s="17">
        <v>8.5705465204458999</v>
      </c>
      <c r="Q42" s="17">
        <v>7.7871111881750199</v>
      </c>
      <c r="R42" s="17">
        <v>4.48973422156803</v>
      </c>
      <c r="S42" s="17">
        <v>20.182765996570399</v>
      </c>
      <c r="T42" s="17">
        <v>11.2267964844531</v>
      </c>
      <c r="U42" s="17">
        <v>9.1246380484605698</v>
      </c>
      <c r="V42" s="17">
        <v>15.991371579060001</v>
      </c>
      <c r="W42" s="17">
        <v>5.6959506587164297</v>
      </c>
      <c r="X42" s="17">
        <v>7.0823615654635104</v>
      </c>
      <c r="Y42" s="17">
        <v>6.0314441365242297</v>
      </c>
      <c r="Z42" s="17">
        <v>7.0647017546493096</v>
      </c>
      <c r="AA42" s="17">
        <v>9.5658940899516693</v>
      </c>
      <c r="AB42" s="17">
        <v>3.9215962856435298</v>
      </c>
      <c r="AC42" s="17">
        <v>9.3081847903891504</v>
      </c>
    </row>
    <row r="43" spans="1:29" x14ac:dyDescent="0.2">
      <c r="A43" s="17">
        <f t="shared" si="0"/>
        <v>10.692768078404981</v>
      </c>
      <c r="B43" s="17">
        <v>8</v>
      </c>
      <c r="C43" s="17">
        <v>39</v>
      </c>
      <c r="D43" s="17">
        <v>6.73347431392407</v>
      </c>
      <c r="E43" s="17">
        <v>18.4519407404362</v>
      </c>
      <c r="F43" s="17">
        <v>3.3883742282075202</v>
      </c>
      <c r="G43" s="17">
        <v>19.948899006065002</v>
      </c>
      <c r="H43" s="17">
        <v>1.38714014540422</v>
      </c>
      <c r="I43" s="17">
        <v>6.9536925113997698</v>
      </c>
      <c r="J43" s="17" t="s">
        <v>44</v>
      </c>
      <c r="K43" s="17">
        <v>5.43151113205721</v>
      </c>
      <c r="L43" s="17">
        <v>12.6951934639548</v>
      </c>
      <c r="M43" s="17">
        <v>11.727738942136099</v>
      </c>
      <c r="N43" s="17">
        <v>8.2582256588918792</v>
      </c>
      <c r="O43" s="17">
        <v>6.80608641443688</v>
      </c>
      <c r="P43" s="17">
        <v>9.09620581013003</v>
      </c>
      <c r="Q43" s="17">
        <v>6.0615558038919701</v>
      </c>
      <c r="R43" s="17">
        <v>0.95797044687519395</v>
      </c>
      <c r="S43" s="17">
        <v>18.791956615906599</v>
      </c>
      <c r="T43" s="17">
        <v>5.6689072335639503</v>
      </c>
      <c r="U43" s="17">
        <v>8.4032108932492804</v>
      </c>
      <c r="V43" s="17">
        <v>15.8082638608482</v>
      </c>
      <c r="W43" s="17">
        <v>5.8634858043313196</v>
      </c>
      <c r="X43" s="17">
        <v>27.339559440189401</v>
      </c>
      <c r="Y43" s="17">
        <v>15.8180450391415</v>
      </c>
      <c r="Z43" s="17">
        <v>18.462447738627901</v>
      </c>
      <c r="AA43" s="17">
        <v>16.785880842401198</v>
      </c>
      <c r="AB43" s="17">
        <v>11.7118274377896</v>
      </c>
      <c r="AC43" s="17">
        <v>4.7676084362647302</v>
      </c>
    </row>
    <row r="44" spans="1:29" x14ac:dyDescent="0.2">
      <c r="A44" s="17">
        <f t="shared" si="0"/>
        <v>7.3509188715925511</v>
      </c>
      <c r="B44" s="17">
        <v>91</v>
      </c>
      <c r="C44" s="17">
        <v>40</v>
      </c>
      <c r="D44" s="17">
        <v>6.5169998006318899</v>
      </c>
      <c r="E44" s="17">
        <v>6.1601476205429497</v>
      </c>
      <c r="F44" s="17">
        <v>2.3822922779308402</v>
      </c>
      <c r="G44" s="17">
        <v>12.068058357284</v>
      </c>
      <c r="H44" s="17">
        <v>3.0109304721426802</v>
      </c>
      <c r="I44" s="17" t="s">
        <v>44</v>
      </c>
      <c r="J44" s="17">
        <v>10.92171645324</v>
      </c>
      <c r="K44" s="17">
        <v>4.7123013068202004</v>
      </c>
      <c r="L44" s="17">
        <v>2.4115094056038302</v>
      </c>
      <c r="M44" s="17">
        <v>6.9280705059427703</v>
      </c>
      <c r="N44" s="17">
        <v>13.5084809267496</v>
      </c>
      <c r="O44" s="17">
        <v>5.4571634158742999</v>
      </c>
      <c r="P44" s="17">
        <v>10.508185852487999</v>
      </c>
      <c r="Q44" s="17">
        <v>5.9025237676130802</v>
      </c>
      <c r="R44" s="17">
        <v>2.1303923147636801</v>
      </c>
      <c r="S44" s="17" t="s">
        <v>44</v>
      </c>
      <c r="T44" s="17">
        <v>8.9140339023374704</v>
      </c>
      <c r="U44" s="17">
        <v>10.191721797685499</v>
      </c>
      <c r="V44" s="17">
        <v>7.1424606451010204</v>
      </c>
      <c r="W44" s="17">
        <v>6.5203179532506903</v>
      </c>
      <c r="X44" s="17">
        <v>4.2745914961207099</v>
      </c>
      <c r="Y44" s="17">
        <v>7.7819071442252801</v>
      </c>
      <c r="Z44" s="17">
        <v>7.1834540630158203</v>
      </c>
      <c r="AA44" s="17">
        <v>12.9368925997228</v>
      </c>
      <c r="AB44" s="17">
        <v>9.5979235796603408</v>
      </c>
      <c r="AC44" s="17">
        <v>9.2599772594737306</v>
      </c>
    </row>
    <row r="45" spans="1:29" x14ac:dyDescent="0.2">
      <c r="A45" s="17">
        <f t="shared" si="0"/>
        <v>8.2302400787871424</v>
      </c>
      <c r="B45" s="17">
        <v>93</v>
      </c>
      <c r="C45" s="17">
        <v>41</v>
      </c>
      <c r="D45" s="17" t="s">
        <v>44</v>
      </c>
      <c r="E45" s="17">
        <v>13.602251201204201</v>
      </c>
      <c r="F45" s="17">
        <v>1.8663874551977799</v>
      </c>
      <c r="G45" s="17">
        <v>1.90698438164282</v>
      </c>
      <c r="H45" s="17">
        <v>3.8795595446747302</v>
      </c>
      <c r="I45" s="17">
        <v>5.0665320813677397</v>
      </c>
      <c r="J45" s="17">
        <v>4.9384477206014603</v>
      </c>
      <c r="K45" s="17">
        <v>8.78200508172241</v>
      </c>
      <c r="L45" s="17">
        <v>3.05538934938137</v>
      </c>
      <c r="M45" s="17">
        <v>5.7424264560417599</v>
      </c>
      <c r="N45" s="17">
        <v>12.8837849356817</v>
      </c>
      <c r="O45" s="17">
        <v>9.3246867292463804</v>
      </c>
      <c r="P45" s="17">
        <v>8.4816912420405206</v>
      </c>
      <c r="Q45" s="17">
        <v>3.5394274765819098</v>
      </c>
      <c r="R45" s="17">
        <v>4.92310857113661</v>
      </c>
      <c r="S45" s="17">
        <v>15.1330394683417</v>
      </c>
      <c r="T45" s="17">
        <v>12.333588549258399</v>
      </c>
      <c r="U45" s="17">
        <v>13.0679480619313</v>
      </c>
      <c r="V45" s="17">
        <v>12.626575374327199</v>
      </c>
      <c r="W45" s="17">
        <v>5.4375482086440599</v>
      </c>
      <c r="X45" s="17">
        <v>7.8791505946268598</v>
      </c>
      <c r="Y45" s="17">
        <v>9.3569777381413992</v>
      </c>
      <c r="Z45" s="17">
        <v>7.0821637461861604</v>
      </c>
      <c r="AA45" s="17">
        <v>12.3302285357221</v>
      </c>
      <c r="AB45" s="17">
        <v>9.6547827472071592</v>
      </c>
      <c r="AC45" s="17">
        <v>12.861316718770899</v>
      </c>
    </row>
    <row r="46" spans="1:29" x14ac:dyDescent="0.2">
      <c r="A46" s="17">
        <f t="shared" si="0"/>
        <v>11.154777622541214</v>
      </c>
      <c r="B46" s="17">
        <v>94</v>
      </c>
      <c r="C46" s="17">
        <v>42</v>
      </c>
      <c r="D46" s="17" t="s">
        <v>44</v>
      </c>
      <c r="E46" s="17">
        <v>12.4392686807766</v>
      </c>
      <c r="F46" s="17">
        <v>2.8761545529705401</v>
      </c>
      <c r="G46" s="17">
        <v>8.9623408940577303</v>
      </c>
      <c r="H46" s="17">
        <v>10.843299046292399</v>
      </c>
      <c r="I46" s="17">
        <v>16.609018798755798</v>
      </c>
      <c r="J46" s="17">
        <v>6.9239705464914998</v>
      </c>
      <c r="K46" s="17">
        <v>11.027498232783101</v>
      </c>
      <c r="L46" s="17" t="s">
        <v>44</v>
      </c>
      <c r="M46" s="17">
        <v>5.3547433137637697</v>
      </c>
      <c r="N46" s="17">
        <v>2.26765496161071</v>
      </c>
      <c r="O46" s="17">
        <v>16.643799920002699</v>
      </c>
      <c r="P46" s="17">
        <v>10.0443801991099</v>
      </c>
      <c r="Q46" s="17">
        <v>10.7000847352201</v>
      </c>
      <c r="R46" s="17">
        <v>9.2477465769276908</v>
      </c>
      <c r="S46" s="17">
        <v>23.513568935372401</v>
      </c>
      <c r="T46" s="17">
        <v>12.360584017466101</v>
      </c>
      <c r="U46" s="17">
        <v>17.495159367243399</v>
      </c>
      <c r="V46" s="17">
        <v>7.19178762404949</v>
      </c>
      <c r="W46" s="17">
        <v>8.2521073070529898</v>
      </c>
      <c r="X46" s="17">
        <v>7.10206526599094</v>
      </c>
      <c r="Y46" s="17">
        <v>21.648192964966999</v>
      </c>
      <c r="Z46" s="17">
        <v>9.0114038870022899</v>
      </c>
      <c r="AA46" s="17">
        <v>20.958981975645301</v>
      </c>
      <c r="AB46" s="17" t="s">
        <v>44</v>
      </c>
      <c r="AC46" s="17">
        <v>5.0860735148954497</v>
      </c>
    </row>
    <row r="47" spans="1:29" x14ac:dyDescent="0.2">
      <c r="A47" s="17">
        <f t="shared" si="0"/>
        <v>8.0939144361592579</v>
      </c>
      <c r="B47" s="17">
        <v>95</v>
      </c>
      <c r="C47" s="17">
        <v>43</v>
      </c>
      <c r="D47" s="17" t="s">
        <v>44</v>
      </c>
      <c r="E47" s="17" t="s">
        <v>44</v>
      </c>
      <c r="F47" s="17">
        <v>10.7575327496357</v>
      </c>
      <c r="G47" s="17">
        <v>5.7461268401188601</v>
      </c>
      <c r="H47" s="17">
        <v>1.5660232018446001</v>
      </c>
      <c r="I47" s="17" t="s">
        <v>44</v>
      </c>
      <c r="J47" s="17">
        <v>11.6812513383184</v>
      </c>
      <c r="K47" s="17">
        <v>7.4636388686913699</v>
      </c>
      <c r="L47" s="17">
        <v>1.1453826319162601</v>
      </c>
      <c r="M47" s="17">
        <v>13.055090298165499</v>
      </c>
      <c r="N47" s="17" t="s">
        <v>44</v>
      </c>
      <c r="O47" s="17">
        <v>2.66399670591032</v>
      </c>
      <c r="P47" s="17" t="s">
        <v>44</v>
      </c>
      <c r="Q47" s="17" t="s">
        <v>44</v>
      </c>
      <c r="R47" s="17">
        <v>13.312636407945799</v>
      </c>
      <c r="S47" s="17">
        <v>14.0221882353149</v>
      </c>
      <c r="T47" s="17">
        <v>2.5353540232096199</v>
      </c>
      <c r="U47" s="17">
        <v>9.8732717024473899</v>
      </c>
      <c r="V47" s="17">
        <v>11.722443375029201</v>
      </c>
      <c r="W47" s="17">
        <v>10.887019778334899</v>
      </c>
      <c r="X47" s="17" t="s">
        <v>44</v>
      </c>
      <c r="Y47" s="17" t="s">
        <v>44</v>
      </c>
      <c r="Z47" s="17">
        <v>4.9767603855060303</v>
      </c>
      <c r="AA47" s="17" t="s">
        <v>44</v>
      </c>
      <c r="AB47" s="17" t="s">
        <v>44</v>
      </c>
      <c r="AC47" s="17" t="s">
        <v>44</v>
      </c>
    </row>
    <row r="48" spans="1:29" x14ac:dyDescent="0.2">
      <c r="A48" s="17">
        <f t="shared" si="0"/>
        <v>10.349669855622919</v>
      </c>
      <c r="B48" s="17">
        <v>96</v>
      </c>
      <c r="C48" s="17">
        <v>44</v>
      </c>
      <c r="D48" s="17">
        <v>19.8319726815491</v>
      </c>
      <c r="E48" s="17">
        <v>19.443996585600001</v>
      </c>
      <c r="F48" s="17">
        <v>21.745265848478802</v>
      </c>
      <c r="G48" s="17">
        <v>13.9375893520674</v>
      </c>
      <c r="H48" s="17">
        <v>12.0745767179036</v>
      </c>
      <c r="I48" s="17">
        <v>13.8546750924212</v>
      </c>
      <c r="J48" s="17">
        <v>4.7476000449370197</v>
      </c>
      <c r="K48" s="17">
        <v>15.280094139501101</v>
      </c>
      <c r="L48" s="17" t="s">
        <v>44</v>
      </c>
      <c r="M48" s="17">
        <v>11.288349900007301</v>
      </c>
      <c r="N48" s="17">
        <v>6.8240902395699399</v>
      </c>
      <c r="O48" s="17">
        <v>6.1992376206888702</v>
      </c>
      <c r="P48" s="17">
        <v>5.6988910005253803</v>
      </c>
      <c r="Q48" s="17">
        <v>14.296205754235199</v>
      </c>
      <c r="R48" s="17">
        <v>6.7730827090044396</v>
      </c>
      <c r="S48" s="17">
        <v>4.34801781794991</v>
      </c>
      <c r="T48" s="17">
        <v>6.8167985011475896</v>
      </c>
      <c r="U48" s="17">
        <v>2.6030934372427699</v>
      </c>
      <c r="V48" s="17">
        <v>2.9861488412926298</v>
      </c>
      <c r="W48" s="17">
        <v>4.8058522956091903</v>
      </c>
      <c r="X48" s="17">
        <v>11.915186486292001</v>
      </c>
      <c r="Y48" s="17">
        <v>11.4534114035075</v>
      </c>
      <c r="Z48" s="17">
        <v>13.2240341899386</v>
      </c>
      <c r="AA48" s="17">
        <v>9.2053011426293292</v>
      </c>
      <c r="AB48" s="17">
        <v>13.7918439711717</v>
      </c>
      <c r="AC48" s="17">
        <v>5.59643061730248</v>
      </c>
    </row>
    <row r="49" spans="1:29" x14ac:dyDescent="0.2">
      <c r="A49" s="17">
        <f t="shared" si="0"/>
        <v>8.4503881415741784</v>
      </c>
      <c r="B49" s="17">
        <v>9</v>
      </c>
      <c r="C49" s="17">
        <v>45</v>
      </c>
      <c r="D49" s="17" t="s">
        <v>44</v>
      </c>
      <c r="E49" s="17">
        <v>11.002458588646601</v>
      </c>
      <c r="F49" s="17">
        <v>6.2985023407630001</v>
      </c>
      <c r="G49" s="17">
        <v>6.1188888590120598</v>
      </c>
      <c r="H49" s="17">
        <v>3.11055672649365</v>
      </c>
      <c r="I49" s="17">
        <v>19.948954618119199</v>
      </c>
      <c r="J49" s="17">
        <v>7.06560523515871</v>
      </c>
      <c r="K49" s="17">
        <v>3.57230454091478</v>
      </c>
      <c r="L49" s="17">
        <v>19.741151125121799</v>
      </c>
      <c r="M49" s="17">
        <v>12.330933750825301</v>
      </c>
      <c r="N49" s="17">
        <v>11.7277612995784</v>
      </c>
      <c r="O49" s="17">
        <v>3.6827150446040702</v>
      </c>
      <c r="P49" s="17">
        <v>14.795183520937</v>
      </c>
      <c r="Q49" s="17">
        <v>2.97664729177855</v>
      </c>
      <c r="R49" s="17">
        <v>7.4656130262467197</v>
      </c>
      <c r="S49" s="17">
        <v>14.712253535062001</v>
      </c>
      <c r="T49" s="17">
        <v>2.7682241186262799</v>
      </c>
      <c r="U49" s="17">
        <v>2.3053616841733602</v>
      </c>
      <c r="V49" s="17">
        <v>5.9080169562907603</v>
      </c>
      <c r="W49" s="17">
        <v>6.8727300473360602</v>
      </c>
      <c r="X49" s="17">
        <v>5.5701227726673697</v>
      </c>
      <c r="Y49" s="17">
        <v>7.8595203000757303</v>
      </c>
      <c r="Z49" s="17">
        <v>11.5724329965573</v>
      </c>
      <c r="AA49" s="17">
        <v>9.08168901615268</v>
      </c>
      <c r="AB49" s="17">
        <v>10.7617723426381</v>
      </c>
      <c r="AC49" s="17">
        <v>4.0103038015749899</v>
      </c>
    </row>
  </sheetData>
  <phoneticPr fontId="1" type="noConversion"/>
  <conditionalFormatting sqref="A4:A49">
    <cfRule type="aboveAverage" dxfId="7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DF20-C0B0-4378-A79B-FEDFD754DB2A}">
  <dimension ref="A1:AC49"/>
  <sheetViews>
    <sheetView workbookViewId="0">
      <selection activeCell="D5" sqref="D5:W49"/>
    </sheetView>
  </sheetViews>
  <sheetFormatPr defaultColWidth="8.625" defaultRowHeight="11.25" x14ac:dyDescent="0.2"/>
  <cols>
    <col min="1" max="2" width="8.625" style="17"/>
    <col min="3" max="3" width="8.625" style="17" customWidth="1"/>
    <col min="4" max="16384" width="8.625" style="17"/>
  </cols>
  <sheetData>
    <row r="1" spans="1:29" s="9" customFormat="1" x14ac:dyDescent="0.2">
      <c r="B1" s="9" t="s">
        <v>46</v>
      </c>
      <c r="C1" s="10">
        <v>2</v>
      </c>
      <c r="D1" s="10">
        <v>11</v>
      </c>
      <c r="E1" s="10">
        <v>12</v>
      </c>
      <c r="F1" s="10">
        <v>18</v>
      </c>
      <c r="G1" s="10">
        <v>15</v>
      </c>
      <c r="H1" s="10">
        <v>3</v>
      </c>
      <c r="I1" s="10">
        <v>20</v>
      </c>
      <c r="J1" s="10">
        <v>19</v>
      </c>
      <c r="K1" s="10">
        <v>7</v>
      </c>
      <c r="L1" s="10">
        <v>8</v>
      </c>
      <c r="M1" s="10">
        <v>1</v>
      </c>
      <c r="N1" s="10">
        <v>16</v>
      </c>
      <c r="O1" s="10">
        <v>9</v>
      </c>
      <c r="P1" s="10">
        <v>4</v>
      </c>
      <c r="Q1" s="10">
        <v>5</v>
      </c>
      <c r="R1" s="10">
        <v>13</v>
      </c>
      <c r="S1" s="10">
        <v>17</v>
      </c>
      <c r="T1" s="10">
        <v>14</v>
      </c>
      <c r="U1" s="10">
        <v>10</v>
      </c>
      <c r="V1" s="10">
        <v>6</v>
      </c>
      <c r="W1" s="10"/>
      <c r="X1" s="10"/>
      <c r="Y1" s="10"/>
      <c r="Z1" s="10"/>
      <c r="AA1" s="10"/>
      <c r="AB1" s="10"/>
      <c r="AC1" s="10"/>
    </row>
    <row r="2" spans="1:29" s="9" customFormat="1" x14ac:dyDescent="0.2">
      <c r="B2" s="9" t="s">
        <v>47</v>
      </c>
      <c r="C2" s="10">
        <v>1</v>
      </c>
      <c r="D2" s="11">
        <v>2</v>
      </c>
      <c r="E2" s="11">
        <v>3</v>
      </c>
      <c r="F2" s="12">
        <v>4</v>
      </c>
      <c r="G2" s="13">
        <v>5</v>
      </c>
      <c r="H2" s="14">
        <v>6</v>
      </c>
      <c r="I2" s="10">
        <v>7</v>
      </c>
      <c r="J2" s="12">
        <v>8</v>
      </c>
      <c r="K2" s="15">
        <v>9</v>
      </c>
      <c r="L2" s="15">
        <v>10</v>
      </c>
      <c r="M2" s="16">
        <v>11</v>
      </c>
      <c r="N2" s="13">
        <v>12</v>
      </c>
      <c r="O2" s="15">
        <v>13</v>
      </c>
      <c r="P2" s="14">
        <v>14</v>
      </c>
      <c r="Q2" s="14">
        <v>15</v>
      </c>
      <c r="R2" s="11">
        <v>16</v>
      </c>
      <c r="S2" s="13">
        <v>17</v>
      </c>
      <c r="T2" s="11">
        <v>18</v>
      </c>
      <c r="U2" s="15">
        <v>19</v>
      </c>
      <c r="V2" s="14">
        <v>20</v>
      </c>
      <c r="W2" s="10">
        <v>21</v>
      </c>
      <c r="X2" s="10">
        <v>22</v>
      </c>
      <c r="Y2" s="10">
        <v>23</v>
      </c>
      <c r="Z2" s="10">
        <v>24</v>
      </c>
      <c r="AA2" s="10">
        <v>25</v>
      </c>
      <c r="AB2" s="10">
        <v>26</v>
      </c>
      <c r="AC2" s="10">
        <v>27</v>
      </c>
    </row>
    <row r="3" spans="1:29" s="9" customFormat="1" x14ac:dyDescent="0.2">
      <c r="C3" s="10" t="s">
        <v>0</v>
      </c>
      <c r="D3" s="11" t="s">
        <v>2</v>
      </c>
      <c r="E3" s="11" t="s">
        <v>4</v>
      </c>
      <c r="F3" s="12" t="s">
        <v>6</v>
      </c>
      <c r="G3" s="13" t="s">
        <v>8</v>
      </c>
      <c r="H3" s="14" t="s">
        <v>10</v>
      </c>
      <c r="I3" s="10" t="s">
        <v>12</v>
      </c>
      <c r="J3" s="12" t="s">
        <v>14</v>
      </c>
      <c r="K3" s="15" t="s">
        <v>16</v>
      </c>
      <c r="L3" s="15" t="s">
        <v>18</v>
      </c>
      <c r="M3" s="16" t="s">
        <v>20</v>
      </c>
      <c r="N3" s="13" t="s">
        <v>22</v>
      </c>
      <c r="O3" s="15" t="s">
        <v>24</v>
      </c>
      <c r="P3" s="14" t="s">
        <v>26</v>
      </c>
      <c r="Q3" s="14" t="s">
        <v>28</v>
      </c>
      <c r="R3" s="11" t="s">
        <v>30</v>
      </c>
      <c r="S3" s="13" t="s">
        <v>32</v>
      </c>
      <c r="T3" s="11" t="s">
        <v>34</v>
      </c>
      <c r="U3" s="15" t="s">
        <v>36</v>
      </c>
      <c r="V3" s="14" t="s">
        <v>38</v>
      </c>
      <c r="W3" s="10"/>
      <c r="X3" s="10"/>
      <c r="Y3" s="10"/>
      <c r="Z3" s="10"/>
      <c r="AA3" s="10"/>
      <c r="AB3" s="10"/>
      <c r="AC3" s="10"/>
    </row>
    <row r="4" spans="1:29" s="9" customFormat="1" ht="22.5" x14ac:dyDescent="0.2">
      <c r="A4" s="9" t="s">
        <v>94</v>
      </c>
      <c r="B4" s="17" t="s">
        <v>45</v>
      </c>
      <c r="C4" s="10" t="s">
        <v>1</v>
      </c>
      <c r="D4" s="11" t="s">
        <v>3</v>
      </c>
      <c r="E4" s="11" t="s">
        <v>5</v>
      </c>
      <c r="F4" s="12" t="s">
        <v>7</v>
      </c>
      <c r="G4" s="13" t="s">
        <v>9</v>
      </c>
      <c r="H4" s="14" t="s">
        <v>11</v>
      </c>
      <c r="I4" s="10" t="s">
        <v>13</v>
      </c>
      <c r="J4" s="12" t="s">
        <v>15</v>
      </c>
      <c r="K4" s="15" t="s">
        <v>17</v>
      </c>
      <c r="L4" s="15" t="s">
        <v>19</v>
      </c>
      <c r="M4" s="16" t="s">
        <v>21</v>
      </c>
      <c r="N4" s="13" t="s">
        <v>23</v>
      </c>
      <c r="O4" s="15" t="s">
        <v>25</v>
      </c>
      <c r="P4" s="14" t="s">
        <v>27</v>
      </c>
      <c r="Q4" s="14" t="s">
        <v>29</v>
      </c>
      <c r="R4" s="11" t="s">
        <v>31</v>
      </c>
      <c r="S4" s="13" t="s">
        <v>33</v>
      </c>
      <c r="T4" s="11" t="s">
        <v>35</v>
      </c>
      <c r="U4" s="15" t="s">
        <v>37</v>
      </c>
      <c r="V4" s="14" t="s">
        <v>39</v>
      </c>
      <c r="W4" s="10" t="s">
        <v>42</v>
      </c>
      <c r="X4" s="10" t="s">
        <v>42</v>
      </c>
      <c r="Y4" s="10" t="s">
        <v>42</v>
      </c>
      <c r="Z4" s="10" t="s">
        <v>48</v>
      </c>
      <c r="AA4" s="10" t="s">
        <v>49</v>
      </c>
      <c r="AB4" s="10" t="s">
        <v>50</v>
      </c>
      <c r="AC4" s="10" t="s">
        <v>51</v>
      </c>
    </row>
    <row r="5" spans="1:29" x14ac:dyDescent="0.2">
      <c r="A5" s="17">
        <f>AVERAGE(D5:AC5)</f>
        <v>9.5177825078946352</v>
      </c>
      <c r="B5" s="17">
        <v>1</v>
      </c>
      <c r="C5" s="17">
        <v>10.240027060626501</v>
      </c>
      <c r="D5" s="17">
        <v>6.7065332669519098</v>
      </c>
      <c r="E5" s="17">
        <v>5.5726418893788097</v>
      </c>
      <c r="F5" s="17">
        <v>2.5747564620783399</v>
      </c>
      <c r="G5" s="17">
        <v>7.0044448037446001</v>
      </c>
      <c r="H5" s="17">
        <v>16.794277675498599</v>
      </c>
      <c r="I5" s="17">
        <v>12.1666684541797</v>
      </c>
      <c r="J5" s="17">
        <v>4.4622289958429402</v>
      </c>
      <c r="K5" s="17">
        <v>18.746761109083899</v>
      </c>
      <c r="L5" s="17">
        <v>8.9230768033194998</v>
      </c>
      <c r="M5" s="17">
        <v>1.71569404240943</v>
      </c>
      <c r="N5" s="17">
        <v>8.8056791978221103</v>
      </c>
      <c r="O5" s="17">
        <v>4.3646056509047204</v>
      </c>
      <c r="P5" s="17">
        <v>7.6235670201125503</v>
      </c>
      <c r="Q5" s="17">
        <v>10.2505131755657</v>
      </c>
      <c r="R5" s="17">
        <v>23.473659649999</v>
      </c>
      <c r="S5" s="17">
        <v>2.1259325458535101</v>
      </c>
      <c r="T5" s="17">
        <v>2.02347054037212</v>
      </c>
      <c r="U5" s="17">
        <v>8.4746388941290505</v>
      </c>
      <c r="V5" s="17">
        <v>5.6114888882754999</v>
      </c>
      <c r="W5" s="17">
        <v>9.2275301803046794</v>
      </c>
      <c r="X5" s="17">
        <v>8.4644693044530896</v>
      </c>
      <c r="Y5" s="17">
        <v>5.8912748898957101</v>
      </c>
      <c r="Z5" s="17">
        <v>15.135671655810601</v>
      </c>
      <c r="AA5" s="17">
        <v>2.2295363248460598</v>
      </c>
      <c r="AB5" s="17">
        <v>5.7193041171039001</v>
      </c>
      <c r="AC5" s="17">
        <v>43.3739196673245</v>
      </c>
    </row>
    <row r="6" spans="1:29" x14ac:dyDescent="0.2">
      <c r="A6" s="17">
        <f t="shared" ref="A6:A49" si="0">AVERAGE(D6:AC6)</f>
        <v>12.40007360670581</v>
      </c>
      <c r="B6" s="17">
        <v>2</v>
      </c>
      <c r="C6" s="17">
        <v>12.069560011025599</v>
      </c>
      <c r="D6" s="17">
        <v>11.0366812517852</v>
      </c>
      <c r="E6" s="17" t="s">
        <v>44</v>
      </c>
      <c r="F6" s="17">
        <v>1.63497447495073</v>
      </c>
      <c r="G6" s="17">
        <v>15.3887148494216</v>
      </c>
      <c r="H6" s="17">
        <v>24.4748428900551</v>
      </c>
      <c r="I6" s="17">
        <v>4.9875326294750897</v>
      </c>
      <c r="J6" s="17">
        <v>17.408649286810501</v>
      </c>
      <c r="K6" s="17">
        <v>19.225136598754101</v>
      </c>
      <c r="L6" s="17">
        <v>9.2269657128296494</v>
      </c>
      <c r="M6" s="17">
        <v>19.784670843733402</v>
      </c>
      <c r="N6" s="17">
        <v>12.167422083543601</v>
      </c>
      <c r="O6" s="17">
        <v>11.011434799834801</v>
      </c>
      <c r="P6" s="17">
        <v>5.0579370375476298</v>
      </c>
      <c r="Q6" s="17">
        <v>21.014261378497402</v>
      </c>
      <c r="R6" s="17">
        <v>14.677774407299101</v>
      </c>
      <c r="S6" s="17">
        <v>14.488521925339301</v>
      </c>
      <c r="T6" s="17">
        <v>4.4589757527672296</v>
      </c>
      <c r="U6" s="17">
        <v>3.2290421859690399</v>
      </c>
      <c r="V6" s="17">
        <v>5.1132466228241897</v>
      </c>
      <c r="W6" s="17">
        <v>8.7014542767782093</v>
      </c>
      <c r="X6" s="17">
        <v>1.7820726203175701</v>
      </c>
      <c r="Y6" s="17">
        <v>8.0580757452451799</v>
      </c>
      <c r="Z6" s="17">
        <v>3.0475789128326198</v>
      </c>
      <c r="AA6" s="17">
        <v>11.511141347354499</v>
      </c>
      <c r="AB6" s="17">
        <v>26.4373009878978</v>
      </c>
      <c r="AC6" s="17">
        <v>36.0774315457817</v>
      </c>
    </row>
    <row r="7" spans="1:29" x14ac:dyDescent="0.2">
      <c r="A7" s="17">
        <f t="shared" si="0"/>
        <v>10.258873497579136</v>
      </c>
      <c r="B7" s="17">
        <v>3</v>
      </c>
      <c r="C7" s="17">
        <v>11.4338233669181</v>
      </c>
      <c r="D7" s="17">
        <v>10.028485560183499</v>
      </c>
      <c r="E7" s="17">
        <v>7.01166445631066</v>
      </c>
      <c r="F7" s="17">
        <v>4.3372208617872898</v>
      </c>
      <c r="G7" s="17">
        <v>13.476239134225899</v>
      </c>
      <c r="H7" s="17">
        <v>23.3534226919414</v>
      </c>
      <c r="I7" s="17">
        <v>9.4948309150980901</v>
      </c>
      <c r="J7" s="17">
        <v>5.4164078115583196</v>
      </c>
      <c r="K7" s="17">
        <v>6.6568527984463497</v>
      </c>
      <c r="L7" s="17">
        <v>10.957699078315899</v>
      </c>
      <c r="M7" s="17">
        <v>6.5440784001147296</v>
      </c>
      <c r="N7" s="17">
        <v>10.5539580051058</v>
      </c>
      <c r="O7" s="17">
        <v>5.5040842849600198</v>
      </c>
      <c r="P7" s="17">
        <v>1.35160485596062</v>
      </c>
      <c r="Q7" s="17">
        <v>2.4060848477361301</v>
      </c>
      <c r="R7" s="17">
        <v>7.5037554907572899</v>
      </c>
      <c r="S7" s="17">
        <v>7.5949055942031896</v>
      </c>
      <c r="T7" s="17">
        <v>8.73979165405221</v>
      </c>
      <c r="U7" s="17">
        <v>12.377257313632301</v>
      </c>
      <c r="V7" s="17">
        <v>11.2692290771316</v>
      </c>
      <c r="W7" s="17">
        <v>16.810902314098001</v>
      </c>
      <c r="X7" s="17">
        <v>10.640009894375901</v>
      </c>
      <c r="Y7" s="17">
        <v>9.8628096574348092</v>
      </c>
      <c r="Z7" s="17">
        <v>13.1356634044676</v>
      </c>
      <c r="AA7" s="17">
        <v>10.623388980058101</v>
      </c>
      <c r="AB7" s="17">
        <v>12.935319582151299</v>
      </c>
      <c r="AC7" s="17">
        <v>28.145044272950599</v>
      </c>
    </row>
    <row r="8" spans="1:29" x14ac:dyDescent="0.2">
      <c r="A8" s="17">
        <f t="shared" si="0"/>
        <v>10.855467489512547</v>
      </c>
      <c r="B8" s="17">
        <v>4</v>
      </c>
      <c r="C8" s="17">
        <v>12.182309976128399</v>
      </c>
      <c r="D8" s="17">
        <v>30.7724908972944</v>
      </c>
      <c r="E8" s="17">
        <v>2.9656548778176099</v>
      </c>
      <c r="F8" s="17">
        <v>8.3387309923096797</v>
      </c>
      <c r="G8" s="17">
        <v>8.5758282081668291</v>
      </c>
      <c r="H8" s="17">
        <v>4.2093053603255104</v>
      </c>
      <c r="I8" s="17">
        <v>10.6081503287665</v>
      </c>
      <c r="J8" s="17">
        <v>17.317250470793599</v>
      </c>
      <c r="K8" s="17">
        <v>9.7450622491899708</v>
      </c>
      <c r="L8" s="17">
        <v>3.8570772613525399</v>
      </c>
      <c r="M8" s="17">
        <v>13.1408766561332</v>
      </c>
      <c r="N8" s="17">
        <v>20.6708435312928</v>
      </c>
      <c r="O8" s="17">
        <v>2.2540561628547802</v>
      </c>
      <c r="P8" s="17">
        <v>10.8444315974851</v>
      </c>
      <c r="Q8" s="17">
        <v>18.908981596685301</v>
      </c>
      <c r="R8" s="17">
        <v>9.9552035579770504</v>
      </c>
      <c r="S8" s="17">
        <v>22.132484665841901</v>
      </c>
      <c r="T8" s="17">
        <v>7.7435947340472602</v>
      </c>
      <c r="U8" s="17">
        <v>7.42450022487151</v>
      </c>
      <c r="V8" s="17">
        <v>4.3261471362932102</v>
      </c>
      <c r="W8" s="17">
        <v>14.37441131295</v>
      </c>
      <c r="X8" s="17" t="s">
        <v>44</v>
      </c>
      <c r="Y8" s="17" t="s">
        <v>44</v>
      </c>
      <c r="Z8" s="17">
        <v>11.695986047218501</v>
      </c>
      <c r="AA8" s="17">
        <v>1.89531709636848</v>
      </c>
      <c r="AB8" s="17">
        <v>2.1350888920605202</v>
      </c>
      <c r="AC8" s="17">
        <v>16.6397458902049</v>
      </c>
    </row>
    <row r="9" spans="1:29" x14ac:dyDescent="0.2">
      <c r="A9" s="17">
        <f t="shared" si="0"/>
        <v>9.1593028065297819</v>
      </c>
      <c r="B9" s="17">
        <v>5</v>
      </c>
      <c r="C9" s="17">
        <v>19.016180480049599</v>
      </c>
      <c r="D9" s="17">
        <v>11.4766804996245</v>
      </c>
      <c r="E9" s="17" t="s">
        <v>44</v>
      </c>
      <c r="F9" s="17">
        <v>8.8440147651465697</v>
      </c>
      <c r="G9" s="17">
        <v>10.8759891744304</v>
      </c>
      <c r="H9" s="17">
        <v>12.454653957813701</v>
      </c>
      <c r="I9" s="17">
        <v>12.328430435607499</v>
      </c>
      <c r="J9" s="17">
        <v>4.3013733044640698</v>
      </c>
      <c r="K9" s="17" t="s">
        <v>44</v>
      </c>
      <c r="L9" s="17" t="s">
        <v>44</v>
      </c>
      <c r="M9" s="17" t="s">
        <v>44</v>
      </c>
      <c r="N9" s="17">
        <v>3.0614221964518502</v>
      </c>
      <c r="O9" s="17">
        <v>1.76117020844814</v>
      </c>
      <c r="P9" s="17">
        <v>5.3218619832455101</v>
      </c>
      <c r="Q9" s="17">
        <v>25.008509974884699</v>
      </c>
      <c r="R9" s="17">
        <v>6.3890256137162504</v>
      </c>
      <c r="S9" s="17">
        <v>5.5824938256590002</v>
      </c>
      <c r="T9" s="17" t="s">
        <v>44</v>
      </c>
      <c r="U9" s="17">
        <v>3.7013815586136101</v>
      </c>
      <c r="V9" s="17">
        <v>11.3253480281625</v>
      </c>
      <c r="W9" s="17">
        <v>11.101007391628199</v>
      </c>
      <c r="X9" s="17">
        <v>7.4798479296681402</v>
      </c>
      <c r="Y9" s="17">
        <v>16.688218092758699</v>
      </c>
      <c r="Z9" s="17">
        <v>5.5874076126013197</v>
      </c>
      <c r="AA9" s="17">
        <v>11.382046487974501</v>
      </c>
      <c r="AB9" s="17">
        <v>5.9856677464911803</v>
      </c>
      <c r="AC9" s="17">
        <v>11.688808149735101</v>
      </c>
    </row>
    <row r="10" spans="1:29" x14ac:dyDescent="0.2">
      <c r="A10" s="17">
        <f t="shared" si="0"/>
        <v>10.350901734797553</v>
      </c>
      <c r="B10" s="17">
        <v>6</v>
      </c>
      <c r="C10" s="17" t="s">
        <v>44</v>
      </c>
      <c r="D10" s="17">
        <v>7.2575856028670502</v>
      </c>
      <c r="E10" s="17">
        <v>12.6364528276921</v>
      </c>
      <c r="F10" s="17">
        <v>7.51325735324078</v>
      </c>
      <c r="G10" s="17">
        <v>14.4611221609656</v>
      </c>
      <c r="H10" s="17">
        <v>36.946301421076001</v>
      </c>
      <c r="I10" s="17">
        <v>10.6060757678712</v>
      </c>
      <c r="J10" s="17">
        <v>3.6090717550859099</v>
      </c>
      <c r="K10" s="17">
        <v>20.126451218906698</v>
      </c>
      <c r="L10" s="17">
        <v>1.8317546722778799</v>
      </c>
      <c r="M10" s="17" t="s">
        <v>44</v>
      </c>
      <c r="N10" s="17">
        <v>10.697847392680499</v>
      </c>
      <c r="O10" s="17">
        <v>8.5380783574611598</v>
      </c>
      <c r="P10" s="17">
        <v>6.1317584657736601</v>
      </c>
      <c r="Q10" s="17">
        <v>3.5170108168699201</v>
      </c>
      <c r="R10" s="17">
        <v>19.539204316259202</v>
      </c>
      <c r="S10" s="17">
        <v>2.4415419849390698</v>
      </c>
      <c r="T10" s="17">
        <v>14.7099201132727</v>
      </c>
      <c r="U10" s="17">
        <v>0.81048435858679102</v>
      </c>
      <c r="V10" s="17">
        <v>4.6401802588741203</v>
      </c>
      <c r="W10" s="17">
        <v>6.0556531180060498</v>
      </c>
      <c r="X10" s="17">
        <v>2.9890044718775202</v>
      </c>
      <c r="Y10" s="17">
        <v>9.4567276666117994</v>
      </c>
      <c r="Z10" s="17">
        <v>17.725607159438901</v>
      </c>
      <c r="AA10" s="17">
        <v>2.2533511166136599</v>
      </c>
      <c r="AB10" s="17">
        <v>2.33709364177242</v>
      </c>
      <c r="AC10" s="17">
        <v>31.941007350918099</v>
      </c>
    </row>
    <row r="11" spans="1:29" x14ac:dyDescent="0.2">
      <c r="A11" s="17">
        <f t="shared" si="0"/>
        <v>9.4825150526808084</v>
      </c>
      <c r="B11" s="17">
        <v>7</v>
      </c>
      <c r="C11" s="17">
        <v>11.900319927895801</v>
      </c>
      <c r="D11" s="17">
        <v>9.0432960076449902</v>
      </c>
      <c r="E11" s="17">
        <v>12.679629617914101</v>
      </c>
      <c r="F11" s="17">
        <v>4.1257282225287497</v>
      </c>
      <c r="G11" s="17">
        <v>5.8971198356538697</v>
      </c>
      <c r="H11" s="17">
        <v>22.503048567275702</v>
      </c>
      <c r="I11" s="17">
        <v>6.3487744035346898</v>
      </c>
      <c r="J11" s="17">
        <v>6.7596678253771101</v>
      </c>
      <c r="K11" s="17">
        <v>20.8851635715694</v>
      </c>
      <c r="L11" s="17">
        <v>5.6853226883741597</v>
      </c>
      <c r="M11" s="17">
        <v>13.164852359998401</v>
      </c>
      <c r="N11" s="17">
        <v>9.4809325426812894</v>
      </c>
      <c r="O11" s="17">
        <v>2.1048487930998698</v>
      </c>
      <c r="P11" s="17">
        <v>8.30941370831993</v>
      </c>
      <c r="Q11" s="17">
        <v>2.7572983347008702</v>
      </c>
      <c r="R11" s="17">
        <v>10.878953863564201</v>
      </c>
      <c r="S11" s="17">
        <v>3.4697350003145799</v>
      </c>
      <c r="T11" s="17">
        <v>2.5998295389927102</v>
      </c>
      <c r="U11" s="17">
        <v>7.3940107410135703</v>
      </c>
      <c r="V11" s="17">
        <v>4.3424906991033199</v>
      </c>
      <c r="W11" s="17">
        <v>15.496050358443901</v>
      </c>
      <c r="X11" s="17">
        <v>7.7184526065646901</v>
      </c>
      <c r="Y11" s="17">
        <v>3.1660916810287598</v>
      </c>
      <c r="Z11" s="17">
        <v>10.0540340301065</v>
      </c>
      <c r="AA11" s="17">
        <v>10.043167302563401</v>
      </c>
      <c r="AB11" s="17">
        <v>20.092821560232</v>
      </c>
      <c r="AC11" s="17">
        <v>21.544657509100301</v>
      </c>
    </row>
    <row r="12" spans="1:29" x14ac:dyDescent="0.2">
      <c r="A12" s="17">
        <f t="shared" si="0"/>
        <v>8.9098685374013478</v>
      </c>
      <c r="B12" s="17">
        <v>8</v>
      </c>
      <c r="C12" s="17">
        <v>14.1922619374556</v>
      </c>
      <c r="D12" s="17">
        <v>8.0370912462970203</v>
      </c>
      <c r="E12" s="17">
        <v>17.0135291199602</v>
      </c>
      <c r="F12" s="17">
        <v>5.0909288746115999</v>
      </c>
      <c r="G12" s="17">
        <v>4.3489253809462003</v>
      </c>
      <c r="H12" s="17">
        <v>19.840744440011399</v>
      </c>
      <c r="I12" s="17">
        <v>5.0189163046086103</v>
      </c>
      <c r="J12" s="17">
        <v>7.2673633086836302</v>
      </c>
      <c r="K12" s="17">
        <v>4.0153102266752798</v>
      </c>
      <c r="L12" s="17">
        <v>10.2002355138449</v>
      </c>
      <c r="M12" s="17">
        <v>11.877821749801999</v>
      </c>
      <c r="N12" s="17">
        <v>7.4173177857262704</v>
      </c>
      <c r="O12" s="17" t="s">
        <v>44</v>
      </c>
      <c r="P12" s="17">
        <v>5.8392104342057101</v>
      </c>
      <c r="Q12" s="17">
        <v>9.9159720286937407</v>
      </c>
      <c r="R12" s="17">
        <v>13.3227119775039</v>
      </c>
      <c r="S12" s="17">
        <v>8.9773528964635005</v>
      </c>
      <c r="T12" s="17">
        <v>9.0010642008261001</v>
      </c>
      <c r="U12" s="17">
        <v>7.1798487203257499</v>
      </c>
      <c r="V12" s="17">
        <v>13.6363080449965</v>
      </c>
      <c r="W12" s="17">
        <v>17.0692290487513</v>
      </c>
      <c r="X12" s="17">
        <v>5.6394715342704602</v>
      </c>
      <c r="Y12" s="17">
        <v>5.3240139726670002</v>
      </c>
      <c r="Z12" s="17">
        <v>1.4703505030183399</v>
      </c>
      <c r="AA12" s="17">
        <v>1.6551172402990599</v>
      </c>
      <c r="AB12" s="17">
        <v>7.2092961985451396</v>
      </c>
      <c r="AC12" s="17">
        <v>16.378582683300099</v>
      </c>
    </row>
    <row r="13" spans="1:29" x14ac:dyDescent="0.2">
      <c r="A13" s="17">
        <f t="shared" si="0"/>
        <v>12.67070786209676</v>
      </c>
      <c r="B13" s="17">
        <v>9</v>
      </c>
      <c r="C13" s="17">
        <v>18.242285473794698</v>
      </c>
      <c r="D13" s="17">
        <v>12.762594522176901</v>
      </c>
      <c r="E13" s="17" t="s">
        <v>44</v>
      </c>
      <c r="F13" s="17">
        <v>10.5483086419007</v>
      </c>
      <c r="G13" s="17">
        <v>15.601595926607001</v>
      </c>
      <c r="H13" s="17">
        <v>10.242105973678999</v>
      </c>
      <c r="I13" s="17">
        <v>6.2279524785837603</v>
      </c>
      <c r="J13" s="17">
        <v>6.3598941861576597</v>
      </c>
      <c r="K13" s="17">
        <v>31.418771588811801</v>
      </c>
      <c r="L13" s="17">
        <v>11.0833657157388</v>
      </c>
      <c r="M13" s="17" t="s">
        <v>44</v>
      </c>
      <c r="N13" s="17">
        <v>3.0874031528870498</v>
      </c>
      <c r="O13" s="17">
        <v>3.2041985224666099</v>
      </c>
      <c r="P13" s="17">
        <v>2.44765634945202</v>
      </c>
      <c r="Q13" s="17" t="s">
        <v>44</v>
      </c>
      <c r="R13" s="17">
        <v>19.129615383304099</v>
      </c>
      <c r="S13" s="17">
        <v>9.7947060725530708</v>
      </c>
      <c r="T13" s="17">
        <v>13.4047190907815</v>
      </c>
      <c r="U13" s="17">
        <v>10.457936798126299</v>
      </c>
      <c r="V13" s="17">
        <v>24.483004573925001</v>
      </c>
      <c r="W13" s="17">
        <v>36.267992608153598</v>
      </c>
      <c r="X13" s="17">
        <v>9.3189760989877506</v>
      </c>
      <c r="Y13" s="17">
        <v>4.9026516955457797</v>
      </c>
      <c r="Z13" s="17" t="s">
        <v>44</v>
      </c>
      <c r="AA13" s="17" t="s">
        <v>44</v>
      </c>
      <c r="AB13" s="17" t="s">
        <v>44</v>
      </c>
      <c r="AC13" s="17" t="s">
        <v>44</v>
      </c>
    </row>
    <row r="14" spans="1:29" x14ac:dyDescent="0.2">
      <c r="A14" s="17">
        <f t="shared" si="0"/>
        <v>10.106867543054875</v>
      </c>
      <c r="B14" s="17">
        <v>10</v>
      </c>
      <c r="C14" s="17">
        <v>6.7707795565667404</v>
      </c>
      <c r="D14" s="17">
        <v>7.22267229652146</v>
      </c>
      <c r="E14" s="17">
        <v>9.0283555171598202</v>
      </c>
      <c r="F14" s="17">
        <v>7.7991370112415197</v>
      </c>
      <c r="G14" s="17">
        <v>9.3445608836727594</v>
      </c>
      <c r="H14" s="17">
        <v>10.007639656528101</v>
      </c>
      <c r="I14" s="17">
        <v>20.2481388537147</v>
      </c>
      <c r="J14" s="17">
        <v>4.59305375600354</v>
      </c>
      <c r="K14" s="17">
        <v>23.601372147936001</v>
      </c>
      <c r="L14" s="17">
        <v>5.28179654088036</v>
      </c>
      <c r="M14" s="17">
        <v>12.883792045577801</v>
      </c>
      <c r="N14" s="17">
        <v>11.096508018494401</v>
      </c>
      <c r="O14" s="17">
        <v>8.3238868417567495</v>
      </c>
      <c r="P14" s="17">
        <v>10.003371926803499</v>
      </c>
      <c r="Q14" s="17">
        <v>12.2465943768771</v>
      </c>
      <c r="R14" s="17">
        <v>18.073958062504701</v>
      </c>
      <c r="S14" s="17">
        <v>6.4205786414913</v>
      </c>
      <c r="T14" s="17">
        <v>5.0686891872747504</v>
      </c>
      <c r="U14" s="17">
        <v>3.29825169557868</v>
      </c>
      <c r="V14" s="17">
        <v>8.9886592871981392</v>
      </c>
      <c r="W14" s="17">
        <v>16.521871458268201</v>
      </c>
      <c r="X14" s="17">
        <v>7.2371250472700899</v>
      </c>
      <c r="Y14" s="17">
        <v>3.2852435012919399</v>
      </c>
      <c r="Z14" s="17">
        <v>7.6594603800619598</v>
      </c>
      <c r="AA14" s="17">
        <v>7.8565561210770003</v>
      </c>
      <c r="AB14" s="17">
        <v>2.2828143642186798</v>
      </c>
      <c r="AC14" s="17">
        <v>24.404468500023501</v>
      </c>
    </row>
    <row r="15" spans="1:29" x14ac:dyDescent="0.2">
      <c r="A15" s="17">
        <f t="shared" si="0"/>
        <v>9.7089953921401992</v>
      </c>
      <c r="B15" s="17">
        <v>11</v>
      </c>
      <c r="C15" s="17">
        <v>20.7273904829588</v>
      </c>
      <c r="D15" s="17">
        <v>14.855515591200399</v>
      </c>
      <c r="E15" s="17">
        <v>9.2269992390481104</v>
      </c>
      <c r="F15" s="17">
        <v>6.0848227267804997</v>
      </c>
      <c r="G15" s="17">
        <v>12.789879856579001</v>
      </c>
      <c r="H15" s="17">
        <v>7.9077548830743396</v>
      </c>
      <c r="I15" s="17">
        <v>14.6111334294297</v>
      </c>
      <c r="J15" s="17">
        <v>5.2309737108070902</v>
      </c>
      <c r="K15" s="17">
        <v>20.459635373186099</v>
      </c>
      <c r="L15" s="17">
        <v>10.370011568223299</v>
      </c>
      <c r="M15" s="17">
        <v>9.9190882178453492</v>
      </c>
      <c r="N15" s="17">
        <v>14.4882628189103</v>
      </c>
      <c r="O15" s="17">
        <v>6.3574742604735697</v>
      </c>
      <c r="P15" s="17">
        <v>9.4282625903821309</v>
      </c>
      <c r="Q15" s="17">
        <v>9.1869271787487001</v>
      </c>
      <c r="R15" s="17">
        <v>3.3651922444092399</v>
      </c>
      <c r="S15" s="17">
        <v>11.0782364209346</v>
      </c>
      <c r="T15" s="17">
        <v>5.3385524255813301</v>
      </c>
      <c r="U15" s="17">
        <v>1.7046258172734801</v>
      </c>
      <c r="V15" s="17">
        <v>11.7814527974203</v>
      </c>
      <c r="W15" s="17">
        <v>18.411888809131099</v>
      </c>
      <c r="X15" s="17">
        <v>15.2204609130143</v>
      </c>
      <c r="Y15" s="17">
        <v>0.83314557142858203</v>
      </c>
      <c r="Z15" s="17">
        <v>3.5464738833214602</v>
      </c>
      <c r="AA15" s="17">
        <v>7.8370049753200304</v>
      </c>
      <c r="AB15" s="17">
        <v>4.9588161265303103</v>
      </c>
      <c r="AC15" s="17">
        <v>17.441288766591899</v>
      </c>
    </row>
    <row r="16" spans="1:29" x14ac:dyDescent="0.2">
      <c r="A16" s="17">
        <f t="shared" si="0"/>
        <v>10.464294532490626</v>
      </c>
      <c r="B16" s="17">
        <v>12</v>
      </c>
      <c r="C16" s="17" t="s">
        <v>44</v>
      </c>
      <c r="D16" s="17">
        <v>6.8618548955284204</v>
      </c>
      <c r="E16" s="17">
        <v>11.3377096469604</v>
      </c>
      <c r="F16" s="17">
        <v>10.653330994002699</v>
      </c>
      <c r="G16" s="17">
        <v>11.3643837870022</v>
      </c>
      <c r="H16" s="17">
        <v>18.136026079243099</v>
      </c>
      <c r="I16" s="17">
        <v>4.5030577870987001</v>
      </c>
      <c r="J16" s="17">
        <v>3.8487223180577401</v>
      </c>
      <c r="K16" s="17">
        <v>12.8240205932705</v>
      </c>
      <c r="L16" s="17">
        <v>3.9225152078709802</v>
      </c>
      <c r="M16" s="17">
        <v>12.719332239658</v>
      </c>
      <c r="N16" s="17">
        <v>1.3299872774836701</v>
      </c>
      <c r="O16" s="17">
        <v>6.2697078820413497</v>
      </c>
      <c r="P16" s="17" t="s">
        <v>44</v>
      </c>
      <c r="Q16" s="17">
        <v>8.5229108056719394</v>
      </c>
      <c r="R16" s="17">
        <v>13.128131468278699</v>
      </c>
      <c r="S16" s="17">
        <v>5.9126881196907597</v>
      </c>
      <c r="T16" s="17">
        <v>13.397685941227699</v>
      </c>
      <c r="U16" s="17">
        <v>10.4831227197412</v>
      </c>
      <c r="V16" s="17">
        <v>15.225841705050099</v>
      </c>
      <c r="W16" s="17">
        <v>21.4807603605725</v>
      </c>
      <c r="X16" s="17">
        <v>6.6998546266689196</v>
      </c>
      <c r="Y16" s="17">
        <v>12.2399837313076</v>
      </c>
      <c r="Z16" s="17">
        <v>17.843258553823599</v>
      </c>
      <c r="AA16" s="17">
        <v>3.6402897434687498</v>
      </c>
      <c r="AB16" s="17">
        <v>7.1148975536097998</v>
      </c>
      <c r="AC16" s="17">
        <v>22.147289274936298</v>
      </c>
    </row>
    <row r="17" spans="1:29" x14ac:dyDescent="0.2">
      <c r="A17" s="17">
        <f t="shared" si="0"/>
        <v>11.386215611969366</v>
      </c>
      <c r="B17" s="17">
        <v>13</v>
      </c>
      <c r="C17" s="17">
        <v>22.910849593426502</v>
      </c>
      <c r="D17" s="17">
        <v>7.7667651551266399</v>
      </c>
      <c r="E17" s="17">
        <v>5.0071496782843896</v>
      </c>
      <c r="F17" s="17">
        <v>6.1708333747879696</v>
      </c>
      <c r="G17" s="17">
        <v>8.1185403447256501</v>
      </c>
      <c r="H17" s="17">
        <v>17.8252358678746</v>
      </c>
      <c r="I17" s="17">
        <v>20.304047039850801</v>
      </c>
      <c r="J17" s="17">
        <v>6.38306265388686</v>
      </c>
      <c r="K17" s="17">
        <v>17.285758428063701</v>
      </c>
      <c r="L17" s="17">
        <v>6.9613923445447501</v>
      </c>
      <c r="M17" s="17">
        <v>8.9677055353745807</v>
      </c>
      <c r="N17" s="17">
        <v>8.7334628508077206</v>
      </c>
      <c r="O17" s="17">
        <v>9.2669302303201295</v>
      </c>
      <c r="P17" s="17">
        <v>5.1310459877622101</v>
      </c>
      <c r="Q17" s="17">
        <v>10.6305282746531</v>
      </c>
      <c r="R17" s="17">
        <v>11.3331245750511</v>
      </c>
      <c r="S17" s="17">
        <v>15.394670004826599</v>
      </c>
      <c r="T17" s="17">
        <v>16.345018155878801</v>
      </c>
      <c r="U17" s="17">
        <v>7.0894335070714698</v>
      </c>
      <c r="V17" s="17">
        <v>9.1005354484817893</v>
      </c>
      <c r="W17" s="17">
        <v>13.6308396454977</v>
      </c>
      <c r="X17" s="17">
        <v>10.378465617198801</v>
      </c>
      <c r="Y17" s="17">
        <v>11.328662375053501</v>
      </c>
      <c r="Z17" s="17">
        <v>7.0727772866955902</v>
      </c>
      <c r="AA17" s="17">
        <v>22.9735643781164</v>
      </c>
      <c r="AB17" s="17">
        <v>18.960645643932601</v>
      </c>
      <c r="AC17" s="17">
        <v>13.8814115073361</v>
      </c>
    </row>
    <row r="18" spans="1:29" x14ac:dyDescent="0.2">
      <c r="A18" s="17">
        <f t="shared" si="0"/>
        <v>8.6173089526843505</v>
      </c>
      <c r="B18" s="17">
        <v>14</v>
      </c>
      <c r="C18" s="17">
        <v>10.806189907785599</v>
      </c>
      <c r="D18" s="17">
        <v>14.077980808297101</v>
      </c>
      <c r="E18" s="17">
        <v>7.33920284362119</v>
      </c>
      <c r="F18" s="17">
        <v>2.7830421193897599</v>
      </c>
      <c r="G18" s="17">
        <v>8.4116661968418391</v>
      </c>
      <c r="H18" s="17">
        <v>7.90873279771652</v>
      </c>
      <c r="I18" s="17">
        <v>6.65477975605324</v>
      </c>
      <c r="J18" s="17">
        <v>4.0161172758438699</v>
      </c>
      <c r="K18" s="17">
        <v>5.5783752535157998</v>
      </c>
      <c r="L18" s="17">
        <v>12.6405888003203</v>
      </c>
      <c r="M18" s="17">
        <v>3.7877387520463301</v>
      </c>
      <c r="N18" s="17">
        <v>7.4470370862884199</v>
      </c>
      <c r="O18" s="17">
        <v>5.9634224256533503</v>
      </c>
      <c r="P18" s="17">
        <v>7.4945554979242601</v>
      </c>
      <c r="Q18" s="17">
        <v>9.4228308921389896</v>
      </c>
      <c r="R18" s="17">
        <v>9.5637698802119999</v>
      </c>
      <c r="S18" s="17">
        <v>11.9611445147886</v>
      </c>
      <c r="T18" s="17">
        <v>8.1827094479993008</v>
      </c>
      <c r="U18" s="17">
        <v>3.6305091996122498</v>
      </c>
      <c r="V18" s="17">
        <v>4.5607286989000899</v>
      </c>
      <c r="W18" s="17">
        <v>5.9277506048216697</v>
      </c>
      <c r="X18" s="17">
        <v>13.0454077727751</v>
      </c>
      <c r="Y18" s="17">
        <v>11.002800900315099</v>
      </c>
      <c r="Z18" s="17">
        <v>2.8867202206054099</v>
      </c>
      <c r="AA18" s="17">
        <v>1.78592770884346</v>
      </c>
      <c r="AB18" s="17">
        <v>5.7909938958786702</v>
      </c>
      <c r="AC18" s="17">
        <v>42.185499419390503</v>
      </c>
    </row>
    <row r="19" spans="1:29" x14ac:dyDescent="0.2">
      <c r="A19" s="17">
        <f t="shared" si="0"/>
        <v>13.767303524762998</v>
      </c>
      <c r="B19" s="17">
        <v>15</v>
      </c>
      <c r="C19" s="17">
        <v>6.5213296513751002</v>
      </c>
      <c r="D19" s="17">
        <v>12.8034657471506</v>
      </c>
      <c r="E19" s="17">
        <v>5.4907247393314398</v>
      </c>
      <c r="F19" s="17">
        <v>13.638135276005</v>
      </c>
      <c r="G19" s="17">
        <v>14.3671868075883</v>
      </c>
      <c r="H19" s="17">
        <v>38.774840193123097</v>
      </c>
      <c r="I19" s="17">
        <v>24.7922955667505</v>
      </c>
      <c r="J19" s="17">
        <v>15.189345636927399</v>
      </c>
      <c r="K19" s="17">
        <v>7.3416953632440096</v>
      </c>
      <c r="L19" s="17">
        <v>10.6865659706255</v>
      </c>
      <c r="M19" s="17">
        <v>4.7798122880603797</v>
      </c>
      <c r="N19" s="17">
        <v>22.6981577318065</v>
      </c>
      <c r="O19" s="17">
        <v>1.9657077669179699</v>
      </c>
      <c r="P19" s="17">
        <v>10.083209074793601</v>
      </c>
      <c r="Q19" s="17">
        <v>16.098527307348601</v>
      </c>
      <c r="R19" s="17">
        <v>11.3039526828676</v>
      </c>
      <c r="S19" s="17">
        <v>18.942200215163101</v>
      </c>
      <c r="T19" s="17">
        <v>8.7554109135763092</v>
      </c>
      <c r="U19" s="17">
        <v>13.6464233815494</v>
      </c>
      <c r="V19" s="17">
        <v>5.79295109767145</v>
      </c>
      <c r="W19" s="17">
        <v>25.956209487403999</v>
      </c>
      <c r="X19" s="17">
        <v>16.141179266024199</v>
      </c>
      <c r="Y19" s="17">
        <v>2.44097543637172</v>
      </c>
      <c r="Z19" s="17">
        <v>1.9383818894224401</v>
      </c>
      <c r="AA19" s="17">
        <v>0.76509009625548297</v>
      </c>
      <c r="AB19" s="17">
        <v>9.1947526772825192</v>
      </c>
      <c r="AC19" s="17">
        <v>44.362695030576802</v>
      </c>
    </row>
    <row r="20" spans="1:29" x14ac:dyDescent="0.2">
      <c r="A20" s="17">
        <f t="shared" si="0"/>
        <v>14.339418194660579</v>
      </c>
      <c r="B20" s="17">
        <v>16</v>
      </c>
      <c r="C20" s="17">
        <v>6.99322126392999</v>
      </c>
      <c r="D20" s="17">
        <v>17.2110177004988</v>
      </c>
      <c r="E20" s="17">
        <v>3.66400465834352</v>
      </c>
      <c r="F20" s="17">
        <v>11.6883365608084</v>
      </c>
      <c r="G20" s="17">
        <v>10.523342346251701</v>
      </c>
      <c r="H20" s="17">
        <v>51.981260953500502</v>
      </c>
      <c r="I20" s="17">
        <v>1.6556156586433499</v>
      </c>
      <c r="J20" s="17">
        <v>5.7995070936168398</v>
      </c>
      <c r="K20" s="17" t="s">
        <v>44</v>
      </c>
      <c r="L20" s="17">
        <v>15.3057552994365</v>
      </c>
      <c r="M20" s="17">
        <v>13.2409190479566</v>
      </c>
      <c r="N20" s="17">
        <v>18.468591496216298</v>
      </c>
      <c r="O20" s="17">
        <v>17.162914370654502</v>
      </c>
      <c r="P20" s="17">
        <v>7.31336676855293</v>
      </c>
      <c r="Q20" s="17">
        <v>5.1764118876602501</v>
      </c>
      <c r="R20" s="17">
        <v>13.9878930652634</v>
      </c>
      <c r="S20" s="17">
        <v>8.1185915587220805</v>
      </c>
      <c r="T20" s="17">
        <v>12.7157860547682</v>
      </c>
      <c r="U20" s="17">
        <v>3.9068608629116799</v>
      </c>
      <c r="V20" s="17">
        <v>16.464385390960899</v>
      </c>
      <c r="W20" s="17">
        <v>17.869778724712301</v>
      </c>
      <c r="X20" s="17">
        <v>1.4708163639395999</v>
      </c>
      <c r="Y20" s="17">
        <v>7.3151477819650701</v>
      </c>
      <c r="Z20" s="17">
        <v>16.1486431795398</v>
      </c>
      <c r="AA20" s="17">
        <v>21.000092908408501</v>
      </c>
      <c r="AB20" s="17">
        <v>28.272530641553001</v>
      </c>
      <c r="AC20" s="17">
        <v>32.023884491629801</v>
      </c>
    </row>
    <row r="21" spans="1:29" x14ac:dyDescent="0.2">
      <c r="A21" s="17">
        <f t="shared" si="0"/>
        <v>10.032797451739988</v>
      </c>
      <c r="B21" s="17">
        <v>17</v>
      </c>
      <c r="C21" s="17">
        <v>12.647534427251101</v>
      </c>
      <c r="D21" s="17">
        <v>17.550554728828899</v>
      </c>
      <c r="E21" s="17">
        <v>15.0342052852808</v>
      </c>
      <c r="F21" s="17">
        <v>12.276262413601099</v>
      </c>
      <c r="G21" s="17">
        <v>8.3310958247295801</v>
      </c>
      <c r="H21" s="17" t="s">
        <v>44</v>
      </c>
      <c r="I21" s="17">
        <v>3.2067512504667302</v>
      </c>
      <c r="J21" s="17">
        <v>3.9784830041662902</v>
      </c>
      <c r="K21" s="17">
        <v>21.8842261390934</v>
      </c>
      <c r="L21" s="17">
        <v>4.18663111756217</v>
      </c>
      <c r="M21" s="17" t="s">
        <v>44</v>
      </c>
      <c r="N21" s="17">
        <v>2.5329249761719299</v>
      </c>
      <c r="O21" s="17">
        <v>16.606749118793299</v>
      </c>
      <c r="P21" s="17" t="s">
        <v>44</v>
      </c>
      <c r="Q21" s="17">
        <v>4.2974997540811302</v>
      </c>
      <c r="R21" s="17">
        <v>4.4480073483168603</v>
      </c>
      <c r="S21" s="17">
        <v>12.928886958449301</v>
      </c>
      <c r="T21" s="17">
        <v>2.43592592137436</v>
      </c>
      <c r="U21" s="17" t="s">
        <v>44</v>
      </c>
      <c r="V21" s="17">
        <v>25.8460747548189</v>
      </c>
      <c r="W21" s="17">
        <v>14.557327998017399</v>
      </c>
      <c r="X21" s="17">
        <v>8.1959025439517603</v>
      </c>
      <c r="Y21" s="17" t="s">
        <v>44</v>
      </c>
      <c r="Z21" s="17">
        <v>18.7861553664026</v>
      </c>
      <c r="AA21" s="17">
        <v>2.2962740086879201</v>
      </c>
      <c r="AB21" s="17">
        <v>3.7899279129832699</v>
      </c>
      <c r="AC21" s="17">
        <v>7.5188800607620401</v>
      </c>
    </row>
    <row r="22" spans="1:29" x14ac:dyDescent="0.2">
      <c r="A22" s="17">
        <f t="shared" si="0"/>
        <v>10.548133574204202</v>
      </c>
      <c r="B22" s="17">
        <v>18</v>
      </c>
      <c r="C22" s="17">
        <v>8.1397230806322192</v>
      </c>
      <c r="D22" s="17">
        <v>16.5614741549144</v>
      </c>
      <c r="E22" s="17">
        <v>3.41197084796831</v>
      </c>
      <c r="F22" s="17">
        <v>13.7349004891111</v>
      </c>
      <c r="G22" s="17">
        <v>9.0863991594733307</v>
      </c>
      <c r="H22" s="17">
        <v>12.3700715945405</v>
      </c>
      <c r="I22" s="17">
        <v>13.670959658454301</v>
      </c>
      <c r="J22" s="17">
        <v>9.2557369424981104</v>
      </c>
      <c r="K22" s="17">
        <v>16.197601530463</v>
      </c>
      <c r="L22" s="17">
        <v>20.192983157155702</v>
      </c>
      <c r="M22" s="17">
        <v>8.4958478655029204</v>
      </c>
      <c r="N22" s="17">
        <v>7.9475234734250897</v>
      </c>
      <c r="O22" s="17">
        <v>14.278329914966401</v>
      </c>
      <c r="P22" s="17">
        <v>9.5702684301766094</v>
      </c>
      <c r="Q22" s="17">
        <v>4.0420302315923502</v>
      </c>
      <c r="R22" s="17">
        <v>12.6897355027068</v>
      </c>
      <c r="S22" s="17">
        <v>16.267313264311301</v>
      </c>
      <c r="T22" s="17">
        <v>1.9750943377986301</v>
      </c>
      <c r="U22" s="17">
        <v>13.847067506188401</v>
      </c>
      <c r="V22" s="17">
        <v>6.4548530047727404</v>
      </c>
      <c r="W22" s="17">
        <v>10.7783212657448</v>
      </c>
      <c r="X22" s="17">
        <v>1.7013075648492699</v>
      </c>
      <c r="Y22" s="17">
        <v>3.3886640242658501</v>
      </c>
      <c r="Z22" s="17">
        <v>4.5638081083794999</v>
      </c>
      <c r="AA22" s="17">
        <v>4.6249735655416098</v>
      </c>
      <c r="AB22" s="17">
        <v>8.6848315377804006</v>
      </c>
      <c r="AC22" s="17">
        <v>30.4594057967278</v>
      </c>
    </row>
    <row r="23" spans="1:29" x14ac:dyDescent="0.2">
      <c r="A23" s="17">
        <f t="shared" si="0"/>
        <v>8.5881863202495747</v>
      </c>
      <c r="B23" s="17">
        <v>19</v>
      </c>
      <c r="C23" s="17">
        <v>14.1363802236298</v>
      </c>
      <c r="D23" s="17">
        <v>7.1307794655237098</v>
      </c>
      <c r="E23" s="17">
        <v>4.43856118402792</v>
      </c>
      <c r="F23" s="17">
        <v>4.0400303570374199</v>
      </c>
      <c r="G23" s="17">
        <v>3.5469122332893801</v>
      </c>
      <c r="H23" s="17">
        <v>21.588709754091699</v>
      </c>
      <c r="I23" s="17">
        <v>10.8535274173151</v>
      </c>
      <c r="J23" s="17">
        <v>5.2023150420569699</v>
      </c>
      <c r="K23" s="17">
        <v>12.648847996835901</v>
      </c>
      <c r="L23" s="17" t="s">
        <v>44</v>
      </c>
      <c r="M23" s="17">
        <v>3.6037697058964602</v>
      </c>
      <c r="N23" s="17">
        <v>8.9038771859111208</v>
      </c>
      <c r="O23" s="17">
        <v>5.9393908857594502</v>
      </c>
      <c r="P23" s="17">
        <v>16.652566727710301</v>
      </c>
      <c r="Q23" s="17">
        <v>9.3590112814186899</v>
      </c>
      <c r="R23" s="17">
        <v>22.961753610189401</v>
      </c>
      <c r="S23" s="17">
        <v>11.7620865222282</v>
      </c>
      <c r="T23" s="17">
        <v>2.33041206313891</v>
      </c>
      <c r="U23" s="17">
        <v>2.7684785513893999</v>
      </c>
      <c r="V23" s="17">
        <v>12.013649651693299</v>
      </c>
      <c r="W23" s="17">
        <v>2.9165117767732598</v>
      </c>
      <c r="X23" s="17">
        <v>2.99062071428789</v>
      </c>
      <c r="Y23" s="17">
        <v>3.7380369376026801</v>
      </c>
      <c r="Z23" s="17">
        <v>14.393841571295599</v>
      </c>
      <c r="AA23" s="17">
        <v>2.4152948931437601</v>
      </c>
      <c r="AB23" s="17">
        <v>9.3847797663098405</v>
      </c>
      <c r="AC23" s="17">
        <v>13.120892711312999</v>
      </c>
    </row>
    <row r="24" spans="1:29" x14ac:dyDescent="0.2">
      <c r="A24" s="17">
        <f t="shared" si="0"/>
        <v>11.225298992064772</v>
      </c>
      <c r="B24" s="17">
        <v>20</v>
      </c>
      <c r="C24" s="17">
        <v>23.348473351038599</v>
      </c>
      <c r="D24" s="17">
        <v>18.2613263217883</v>
      </c>
      <c r="E24" s="17">
        <v>2.23034899173047</v>
      </c>
      <c r="F24" s="17">
        <v>12.955824521634501</v>
      </c>
      <c r="G24" s="17">
        <v>19.3581528170577</v>
      </c>
      <c r="H24" s="17">
        <v>21.423117687314502</v>
      </c>
      <c r="I24" s="17">
        <v>4.5653955635374599</v>
      </c>
      <c r="J24" s="17">
        <v>6.7801685778759904</v>
      </c>
      <c r="K24" s="17">
        <v>23.1072514284389</v>
      </c>
      <c r="L24" s="17">
        <v>10.133185322343101</v>
      </c>
      <c r="M24" s="17">
        <v>14.501012935509999</v>
      </c>
      <c r="N24" s="17">
        <v>16.390894240368599</v>
      </c>
      <c r="O24" s="17">
        <v>8.8630927557680099</v>
      </c>
      <c r="P24" s="17">
        <v>3.7837554067739099</v>
      </c>
      <c r="Q24" s="17">
        <v>3.8172554103035301</v>
      </c>
      <c r="R24" s="17">
        <v>9.7159014854217105</v>
      </c>
      <c r="S24" s="17">
        <v>7.0672849941040798</v>
      </c>
      <c r="T24" s="17">
        <v>17.776694299451201</v>
      </c>
      <c r="U24" s="17">
        <v>3.63689421116498</v>
      </c>
      <c r="V24" s="17">
        <v>3.9288095149759701</v>
      </c>
      <c r="W24" s="17">
        <v>15.355932315544299</v>
      </c>
      <c r="X24" s="17">
        <v>8.1119606230325303</v>
      </c>
      <c r="Y24" s="17">
        <v>10.9881750755927</v>
      </c>
      <c r="Z24" s="17">
        <v>9.3298804360165999</v>
      </c>
      <c r="AA24" s="17">
        <v>17.942267079655299</v>
      </c>
      <c r="AB24" s="17">
        <v>2.1636240639514002</v>
      </c>
      <c r="AC24" s="17">
        <v>19.669567714328402</v>
      </c>
    </row>
    <row r="25" spans="1:29" x14ac:dyDescent="0.2">
      <c r="A25" s="17">
        <f t="shared" si="0"/>
        <v>14.013641309861043</v>
      </c>
      <c r="B25" s="17">
        <v>21</v>
      </c>
      <c r="C25" s="17">
        <v>21.358661020689901</v>
      </c>
      <c r="D25" s="17">
        <v>5.9226899033932101</v>
      </c>
      <c r="E25" s="17">
        <v>14.036149951840599</v>
      </c>
      <c r="F25" s="17">
        <v>12.004674013471501</v>
      </c>
      <c r="G25" s="17">
        <v>8.3881126357810292</v>
      </c>
      <c r="H25" s="17">
        <v>33.225875013919698</v>
      </c>
      <c r="I25" s="17">
        <v>7.0380143806882396</v>
      </c>
      <c r="J25" s="17">
        <v>8.7923314441783091</v>
      </c>
      <c r="K25" s="17">
        <v>23.985955093573899</v>
      </c>
      <c r="L25" s="17">
        <v>16.490351925817802</v>
      </c>
      <c r="M25" s="17">
        <v>9.6475509403990394</v>
      </c>
      <c r="N25" s="17">
        <v>6.2728592036900803</v>
      </c>
      <c r="O25" s="17">
        <v>13.186975623972099</v>
      </c>
      <c r="P25" s="17">
        <v>10.8450326135594</v>
      </c>
      <c r="Q25" s="17">
        <v>9.2023101191669703</v>
      </c>
      <c r="R25" s="17">
        <v>9.6118495448346692</v>
      </c>
      <c r="S25" s="17">
        <v>11.5518955071257</v>
      </c>
      <c r="T25" s="17">
        <v>2.13155877340927</v>
      </c>
      <c r="U25" s="17">
        <v>4.20399141633591</v>
      </c>
      <c r="V25" s="17">
        <v>21.370570827317099</v>
      </c>
      <c r="W25" s="17">
        <v>24.391067747337299</v>
      </c>
      <c r="X25" s="17">
        <v>13.189990861659901</v>
      </c>
      <c r="Y25" s="17">
        <v>12.240767091605299</v>
      </c>
      <c r="Z25" s="17">
        <v>14.0029258464855</v>
      </c>
      <c r="AA25" s="17">
        <v>21.050964709131399</v>
      </c>
      <c r="AB25" s="17" t="s">
        <v>44</v>
      </c>
      <c r="AC25" s="17">
        <v>37.556567557832203</v>
      </c>
    </row>
    <row r="26" spans="1:29" x14ac:dyDescent="0.2">
      <c r="A26" s="17">
        <f t="shared" si="0"/>
        <v>16.325604829489524</v>
      </c>
      <c r="B26" s="17">
        <v>22</v>
      </c>
      <c r="C26" s="17">
        <v>20.745893564271299</v>
      </c>
      <c r="D26" s="17">
        <v>18.9344437948624</v>
      </c>
      <c r="E26" s="17">
        <v>24.789852192729299</v>
      </c>
      <c r="F26" s="17">
        <v>12.8505856514036</v>
      </c>
      <c r="G26" s="17">
        <v>6.3652070531748803</v>
      </c>
      <c r="H26" s="17">
        <v>45.458852421778197</v>
      </c>
      <c r="I26" s="17">
        <v>4.9533880962119801</v>
      </c>
      <c r="J26" s="17">
        <v>6.9340569864558601</v>
      </c>
      <c r="K26" s="17">
        <v>22.745153256491999</v>
      </c>
      <c r="L26" s="17">
        <v>16.276982676958099</v>
      </c>
      <c r="M26" s="17">
        <v>12.8605013474921</v>
      </c>
      <c r="N26" s="17">
        <v>6.9090329883870201</v>
      </c>
      <c r="O26" s="17">
        <v>22.1533872444009</v>
      </c>
      <c r="P26" s="17">
        <v>16.6759445945941</v>
      </c>
      <c r="Q26" s="17">
        <v>16.116663887030601</v>
      </c>
      <c r="R26" s="17">
        <v>26.045693171288502</v>
      </c>
      <c r="S26" s="17">
        <v>6.7438713934261996</v>
      </c>
      <c r="T26" s="17">
        <v>6.1712019304309296</v>
      </c>
      <c r="U26" s="17">
        <v>11.4628902303113</v>
      </c>
      <c r="V26" s="17">
        <v>28.534668729373301</v>
      </c>
      <c r="W26" s="17">
        <v>14.4026284235653</v>
      </c>
      <c r="X26" s="17">
        <v>6.9541024564923699</v>
      </c>
      <c r="Y26" s="17">
        <v>13.924326592000799</v>
      </c>
      <c r="Z26" s="17">
        <v>16.508773444503401</v>
      </c>
      <c r="AA26" s="17">
        <v>15.273442882470301</v>
      </c>
      <c r="AB26" s="17" t="s">
        <v>44</v>
      </c>
      <c r="AC26" s="17">
        <v>28.0944692914046</v>
      </c>
    </row>
    <row r="27" spans="1:29" x14ac:dyDescent="0.2">
      <c r="A27" s="17">
        <f t="shared" si="0"/>
        <v>10.509088922296755</v>
      </c>
      <c r="B27" s="17">
        <v>23</v>
      </c>
      <c r="C27" s="17" t="s">
        <v>44</v>
      </c>
      <c r="D27" s="17">
        <v>11.4628853559998</v>
      </c>
      <c r="E27" s="17">
        <v>3.7008603108511999</v>
      </c>
      <c r="F27" s="17">
        <v>7.1867915992955496</v>
      </c>
      <c r="G27" s="17">
        <v>5.36520416335226</v>
      </c>
      <c r="H27" s="17" t="s">
        <v>44</v>
      </c>
      <c r="I27" s="17">
        <v>7.6442255999269397</v>
      </c>
      <c r="J27" s="17">
        <v>8.1760538084428607</v>
      </c>
      <c r="K27" s="17">
        <v>18.2017860908533</v>
      </c>
      <c r="L27" s="17">
        <v>8.8102145799971492</v>
      </c>
      <c r="M27" s="17">
        <v>2.2626449787501302</v>
      </c>
      <c r="N27" s="17">
        <v>8.6806267934741292</v>
      </c>
      <c r="O27" s="17">
        <v>6.7550084535221</v>
      </c>
      <c r="P27" s="17">
        <v>12.6864147268292</v>
      </c>
      <c r="Q27" s="17">
        <v>22.460962358678302</v>
      </c>
      <c r="R27" s="17">
        <v>13.4745004277692</v>
      </c>
      <c r="S27" s="17">
        <v>2.4610156573792898</v>
      </c>
      <c r="T27" s="17">
        <v>18.468901414340699</v>
      </c>
      <c r="U27" s="17">
        <v>5.1250537241879499</v>
      </c>
      <c r="V27" s="17">
        <v>5.2946907482107699</v>
      </c>
      <c r="W27" s="17">
        <v>12.557648215770101</v>
      </c>
      <c r="X27" s="17">
        <v>4.7005932040361103</v>
      </c>
      <c r="Y27" s="17" t="s">
        <v>44</v>
      </c>
      <c r="Z27" s="17">
        <v>16.355135947408701</v>
      </c>
      <c r="AA27" s="17">
        <v>7.7506868821239499</v>
      </c>
      <c r="AB27" s="17">
        <v>19.081708123853598</v>
      </c>
      <c r="AC27" s="17">
        <v>23.554520970068801</v>
      </c>
    </row>
    <row r="28" spans="1:29" x14ac:dyDescent="0.2">
      <c r="A28" s="17">
        <f t="shared" si="0"/>
        <v>13.780389631085278</v>
      </c>
      <c r="B28" s="17">
        <v>24</v>
      </c>
      <c r="C28" s="17">
        <v>25.902244548720201</v>
      </c>
      <c r="D28" s="17">
        <v>16.2498810770722</v>
      </c>
      <c r="E28" s="17">
        <v>20.090854953864799</v>
      </c>
      <c r="F28" s="17">
        <v>3.8803382188450599</v>
      </c>
      <c r="G28" s="17">
        <v>12.401535337734099</v>
      </c>
      <c r="H28" s="17">
        <v>22.860396865425901</v>
      </c>
      <c r="I28" s="17">
        <v>5.2099421182488497</v>
      </c>
      <c r="J28" s="17">
        <v>12.6386349575246</v>
      </c>
      <c r="K28" s="17">
        <v>31.9637967965656</v>
      </c>
      <c r="L28" s="17">
        <v>10.493509696548299</v>
      </c>
      <c r="M28" s="17">
        <v>24.3744675714088</v>
      </c>
      <c r="N28" s="17">
        <v>20.7966769995509</v>
      </c>
      <c r="O28" s="17">
        <v>15.4337576372846</v>
      </c>
      <c r="P28" s="17">
        <v>14.6549944831355</v>
      </c>
      <c r="Q28" s="17">
        <v>19.424998467049601</v>
      </c>
      <c r="R28" s="17">
        <v>3.3433066768120598</v>
      </c>
      <c r="S28" s="17">
        <v>12.439492046027199</v>
      </c>
      <c r="T28" s="17">
        <v>4.9163735297007003</v>
      </c>
      <c r="U28" s="17">
        <v>10.9598873572559</v>
      </c>
      <c r="V28" s="17">
        <v>13.377618268987799</v>
      </c>
      <c r="W28" s="17">
        <v>8.8573910581579298</v>
      </c>
      <c r="X28" s="17">
        <v>9.5104938031994593</v>
      </c>
      <c r="Y28" s="17">
        <v>12.471096772846099</v>
      </c>
      <c r="Z28" s="17">
        <v>2.7051373704328698</v>
      </c>
      <c r="AA28" s="17">
        <v>2.1852343441112398</v>
      </c>
      <c r="AB28" s="17" t="s">
        <v>44</v>
      </c>
      <c r="AC28" s="17">
        <v>33.269924369341901</v>
      </c>
    </row>
    <row r="29" spans="1:29" x14ac:dyDescent="0.2">
      <c r="A29" s="17">
        <f t="shared" si="0"/>
        <v>8.2221564575293264</v>
      </c>
      <c r="B29" s="17">
        <v>25</v>
      </c>
      <c r="C29" s="17" t="s">
        <v>44</v>
      </c>
      <c r="D29" s="17">
        <v>6.0401677168720003</v>
      </c>
      <c r="E29" s="17" t="s">
        <v>44</v>
      </c>
      <c r="F29" s="17">
        <v>7.8395181377383398</v>
      </c>
      <c r="G29" s="17">
        <v>6.5694892532922804</v>
      </c>
      <c r="H29" s="17">
        <v>22.634550019912002</v>
      </c>
      <c r="I29" s="17">
        <v>6.5678289140333703</v>
      </c>
      <c r="J29" s="17">
        <v>5.2836785853720496</v>
      </c>
      <c r="K29" s="17" t="s">
        <v>44</v>
      </c>
      <c r="L29" s="17">
        <v>2.14888555733262</v>
      </c>
      <c r="M29" s="17">
        <v>5.6776556333795201</v>
      </c>
      <c r="N29" s="17">
        <v>12.847886799498401</v>
      </c>
      <c r="O29" s="17">
        <v>2.2885503917331902</v>
      </c>
      <c r="P29" s="17" t="s">
        <v>44</v>
      </c>
      <c r="Q29" s="17">
        <v>3.49738865822169</v>
      </c>
      <c r="R29" s="17" t="s">
        <v>44</v>
      </c>
      <c r="S29" s="17">
        <v>9.2848887285899195</v>
      </c>
      <c r="T29" s="17" t="s">
        <v>44</v>
      </c>
      <c r="U29" s="17">
        <v>4.53153128057955</v>
      </c>
      <c r="V29" s="17">
        <v>4.0982259741462501</v>
      </c>
      <c r="W29" s="17">
        <v>3.98293818549211</v>
      </c>
      <c r="X29" s="17">
        <v>5.14685993959342</v>
      </c>
      <c r="Y29" s="17">
        <v>8.3948692560244407</v>
      </c>
      <c r="Z29" s="17">
        <v>9.9773736999681404</v>
      </c>
      <c r="AA29" s="17" t="s">
        <v>44</v>
      </c>
      <c r="AB29" s="17">
        <v>11.4918087157623</v>
      </c>
      <c r="AC29" s="17">
        <v>26.139033703044898</v>
      </c>
    </row>
    <row r="30" spans="1:29" x14ac:dyDescent="0.2">
      <c r="A30" s="17">
        <f t="shared" si="0"/>
        <v>12.390328852446423</v>
      </c>
      <c r="B30" s="17">
        <v>26</v>
      </c>
      <c r="C30" s="17">
        <v>16.2401978132979</v>
      </c>
      <c r="D30" s="17">
        <v>11.5208573184669</v>
      </c>
      <c r="E30" s="17">
        <v>10.595315480687701</v>
      </c>
      <c r="F30" s="17">
        <v>15.8226879350416</v>
      </c>
      <c r="G30" s="17">
        <v>14.5170889445365</v>
      </c>
      <c r="H30" s="17">
        <v>38.577297737055403</v>
      </c>
      <c r="I30" s="17">
        <v>10.266172489852201</v>
      </c>
      <c r="J30" s="17">
        <v>13.056091163066</v>
      </c>
      <c r="K30" s="17">
        <v>1.7469055458771201</v>
      </c>
      <c r="L30" s="17">
        <v>10.2796792399678</v>
      </c>
      <c r="M30" s="17">
        <v>4.7832141198635503</v>
      </c>
      <c r="N30" s="17">
        <v>7.96356413510689</v>
      </c>
      <c r="O30" s="17">
        <v>12.6349051847676</v>
      </c>
      <c r="P30" s="17">
        <v>6.0986425370503996</v>
      </c>
      <c r="Q30" s="17">
        <v>5.7134229071699503</v>
      </c>
      <c r="R30" s="17">
        <v>12.5345450897383</v>
      </c>
      <c r="S30" s="17">
        <v>11.316596570537101</v>
      </c>
      <c r="T30" s="17">
        <v>7.7722206752981799</v>
      </c>
      <c r="U30" s="17">
        <v>14.9798307566896</v>
      </c>
      <c r="V30" s="17">
        <v>3.8380254809942</v>
      </c>
      <c r="W30" s="17">
        <v>22.6489983770721</v>
      </c>
      <c r="X30" s="17">
        <v>14.7651870655608</v>
      </c>
      <c r="Y30" s="17">
        <v>11.445553748801601</v>
      </c>
      <c r="Z30" s="17">
        <v>15.4648228868085</v>
      </c>
      <c r="AA30" s="17">
        <v>16.281597078277599</v>
      </c>
      <c r="AB30" s="17">
        <v>2.35339838801311</v>
      </c>
      <c r="AC30" s="17">
        <v>25.1719293073063</v>
      </c>
    </row>
    <row r="31" spans="1:29" x14ac:dyDescent="0.2">
      <c r="A31" s="17">
        <f t="shared" si="0"/>
        <v>8.0409435809984267</v>
      </c>
      <c r="B31" s="17">
        <v>27</v>
      </c>
      <c r="C31" s="17">
        <v>23.732130155631999</v>
      </c>
      <c r="D31" s="17">
        <v>3.09858653167284</v>
      </c>
      <c r="E31" s="17">
        <v>4.5682544851661797</v>
      </c>
      <c r="F31" s="17">
        <v>2.0189090353308701</v>
      </c>
      <c r="G31" s="17">
        <v>7.1446697370606698</v>
      </c>
      <c r="H31" s="17">
        <v>7.2375165415468397</v>
      </c>
      <c r="I31" s="17">
        <v>4.89529168942454</v>
      </c>
      <c r="J31" s="17">
        <v>8.4567142331077001</v>
      </c>
      <c r="K31" s="17">
        <v>22.646881586216001</v>
      </c>
      <c r="L31" s="17">
        <v>3.9156949608154399</v>
      </c>
      <c r="M31" s="17">
        <v>2.3367268782133399</v>
      </c>
      <c r="N31" s="17">
        <v>3.4041564960471602</v>
      </c>
      <c r="O31" s="17">
        <v>1.74392538644303</v>
      </c>
      <c r="P31" s="17">
        <v>4.38809017227367</v>
      </c>
      <c r="Q31" s="17">
        <v>6.0519414371725402</v>
      </c>
      <c r="R31" s="17">
        <v>4.9348462021767201</v>
      </c>
      <c r="S31" s="17">
        <v>2.3219674901167702</v>
      </c>
      <c r="T31" s="17">
        <v>10.1996928378985</v>
      </c>
      <c r="U31" s="17">
        <v>2.05612955543099</v>
      </c>
      <c r="V31" s="17">
        <v>21.778298226739999</v>
      </c>
      <c r="W31" s="17">
        <v>14.5642573658121</v>
      </c>
      <c r="X31" s="17">
        <v>12.2616969288013</v>
      </c>
      <c r="Y31" s="17">
        <v>12.2817801452218</v>
      </c>
      <c r="Z31" s="17">
        <v>3.4347822462684499</v>
      </c>
      <c r="AA31" s="17">
        <v>14.3118956534412</v>
      </c>
      <c r="AB31" s="17">
        <v>6.5728302758129802</v>
      </c>
      <c r="AC31" s="17">
        <v>22.438997007747499</v>
      </c>
    </row>
    <row r="32" spans="1:29" x14ac:dyDescent="0.2">
      <c r="A32" s="17">
        <f t="shared" si="0"/>
        <v>10.204100477450369</v>
      </c>
      <c r="B32" s="17">
        <v>28</v>
      </c>
      <c r="C32" s="17">
        <v>20.413213032392399</v>
      </c>
      <c r="D32" s="17">
        <v>7.0531363550626702</v>
      </c>
      <c r="E32" s="17">
        <v>16.123127957900699</v>
      </c>
      <c r="F32" s="17">
        <v>6.7818397283842602</v>
      </c>
      <c r="G32" s="17">
        <v>18.303452962898898</v>
      </c>
      <c r="H32" s="17">
        <v>15.7476908222449</v>
      </c>
      <c r="I32" s="17">
        <v>10.575491759343899</v>
      </c>
      <c r="J32" s="17">
        <v>2.8434306157154601</v>
      </c>
      <c r="K32" s="17">
        <v>22.6768641540414</v>
      </c>
      <c r="L32" s="17">
        <v>8.3126963113340597</v>
      </c>
      <c r="M32" s="17">
        <v>8.4137119055645808</v>
      </c>
      <c r="N32" s="17">
        <v>7.4906806956907799</v>
      </c>
      <c r="O32" s="17">
        <v>5.2888278549649899</v>
      </c>
      <c r="P32" s="17">
        <v>11.4421666614424</v>
      </c>
      <c r="Q32" s="17">
        <v>11.8270417867079</v>
      </c>
      <c r="R32" s="17">
        <v>10.0137060098905</v>
      </c>
      <c r="S32" s="17">
        <v>6.3578709515266603</v>
      </c>
      <c r="T32" s="17">
        <v>11.5600547339033</v>
      </c>
      <c r="U32" s="17">
        <v>8.7052320612864609</v>
      </c>
      <c r="V32" s="17">
        <v>10.411853955475101</v>
      </c>
      <c r="W32" s="17">
        <v>12.7159271086672</v>
      </c>
      <c r="X32" s="17">
        <v>12.051365855722301</v>
      </c>
      <c r="Y32" s="17">
        <v>7.5273447417326098</v>
      </c>
      <c r="Z32" s="17">
        <v>5.06644119115969</v>
      </c>
      <c r="AA32" s="17">
        <v>11.9919812190297</v>
      </c>
      <c r="AB32" s="17">
        <v>2.9109161823390899</v>
      </c>
      <c r="AC32" s="17">
        <v>13.1137588316801</v>
      </c>
    </row>
    <row r="33" spans="1:29" x14ac:dyDescent="0.2">
      <c r="A33" s="17">
        <f t="shared" si="0"/>
        <v>10.29528349211782</v>
      </c>
      <c r="B33" s="17">
        <v>29</v>
      </c>
      <c r="C33" s="17">
        <v>10.436835919803199</v>
      </c>
      <c r="D33" s="17">
        <v>4.1891187613541403</v>
      </c>
      <c r="E33" s="17">
        <v>7.4932713710835399</v>
      </c>
      <c r="F33" s="17">
        <v>3.2879539250507501</v>
      </c>
      <c r="G33" s="17">
        <v>12.073059305047799</v>
      </c>
      <c r="H33" s="17">
        <v>20.397701148397299</v>
      </c>
      <c r="I33" s="17">
        <v>7.0438155604253199</v>
      </c>
      <c r="J33" s="17">
        <v>5.5138969685207897</v>
      </c>
      <c r="K33" s="17">
        <v>13.601606451667299</v>
      </c>
      <c r="L33" s="17">
        <v>8.1818506973403302</v>
      </c>
      <c r="M33" s="17">
        <v>14.4068021639718</v>
      </c>
      <c r="N33" s="17">
        <v>13.5759840700407</v>
      </c>
      <c r="O33" s="17">
        <v>4.0582154516053102</v>
      </c>
      <c r="P33" s="17">
        <v>2.7564960614760099</v>
      </c>
      <c r="Q33" s="17">
        <v>16.474635068923401</v>
      </c>
      <c r="R33" s="17">
        <v>14.0945002053135</v>
      </c>
      <c r="S33" s="17">
        <v>3.4773174925134298</v>
      </c>
      <c r="T33" s="17">
        <v>6.9062894759661102</v>
      </c>
      <c r="U33" s="17">
        <v>12.181089610786501</v>
      </c>
      <c r="V33" s="17">
        <v>11.117853833894699</v>
      </c>
      <c r="W33" s="17">
        <v>8.4688586857895096</v>
      </c>
      <c r="X33" s="17">
        <v>5.0762063354969902</v>
      </c>
      <c r="Y33" s="17">
        <v>0.94229568251068796</v>
      </c>
      <c r="Z33" s="17">
        <v>17.023004124101099</v>
      </c>
      <c r="AA33" s="17">
        <v>15.363741915652501</v>
      </c>
      <c r="AB33" s="17">
        <v>20.692741272847002</v>
      </c>
      <c r="AC33" s="17">
        <v>19.279065155286801</v>
      </c>
    </row>
    <row r="34" spans="1:29" x14ac:dyDescent="0.2">
      <c r="A34" s="17">
        <f t="shared" si="0"/>
        <v>9.6635020776838374</v>
      </c>
      <c r="B34" s="17">
        <v>30</v>
      </c>
      <c r="C34" s="17">
        <v>10.9555614622658</v>
      </c>
      <c r="D34" s="17">
        <v>9.3635369568195106</v>
      </c>
      <c r="E34" s="17">
        <v>17.334574990937799</v>
      </c>
      <c r="F34" s="17">
        <v>5.3787689749572598</v>
      </c>
      <c r="G34" s="17">
        <v>3.06734685387663</v>
      </c>
      <c r="H34" s="17">
        <v>6.48255595146275</v>
      </c>
      <c r="I34" s="17">
        <v>12.965738533028</v>
      </c>
      <c r="J34" s="17">
        <v>4.4349649291352504</v>
      </c>
      <c r="K34" s="17">
        <v>3.8966458914040101</v>
      </c>
      <c r="L34" s="17">
        <v>12.1103939709863</v>
      </c>
      <c r="M34" s="17">
        <v>13.743060472387</v>
      </c>
      <c r="N34" s="17">
        <v>6.3151807943293097</v>
      </c>
      <c r="O34" s="17">
        <v>13.598241673015901</v>
      </c>
      <c r="P34" s="17">
        <v>3.0692471766476901</v>
      </c>
      <c r="Q34" s="17">
        <v>3.0289879556405501</v>
      </c>
      <c r="R34" s="17">
        <v>22.1565374998099</v>
      </c>
      <c r="S34" s="17">
        <v>8.7157626143171694</v>
      </c>
      <c r="T34" s="17">
        <v>6.0594751353140897</v>
      </c>
      <c r="U34" s="17">
        <v>6.7177267166159202</v>
      </c>
      <c r="V34" s="17">
        <v>7.2344332051925102</v>
      </c>
      <c r="W34" s="17">
        <v>16.270040830981401</v>
      </c>
      <c r="X34" s="17">
        <v>11.8724732942619</v>
      </c>
      <c r="Y34" s="17">
        <v>17.211668875114999</v>
      </c>
      <c r="Z34" s="17">
        <v>16.149678340819701</v>
      </c>
      <c r="AA34" s="17">
        <v>1.8639272844000101</v>
      </c>
      <c r="AB34" s="17">
        <v>5.7427894031818001</v>
      </c>
      <c r="AC34" s="17">
        <v>16.467295695142401</v>
      </c>
    </row>
    <row r="35" spans="1:29" x14ac:dyDescent="0.2">
      <c r="A35" s="17">
        <f t="shared" si="0"/>
        <v>12.483368514303669</v>
      </c>
      <c r="B35" s="17">
        <v>31</v>
      </c>
      <c r="C35" s="17">
        <v>6.6152475846887899</v>
      </c>
      <c r="D35" s="17">
        <v>7.2185563371350296</v>
      </c>
      <c r="E35" s="17">
        <v>15.963424389859799</v>
      </c>
      <c r="F35" s="17">
        <v>12.201205056895301</v>
      </c>
      <c r="G35" s="17">
        <v>4.1946521300811197</v>
      </c>
      <c r="H35" s="17">
        <v>21.831010856666399</v>
      </c>
      <c r="I35" s="17">
        <v>2.2385741807177202</v>
      </c>
      <c r="J35" s="17">
        <v>14.3837795919034</v>
      </c>
      <c r="K35" s="17">
        <v>13.2364310599907</v>
      </c>
      <c r="L35" s="17">
        <v>11.406043309431199</v>
      </c>
      <c r="M35" s="17">
        <v>7.4619700903556501</v>
      </c>
      <c r="N35" s="17">
        <v>4.6162611454586404</v>
      </c>
      <c r="O35" s="17">
        <v>8.5831671200228392</v>
      </c>
      <c r="P35" s="17">
        <v>34.7031132695991</v>
      </c>
      <c r="Q35" s="17">
        <v>4.3169306641530296</v>
      </c>
      <c r="R35" s="17">
        <v>10.4345263718951</v>
      </c>
      <c r="S35" s="17">
        <v>7.75808260463885</v>
      </c>
      <c r="T35" s="17" t="s">
        <v>44</v>
      </c>
      <c r="U35" s="17">
        <v>13.155246164674599</v>
      </c>
      <c r="V35" s="17">
        <v>19.698245570667801</v>
      </c>
      <c r="W35" s="17">
        <v>11.3550491197499</v>
      </c>
      <c r="X35" s="17">
        <v>19.100790529075901</v>
      </c>
      <c r="Y35" s="17">
        <v>10.933525736585</v>
      </c>
      <c r="Z35" s="17">
        <v>5.1726319331947002</v>
      </c>
      <c r="AA35" s="17">
        <v>18.626545050893</v>
      </c>
      <c r="AB35" s="17">
        <v>6.8105743377663002</v>
      </c>
      <c r="AC35" s="17">
        <v>26.683876236180598</v>
      </c>
    </row>
    <row r="36" spans="1:29" x14ac:dyDescent="0.2">
      <c r="A36" s="17">
        <f t="shared" si="0"/>
        <v>12.371116199703817</v>
      </c>
      <c r="B36" s="17">
        <v>32</v>
      </c>
      <c r="C36" s="17">
        <v>10.970655191185999</v>
      </c>
      <c r="D36" s="17">
        <v>8.07974891320743</v>
      </c>
      <c r="E36" s="17">
        <v>5.00867652170753</v>
      </c>
      <c r="F36" s="17">
        <v>8.0650484874290598</v>
      </c>
      <c r="G36" s="17">
        <v>7.3008234023991001</v>
      </c>
      <c r="H36" s="17">
        <v>49.707859831036998</v>
      </c>
      <c r="I36" s="17">
        <v>7.1519770000864797</v>
      </c>
      <c r="J36" s="17">
        <v>5.3886763556920503</v>
      </c>
      <c r="K36" s="17" t="s">
        <v>44</v>
      </c>
      <c r="L36" s="17">
        <v>12.5777985170755</v>
      </c>
      <c r="M36" s="17">
        <v>3.2697818367834501</v>
      </c>
      <c r="N36" s="17">
        <v>4.0887678704407699</v>
      </c>
      <c r="O36" s="17">
        <v>11.7201724780842</v>
      </c>
      <c r="P36" s="17">
        <v>9.4861660218015196</v>
      </c>
      <c r="Q36" s="17">
        <v>9.5655259537501607</v>
      </c>
      <c r="R36" s="17">
        <v>16.662231073690599</v>
      </c>
      <c r="S36" s="17">
        <v>9.3608474747538004</v>
      </c>
      <c r="T36" s="17">
        <v>14.2455373291632</v>
      </c>
      <c r="U36" s="17">
        <v>16.230848687671902</v>
      </c>
      <c r="V36" s="17">
        <v>19.732964586682399</v>
      </c>
      <c r="W36" s="17">
        <v>10.6683794977915</v>
      </c>
      <c r="X36" s="17">
        <v>6.26387357671004</v>
      </c>
      <c r="Y36" s="17">
        <v>2.04893377072775</v>
      </c>
      <c r="Z36" s="17">
        <v>5.8432022250264701</v>
      </c>
      <c r="AA36" s="17">
        <v>17.3991612209763</v>
      </c>
      <c r="AB36" s="17">
        <v>13.337084411615599</v>
      </c>
      <c r="AC36" s="17">
        <v>36.073817948291598</v>
      </c>
    </row>
    <row r="37" spans="1:29" x14ac:dyDescent="0.2">
      <c r="A37" s="17">
        <f t="shared" si="0"/>
        <v>8.3730080477738404</v>
      </c>
      <c r="B37" s="17">
        <v>33</v>
      </c>
      <c r="C37" s="17">
        <v>10.0168363971388</v>
      </c>
      <c r="D37" s="17">
        <v>10.977453018311101</v>
      </c>
      <c r="E37" s="17">
        <v>2.2503108660241402</v>
      </c>
      <c r="F37" s="17">
        <v>4.82180197981201</v>
      </c>
      <c r="G37" s="17">
        <v>11.978669712044701</v>
      </c>
      <c r="H37" s="17">
        <v>14.9466927606009</v>
      </c>
      <c r="I37" s="17">
        <v>5.5480472053059398</v>
      </c>
      <c r="J37" s="17">
        <v>7.7866637006372397</v>
      </c>
      <c r="K37" s="17">
        <v>15.799229848195001</v>
      </c>
      <c r="L37" s="17">
        <v>3.0361461937421499</v>
      </c>
      <c r="M37" s="17">
        <v>6.5327011333773397</v>
      </c>
      <c r="N37" s="17">
        <v>11.3175726306178</v>
      </c>
      <c r="O37" s="17">
        <v>1.9209748231941399</v>
      </c>
      <c r="P37" s="17">
        <v>4.2363091054677602</v>
      </c>
      <c r="Q37" s="17">
        <v>4.1381434783685203</v>
      </c>
      <c r="R37" s="17">
        <v>16.3570444241711</v>
      </c>
      <c r="S37" s="17">
        <v>6.4661739513643601</v>
      </c>
      <c r="T37" s="17">
        <v>8.0191430376506005</v>
      </c>
      <c r="U37" s="17">
        <v>13.6465369241961</v>
      </c>
      <c r="V37" s="17">
        <v>5.4465526976676104</v>
      </c>
      <c r="W37" s="17">
        <v>11.5264024508106</v>
      </c>
      <c r="X37" s="17">
        <v>3.65363518337732</v>
      </c>
      <c r="Y37" s="17">
        <v>4.5548673713619703</v>
      </c>
      <c r="Z37" s="17">
        <v>2.9371825762980901</v>
      </c>
      <c r="AA37" s="17">
        <v>3.24574256812283</v>
      </c>
      <c r="AB37" s="17">
        <v>19.509834032104798</v>
      </c>
      <c r="AC37" s="17">
        <v>17.044377569295701</v>
      </c>
    </row>
    <row r="38" spans="1:29" x14ac:dyDescent="0.2">
      <c r="A38" s="17">
        <f t="shared" si="0"/>
        <v>12.477608366441826</v>
      </c>
      <c r="B38" s="17">
        <v>34</v>
      </c>
      <c r="C38" s="17">
        <v>6.6400252446106398</v>
      </c>
      <c r="D38" s="17">
        <v>15.611119644635799</v>
      </c>
      <c r="E38" s="17">
        <v>16.042252900901499</v>
      </c>
      <c r="F38" s="17">
        <v>12.503307575133601</v>
      </c>
      <c r="G38" s="17">
        <v>10.1824871366442</v>
      </c>
      <c r="H38" s="17">
        <v>49.026628691930597</v>
      </c>
      <c r="I38" s="17">
        <v>4.8779804159478504</v>
      </c>
      <c r="J38" s="17">
        <v>14.2709092305172</v>
      </c>
      <c r="K38" s="17">
        <v>25.394089252606499</v>
      </c>
      <c r="L38" s="17">
        <v>4.5781515899107097</v>
      </c>
      <c r="M38" s="17">
        <v>6.8544139510539503</v>
      </c>
      <c r="N38" s="17">
        <v>3.81275046184507</v>
      </c>
      <c r="O38" s="17">
        <v>5.8259899643626296</v>
      </c>
      <c r="P38" s="17">
        <v>10.6484092501445</v>
      </c>
      <c r="Q38" s="17">
        <v>15.076834435174201</v>
      </c>
      <c r="R38" s="17">
        <v>27.114422664578498</v>
      </c>
      <c r="S38" s="17">
        <v>10.072538806868801</v>
      </c>
      <c r="T38" s="17">
        <v>3.6536851269892598</v>
      </c>
      <c r="U38" s="17">
        <v>5.5002129634423804</v>
      </c>
      <c r="V38" s="17">
        <v>25.219804083880899</v>
      </c>
      <c r="W38" s="17">
        <v>7.3598321704908196</v>
      </c>
      <c r="X38" s="17">
        <v>4.5464978727657899</v>
      </c>
      <c r="Y38" s="17">
        <v>8.4116654429173696</v>
      </c>
      <c r="Z38" s="17">
        <v>13.0921571235935</v>
      </c>
      <c r="AA38" s="17">
        <v>8.7936628995289805</v>
      </c>
      <c r="AB38" s="17">
        <v>5.7584195235188496</v>
      </c>
      <c r="AC38" s="17">
        <v>10.1895943481041</v>
      </c>
    </row>
    <row r="39" spans="1:29" x14ac:dyDescent="0.2">
      <c r="A39" s="17">
        <f t="shared" si="0"/>
        <v>12.388142295017049</v>
      </c>
      <c r="B39" s="17">
        <v>35</v>
      </c>
      <c r="C39" s="17">
        <v>12.056036413825201</v>
      </c>
      <c r="D39" s="17">
        <v>14.588370452439399</v>
      </c>
      <c r="E39" s="17" t="s">
        <v>44</v>
      </c>
      <c r="F39" s="17">
        <v>22.2326811176343</v>
      </c>
      <c r="G39" s="17">
        <v>10.4150487216399</v>
      </c>
      <c r="H39" s="17" t="s">
        <v>44</v>
      </c>
      <c r="I39" s="17">
        <v>8.7494110649476102</v>
      </c>
      <c r="J39" s="17">
        <v>16.7843655112157</v>
      </c>
      <c r="K39" s="17">
        <v>26.097145008365899</v>
      </c>
      <c r="L39" s="17">
        <v>7.3052067127873297</v>
      </c>
      <c r="M39" s="17">
        <v>13.643661651468101</v>
      </c>
      <c r="N39" s="17">
        <v>12.9345179432551</v>
      </c>
      <c r="O39" s="17">
        <v>9.9259731603915604</v>
      </c>
      <c r="P39" s="17">
        <v>11.365503678155701</v>
      </c>
      <c r="Q39" s="17">
        <v>14.157942080041099</v>
      </c>
      <c r="R39" s="17">
        <v>19.3449976492061</v>
      </c>
      <c r="S39" s="17">
        <v>13.4419125344366</v>
      </c>
      <c r="T39" s="17">
        <v>5.5352362518498497</v>
      </c>
      <c r="U39" s="17">
        <v>2.98956926485705</v>
      </c>
      <c r="V39" s="17">
        <v>1.55609321374345</v>
      </c>
      <c r="W39" s="17">
        <v>20.973257917571399</v>
      </c>
      <c r="X39" s="17">
        <v>17.500338357859501</v>
      </c>
      <c r="Y39" s="17">
        <v>12.240767091605299</v>
      </c>
      <c r="Z39" s="17" t="s">
        <v>44</v>
      </c>
      <c r="AA39" s="17">
        <v>8.1343849117287004</v>
      </c>
      <c r="AB39" s="17">
        <v>2.8649128784458799</v>
      </c>
      <c r="AC39" s="17">
        <v>12.1459756117466</v>
      </c>
    </row>
    <row r="40" spans="1:29" x14ac:dyDescent="0.2">
      <c r="A40" s="17">
        <f t="shared" si="0"/>
        <v>9.8798964600491921</v>
      </c>
      <c r="B40" s="17">
        <v>36</v>
      </c>
      <c r="C40" s="17">
        <v>9.2514856589573498</v>
      </c>
      <c r="D40" s="17">
        <v>14.713376209645901</v>
      </c>
      <c r="E40" s="17">
        <v>2.8468710278151899</v>
      </c>
      <c r="F40" s="17">
        <v>4.86550036471849</v>
      </c>
      <c r="G40" s="17">
        <v>8.2488035237541197</v>
      </c>
      <c r="H40" s="17">
        <v>15.866652021601199</v>
      </c>
      <c r="I40" s="17">
        <v>7.7393385237824903</v>
      </c>
      <c r="J40" s="17">
        <v>5.40087407691761</v>
      </c>
      <c r="K40" s="17">
        <v>18.465556942975599</v>
      </c>
      <c r="L40" s="17">
        <v>4.0145375667186904</v>
      </c>
      <c r="M40" s="17">
        <v>9.9913781024203701</v>
      </c>
      <c r="N40" s="17">
        <v>10.761331832591299</v>
      </c>
      <c r="O40" s="17">
        <v>1.9710587455016999</v>
      </c>
      <c r="P40" s="17">
        <v>14.4182178461771</v>
      </c>
      <c r="Q40" s="17">
        <v>17.887509464740301</v>
      </c>
      <c r="R40" s="17">
        <v>15.777717020290501</v>
      </c>
      <c r="S40" s="17">
        <v>13.7293428028087</v>
      </c>
      <c r="T40" s="17">
        <v>14.5925041682417</v>
      </c>
      <c r="U40" s="17">
        <v>3.4062340851567301</v>
      </c>
      <c r="V40" s="17">
        <v>3.62531919174037</v>
      </c>
      <c r="W40" s="17">
        <v>10.341624266669299</v>
      </c>
      <c r="X40" s="17">
        <v>8.7622423554935605</v>
      </c>
      <c r="Y40" s="17">
        <v>10.7309723177191</v>
      </c>
      <c r="Z40" s="17">
        <v>2.3597889089280701</v>
      </c>
      <c r="AA40" s="17">
        <v>15.9925714704206</v>
      </c>
      <c r="AB40" s="17">
        <v>1.4257733961502801</v>
      </c>
      <c r="AC40" s="17">
        <v>18.942211728299998</v>
      </c>
    </row>
    <row r="41" spans="1:29" x14ac:dyDescent="0.2">
      <c r="A41" s="17">
        <f t="shared" si="0"/>
        <v>9.3451596608558205</v>
      </c>
      <c r="B41" s="17">
        <v>37</v>
      </c>
      <c r="C41" s="17">
        <v>12.2162116147679</v>
      </c>
      <c r="D41" s="17">
        <v>13.9525828490699</v>
      </c>
      <c r="E41" s="17">
        <v>6.1039896292193401</v>
      </c>
      <c r="F41" s="17">
        <v>9.1784372650083998</v>
      </c>
      <c r="G41" s="17">
        <v>7.1674564380652397</v>
      </c>
      <c r="H41" s="17">
        <v>10.9395788515645</v>
      </c>
      <c r="I41" s="17">
        <v>18.421141994412999</v>
      </c>
      <c r="J41" s="17">
        <v>1.5471218848670101</v>
      </c>
      <c r="K41" s="17">
        <v>22.921879569017101</v>
      </c>
      <c r="L41" s="17">
        <v>5.1206510237472598</v>
      </c>
      <c r="M41" s="17">
        <v>6.6829388730318096</v>
      </c>
      <c r="N41" s="17">
        <v>5.72064253055765</v>
      </c>
      <c r="O41" s="17">
        <v>2.8824973632063</v>
      </c>
      <c r="P41" s="17">
        <v>8.7728755392203102</v>
      </c>
      <c r="Q41" s="17">
        <v>4.7308708886800996</v>
      </c>
      <c r="R41" s="17">
        <v>6.0922576137689699</v>
      </c>
      <c r="S41" s="17">
        <v>6.1783635615503201</v>
      </c>
      <c r="T41" s="17">
        <v>6.2680518584609102</v>
      </c>
      <c r="U41" s="17">
        <v>12.4060012946891</v>
      </c>
      <c r="V41" s="17">
        <v>14.151112721282299</v>
      </c>
      <c r="W41" s="17">
        <v>19.9285934227496</v>
      </c>
      <c r="X41" s="17">
        <v>6.2949767354416304</v>
      </c>
      <c r="Y41" s="17">
        <v>8.1439164504146593</v>
      </c>
      <c r="Z41" s="17">
        <v>9.0574925416232102</v>
      </c>
      <c r="AA41" s="17">
        <v>3.1452350914752798</v>
      </c>
      <c r="AB41" s="17">
        <v>8.0747390037273004</v>
      </c>
      <c r="AC41" s="17">
        <v>19.0907461874001</v>
      </c>
    </row>
    <row r="42" spans="1:29" x14ac:dyDescent="0.2">
      <c r="A42" s="17">
        <f t="shared" si="0"/>
        <v>11.997206987252282</v>
      </c>
      <c r="B42" s="17">
        <v>38</v>
      </c>
      <c r="C42" s="17">
        <v>13.978506320676701</v>
      </c>
      <c r="D42" s="17">
        <v>3.1087216916397402</v>
      </c>
      <c r="E42" s="17" t="s">
        <v>44</v>
      </c>
      <c r="F42" s="17">
        <v>5.7972522028106903</v>
      </c>
      <c r="G42" s="17">
        <v>7.9396715560693201</v>
      </c>
      <c r="H42" s="17">
        <v>21.728242068794199</v>
      </c>
      <c r="I42" s="17">
        <v>8.6116591926791894</v>
      </c>
      <c r="J42" s="17">
        <v>14.8098015681813</v>
      </c>
      <c r="K42" s="17">
        <v>12.6873672642168</v>
      </c>
      <c r="L42" s="17">
        <v>17.748204556789201</v>
      </c>
      <c r="M42" s="17">
        <v>16.342341001621499</v>
      </c>
      <c r="N42" s="17">
        <v>12.751420416887401</v>
      </c>
      <c r="O42" s="17">
        <v>9.2110242883514193</v>
      </c>
      <c r="P42" s="17">
        <v>10.1630497663825</v>
      </c>
      <c r="Q42" s="17">
        <v>5.4429494892816503</v>
      </c>
      <c r="R42" s="17">
        <v>27.287543826984901</v>
      </c>
      <c r="S42" s="17">
        <v>14.941264840005299</v>
      </c>
      <c r="T42" s="17">
        <v>4.8711053746068096</v>
      </c>
      <c r="U42" s="17">
        <v>13.577853571530399</v>
      </c>
      <c r="V42" s="17">
        <v>9.3778980897208601</v>
      </c>
      <c r="W42" s="17">
        <v>14.2127347655031</v>
      </c>
      <c r="X42" s="17">
        <v>6.0838372924251001</v>
      </c>
      <c r="Y42" s="17">
        <v>9.7090436090619008</v>
      </c>
      <c r="Z42" s="17">
        <v>8.3456796970302403</v>
      </c>
      <c r="AA42" s="17">
        <v>7.2891820275625197</v>
      </c>
      <c r="AB42" s="17">
        <v>3.3984338852548901</v>
      </c>
      <c r="AC42" s="17">
        <v>34.493892637916097</v>
      </c>
    </row>
    <row r="43" spans="1:29" x14ac:dyDescent="0.2">
      <c r="A43" s="17">
        <f t="shared" si="0"/>
        <v>10.544223044823964</v>
      </c>
      <c r="B43" s="17">
        <v>39</v>
      </c>
      <c r="C43" s="17">
        <v>9.9700134828047808</v>
      </c>
      <c r="D43" s="17">
        <v>15.9000858866765</v>
      </c>
      <c r="E43" s="17">
        <v>8.1287169199445195</v>
      </c>
      <c r="F43" s="17">
        <v>17.471319444401001</v>
      </c>
      <c r="G43" s="17">
        <v>4.0730727353740201</v>
      </c>
      <c r="H43" s="17">
        <v>7.7054041432949401</v>
      </c>
      <c r="I43" s="17">
        <v>7.5562690234874603</v>
      </c>
      <c r="J43" s="17">
        <v>4.44196197164485</v>
      </c>
      <c r="K43" s="17">
        <v>11.361024445735399</v>
      </c>
      <c r="L43" s="17">
        <v>11.256456984338501</v>
      </c>
      <c r="M43" s="17">
        <v>11.756490046541501</v>
      </c>
      <c r="N43" s="17">
        <v>3.3071019767457401</v>
      </c>
      <c r="O43" s="17">
        <v>6.1615995337111</v>
      </c>
      <c r="P43" s="17">
        <v>9.4758561613973793</v>
      </c>
      <c r="Q43" s="17">
        <v>8.2234482097357393</v>
      </c>
      <c r="R43" s="17">
        <v>9.27221150008174</v>
      </c>
      <c r="S43" s="17">
        <v>11.4143692148236</v>
      </c>
      <c r="T43" s="17">
        <v>8.3261795549832307</v>
      </c>
      <c r="U43" s="17">
        <v>13.602041283135501</v>
      </c>
      <c r="V43" s="17">
        <v>8.2527954779988892</v>
      </c>
      <c r="W43" s="17">
        <v>26.385978486944801</v>
      </c>
      <c r="X43" s="17">
        <v>11.939480492853701</v>
      </c>
      <c r="Y43" s="17">
        <v>4.7949924261997596</v>
      </c>
      <c r="Z43" s="17">
        <v>2.7539761443057298</v>
      </c>
      <c r="AA43" s="17">
        <v>9.3980770332150296</v>
      </c>
      <c r="AB43" s="17">
        <v>2.5019141751227099</v>
      </c>
      <c r="AC43" s="17">
        <v>38.688975892729701</v>
      </c>
    </row>
    <row r="44" spans="1:29" x14ac:dyDescent="0.2">
      <c r="A44" s="17">
        <f t="shared" si="0"/>
        <v>9.6650304713864408</v>
      </c>
      <c r="B44" s="17">
        <v>40</v>
      </c>
      <c r="C44" s="17">
        <v>9.2766480274119196</v>
      </c>
      <c r="D44" s="17">
        <v>5.9115414626502796</v>
      </c>
      <c r="E44" s="17">
        <v>6.9108070806745001</v>
      </c>
      <c r="F44" s="17">
        <v>6.7694253531834496</v>
      </c>
      <c r="G44" s="17">
        <v>10.825057809533501</v>
      </c>
      <c r="H44" s="17">
        <v>9.6074946271016106</v>
      </c>
      <c r="I44" s="17">
        <v>7.4508220494914701</v>
      </c>
      <c r="J44" s="17">
        <v>10.9906828682268</v>
      </c>
      <c r="K44" s="17">
        <v>23.644238409550301</v>
      </c>
      <c r="L44" s="17">
        <v>9.9663145414950005</v>
      </c>
      <c r="M44" s="17">
        <v>10.215553809869901</v>
      </c>
      <c r="N44" s="17">
        <v>7.9643158648446102</v>
      </c>
      <c r="O44" s="17">
        <v>15.453951116795899</v>
      </c>
      <c r="P44" s="17">
        <v>4.7973766091349797</v>
      </c>
      <c r="Q44" s="17">
        <v>3.51683686907421</v>
      </c>
      <c r="R44" s="17">
        <v>22.291634745352599</v>
      </c>
      <c r="S44" s="17">
        <v>11.2200632811504</v>
      </c>
      <c r="T44" s="17">
        <v>9.0160584290925705</v>
      </c>
      <c r="U44" s="17">
        <v>0.92892887285866399</v>
      </c>
      <c r="V44" s="17">
        <v>8.1938247420255106</v>
      </c>
      <c r="W44" s="17">
        <v>8.9078314743598206</v>
      </c>
      <c r="X44" s="17">
        <v>8.1186922727987394</v>
      </c>
      <c r="Y44" s="17">
        <v>3.0627315042951802</v>
      </c>
      <c r="Z44" s="17">
        <v>2.7914513123693498</v>
      </c>
      <c r="AA44" s="17">
        <v>11.7836688823066</v>
      </c>
      <c r="AB44" s="17">
        <v>9.4849138922858298</v>
      </c>
      <c r="AC44" s="17">
        <v>21.466574375525699</v>
      </c>
    </row>
    <row r="45" spans="1:29" x14ac:dyDescent="0.2">
      <c r="A45" s="17">
        <f t="shared" si="0"/>
        <v>8.88373620718742</v>
      </c>
      <c r="B45" s="17">
        <v>41</v>
      </c>
      <c r="C45" s="17">
        <v>6.9403726849369196</v>
      </c>
      <c r="D45" s="17">
        <v>13.6908106185683</v>
      </c>
      <c r="E45" s="17">
        <v>2.6210434923899202</v>
      </c>
      <c r="F45" s="17">
        <v>12.333615372013</v>
      </c>
      <c r="G45" s="17">
        <v>5.0398495583612704</v>
      </c>
      <c r="H45" s="17">
        <v>11.659600245929701</v>
      </c>
      <c r="I45" s="17">
        <v>1.7845459780511399</v>
      </c>
      <c r="J45" s="17" t="s">
        <v>44</v>
      </c>
      <c r="K45" s="17">
        <v>17.6597901664889</v>
      </c>
      <c r="L45" s="17">
        <v>6.24184210873252</v>
      </c>
      <c r="M45" s="17">
        <v>4.5517597904219702</v>
      </c>
      <c r="N45" s="17">
        <v>7.9460616970843896</v>
      </c>
      <c r="O45" s="17">
        <v>10.2349189224166</v>
      </c>
      <c r="P45" s="17">
        <v>8.33074422832156</v>
      </c>
      <c r="Q45" s="17">
        <v>6.7301503129565301</v>
      </c>
      <c r="R45" s="17">
        <v>6.7476991841786296</v>
      </c>
      <c r="S45" s="17">
        <v>6.4517494438562402</v>
      </c>
      <c r="T45" s="17">
        <v>13.8601573177239</v>
      </c>
      <c r="U45" s="17">
        <v>4.56223373618647</v>
      </c>
      <c r="V45" s="17">
        <v>13.579591673310601</v>
      </c>
      <c r="W45" s="17">
        <v>11.2202208873271</v>
      </c>
      <c r="X45" s="17">
        <v>6.7711636450455002</v>
      </c>
      <c r="Y45" s="17">
        <v>14.376764929278799</v>
      </c>
      <c r="Z45" s="17">
        <v>3.0139046312575299</v>
      </c>
      <c r="AA45" s="17">
        <v>11.274723227560701</v>
      </c>
      <c r="AB45" s="17">
        <v>2.2957655691622301</v>
      </c>
      <c r="AC45" s="17">
        <v>19.114698443062</v>
      </c>
    </row>
    <row r="46" spans="1:29" x14ac:dyDescent="0.2">
      <c r="A46" s="17">
        <f t="shared" si="0"/>
        <v>13.618103764957834</v>
      </c>
      <c r="B46" s="17">
        <v>42</v>
      </c>
      <c r="C46" s="17" t="s">
        <v>44</v>
      </c>
      <c r="D46" s="17">
        <v>9.1159975065479895</v>
      </c>
      <c r="E46" s="17">
        <v>6.4750657751657803</v>
      </c>
      <c r="F46" s="17">
        <v>15.1456288792641</v>
      </c>
      <c r="G46" s="17">
        <v>16.283560668869701</v>
      </c>
      <c r="H46" s="17">
        <v>17.592926814719299</v>
      </c>
      <c r="I46" s="17">
        <v>7.8358405338099599</v>
      </c>
      <c r="J46" s="17">
        <v>22.589992954576601</v>
      </c>
      <c r="K46" s="17">
        <v>8.6577702995615606</v>
      </c>
      <c r="L46" s="17">
        <v>2.2359020199462698</v>
      </c>
      <c r="M46" s="17">
        <v>15.1336079532054</v>
      </c>
      <c r="N46" s="17">
        <v>16.398967740486899</v>
      </c>
      <c r="O46" s="17">
        <v>6.5804165543808404</v>
      </c>
      <c r="P46" s="17">
        <v>15.398456929551701</v>
      </c>
      <c r="Q46" s="17">
        <v>19.312555463306001</v>
      </c>
      <c r="R46" s="17">
        <v>18.767890463961798</v>
      </c>
      <c r="S46" s="17">
        <v>17.3810132946391</v>
      </c>
      <c r="T46" s="17">
        <v>17.7844138588266</v>
      </c>
      <c r="U46" s="17">
        <v>6.2023038553296104</v>
      </c>
      <c r="V46" s="17">
        <v>10.467768241935</v>
      </c>
      <c r="W46" s="17">
        <v>15.4340221993307</v>
      </c>
      <c r="X46" s="17">
        <v>18.0860908998133</v>
      </c>
      <c r="Y46" s="17">
        <v>4.3432889561580996</v>
      </c>
      <c r="Z46" s="17">
        <v>17.730226739415201</v>
      </c>
      <c r="AA46" s="17">
        <v>2.0236532396910301</v>
      </c>
      <c r="AB46" s="17">
        <v>15.330601866640899</v>
      </c>
      <c r="AC46" s="17">
        <v>31.762734179770099</v>
      </c>
    </row>
    <row r="47" spans="1:29" x14ac:dyDescent="0.2">
      <c r="A47" s="17">
        <f t="shared" si="0"/>
        <v>9.3454216077867915</v>
      </c>
      <c r="B47" s="17">
        <v>43</v>
      </c>
      <c r="C47" s="17" t="s">
        <v>44</v>
      </c>
      <c r="D47" s="17">
        <v>8.3370893222050295</v>
      </c>
      <c r="E47" s="17">
        <v>3.95128210119513</v>
      </c>
      <c r="F47" s="17">
        <v>9.8368687182118695</v>
      </c>
      <c r="G47" s="17">
        <v>5.9354492875900098</v>
      </c>
      <c r="H47" s="17" t="s">
        <v>44</v>
      </c>
      <c r="I47" s="17" t="s">
        <v>44</v>
      </c>
      <c r="J47" s="17">
        <v>8.4367772873336797</v>
      </c>
      <c r="K47" s="17">
        <v>8.4371154180150807</v>
      </c>
      <c r="L47" s="17">
        <v>4.50424835640219</v>
      </c>
      <c r="M47" s="17">
        <v>7.9404547009424604</v>
      </c>
      <c r="N47" s="17">
        <v>5.6314138806960399</v>
      </c>
      <c r="O47" s="17" t="s">
        <v>44</v>
      </c>
      <c r="P47" s="17" t="s">
        <v>44</v>
      </c>
      <c r="Q47" s="17">
        <v>2.6328795534432898</v>
      </c>
      <c r="R47" s="17">
        <v>10.3260423516153</v>
      </c>
      <c r="S47" s="17">
        <v>13.6935590210835</v>
      </c>
      <c r="T47" s="17">
        <v>6.4571683846277397</v>
      </c>
      <c r="U47" s="17">
        <v>14.9054332648314</v>
      </c>
      <c r="V47" s="17">
        <v>18.080572014092901</v>
      </c>
      <c r="W47" s="17" t="s">
        <v>44</v>
      </c>
      <c r="X47" s="17" t="s">
        <v>44</v>
      </c>
      <c r="Y47" s="17" t="s">
        <v>44</v>
      </c>
      <c r="Z47" s="17">
        <v>9.6594516445789793</v>
      </c>
      <c r="AA47" s="17">
        <v>3.48538639189344</v>
      </c>
      <c r="AB47" s="17">
        <v>8.0760512261102999</v>
      </c>
      <c r="AC47" s="17">
        <v>27.235767623080701</v>
      </c>
    </row>
    <row r="48" spans="1:29" x14ac:dyDescent="0.2">
      <c r="A48" s="17">
        <f t="shared" si="0"/>
        <v>9.9569443908048996</v>
      </c>
      <c r="B48" s="17">
        <v>44</v>
      </c>
      <c r="C48" s="17">
        <v>22.179530475945501</v>
      </c>
      <c r="D48" s="17">
        <v>13.006748829263101</v>
      </c>
      <c r="E48" s="17">
        <v>14.609615688080799</v>
      </c>
      <c r="F48" s="17">
        <v>3.94473805202023</v>
      </c>
      <c r="G48" s="17">
        <v>9.2256815431246704</v>
      </c>
      <c r="H48" s="17">
        <v>19.638552927999601</v>
      </c>
      <c r="I48" s="17">
        <v>9.6660892597388397</v>
      </c>
      <c r="J48" s="17">
        <v>7.8959701745367399</v>
      </c>
      <c r="K48" s="17">
        <v>13.100863712176301</v>
      </c>
      <c r="L48" s="17">
        <v>13.1373791943599</v>
      </c>
      <c r="M48" s="17">
        <v>8.4462721355695098</v>
      </c>
      <c r="N48" s="17">
        <v>2.0268187036201</v>
      </c>
      <c r="O48" s="17">
        <v>5.6995454073043401</v>
      </c>
      <c r="P48" s="17">
        <v>23.853275733119599</v>
      </c>
      <c r="Q48" s="17">
        <v>8.7571112049052395</v>
      </c>
      <c r="R48" s="17">
        <v>4.8629663395726297</v>
      </c>
      <c r="S48" s="17">
        <v>2.9989542346331999</v>
      </c>
      <c r="T48" s="17">
        <v>12.5159454591235</v>
      </c>
      <c r="U48" s="17">
        <v>8.1759927335554003</v>
      </c>
      <c r="V48" s="17">
        <v>5.8956338905944596</v>
      </c>
      <c r="W48" s="17">
        <v>18.804162006452898</v>
      </c>
      <c r="X48" s="17">
        <v>10.628752773714201</v>
      </c>
      <c r="Y48" s="17">
        <v>12.240767091605299</v>
      </c>
      <c r="Z48" s="17">
        <v>1.9133554825896599</v>
      </c>
      <c r="AA48" s="17">
        <v>5.4120026725267998</v>
      </c>
      <c r="AB48" s="17">
        <v>9.2404190639362405</v>
      </c>
      <c r="AC48" s="17">
        <v>13.1829398468041</v>
      </c>
    </row>
    <row r="49" spans="1:29" x14ac:dyDescent="0.2">
      <c r="A49" s="17">
        <f t="shared" si="0"/>
        <v>11.818108460176781</v>
      </c>
      <c r="B49" s="17">
        <v>45</v>
      </c>
      <c r="C49" s="17" t="s">
        <v>44</v>
      </c>
      <c r="D49" s="17">
        <v>9.4169865988958303</v>
      </c>
      <c r="E49" s="17">
        <v>16.525405116501801</v>
      </c>
      <c r="F49" s="17">
        <v>6.4847464025858796</v>
      </c>
      <c r="G49" s="17">
        <v>10.428705082163299</v>
      </c>
      <c r="H49" s="17">
        <v>23.105207681304101</v>
      </c>
      <c r="I49" s="17">
        <v>6.6194595208923701</v>
      </c>
      <c r="J49" s="17">
        <v>12.4370960853512</v>
      </c>
      <c r="K49" s="17">
        <v>37.260926114435499</v>
      </c>
      <c r="L49" s="17">
        <v>14.298218192775501</v>
      </c>
      <c r="M49" s="17">
        <v>10.4313155449163</v>
      </c>
      <c r="N49" s="17">
        <v>6.9554890506101597</v>
      </c>
      <c r="O49" s="17">
        <v>13.1100893714994</v>
      </c>
      <c r="P49" s="17">
        <v>6.5530966030665798</v>
      </c>
      <c r="Q49" s="17">
        <v>8.5196386246186595</v>
      </c>
      <c r="R49" s="17">
        <v>8.5962190690912799</v>
      </c>
      <c r="S49" s="17">
        <v>10.981444243775901</v>
      </c>
      <c r="T49" s="17">
        <v>6.0027531243746797</v>
      </c>
      <c r="U49" s="17">
        <v>11.3945961652647</v>
      </c>
      <c r="V49" s="17">
        <v>5.4184194464809297</v>
      </c>
      <c r="W49" s="17">
        <v>14.4217602278301</v>
      </c>
      <c r="X49" s="17">
        <v>8.56765812862856</v>
      </c>
      <c r="Y49" s="17">
        <v>16.689670903676799</v>
      </c>
      <c r="Z49" s="17">
        <v>15.053637548131601</v>
      </c>
      <c r="AA49" s="17">
        <v>4.3677715044444696</v>
      </c>
      <c r="AB49" s="17">
        <v>1.7742377682993999</v>
      </c>
      <c r="AC49" s="17">
        <v>21.8562718449813</v>
      </c>
    </row>
  </sheetData>
  <phoneticPr fontId="1" type="noConversion"/>
  <conditionalFormatting sqref="A4:A49">
    <cfRule type="aboveAverage" dxfId="6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E03C-7419-47CA-A859-1F77CE370962}">
  <dimension ref="A1:AB51"/>
  <sheetViews>
    <sheetView topLeftCell="A2" workbookViewId="0">
      <selection activeCell="D5" sqref="D5:W49"/>
    </sheetView>
  </sheetViews>
  <sheetFormatPr defaultColWidth="8.625" defaultRowHeight="11.25" x14ac:dyDescent="0.2"/>
  <cols>
    <col min="1" max="2" width="8.625" style="17"/>
    <col min="3" max="3" width="8.625" style="17" customWidth="1"/>
    <col min="4" max="16384" width="8.625" style="17"/>
  </cols>
  <sheetData>
    <row r="1" spans="1:28" s="9" customFormat="1" x14ac:dyDescent="0.2">
      <c r="B1" s="9" t="s">
        <v>46</v>
      </c>
      <c r="C1" s="10">
        <v>2</v>
      </c>
      <c r="D1" s="10">
        <v>11</v>
      </c>
      <c r="E1" s="10">
        <v>12</v>
      </c>
      <c r="F1" s="10">
        <v>18</v>
      </c>
      <c r="G1" s="10">
        <v>15</v>
      </c>
      <c r="H1" s="10">
        <v>3</v>
      </c>
      <c r="I1" s="10">
        <v>20</v>
      </c>
      <c r="J1" s="10">
        <v>19</v>
      </c>
      <c r="K1" s="10">
        <v>7</v>
      </c>
      <c r="L1" s="10">
        <v>8</v>
      </c>
      <c r="M1" s="10">
        <v>1</v>
      </c>
      <c r="N1" s="10">
        <v>16</v>
      </c>
      <c r="O1" s="10">
        <v>9</v>
      </c>
      <c r="P1" s="10">
        <v>4</v>
      </c>
      <c r="Q1" s="10">
        <v>5</v>
      </c>
      <c r="R1" s="10">
        <v>13</v>
      </c>
      <c r="S1" s="10">
        <v>17</v>
      </c>
      <c r="T1" s="10">
        <v>14</v>
      </c>
      <c r="U1" s="10">
        <v>10</v>
      </c>
      <c r="V1" s="10">
        <v>6</v>
      </c>
    </row>
    <row r="2" spans="1:28" s="9" customFormat="1" x14ac:dyDescent="0.2">
      <c r="B2" s="9" t="s">
        <v>47</v>
      </c>
      <c r="C2" s="10">
        <v>1</v>
      </c>
      <c r="D2" s="11">
        <v>2</v>
      </c>
      <c r="E2" s="11">
        <v>3</v>
      </c>
      <c r="F2" s="12">
        <v>4</v>
      </c>
      <c r="G2" s="13">
        <v>5</v>
      </c>
      <c r="H2" s="14">
        <v>6</v>
      </c>
      <c r="I2" s="10">
        <v>7</v>
      </c>
      <c r="J2" s="12">
        <v>8</v>
      </c>
      <c r="K2" s="15">
        <v>9</v>
      </c>
      <c r="L2" s="15">
        <v>10</v>
      </c>
      <c r="M2" s="16">
        <v>11</v>
      </c>
      <c r="N2" s="13">
        <v>12</v>
      </c>
      <c r="O2" s="15">
        <v>13</v>
      </c>
      <c r="P2" s="14">
        <v>14</v>
      </c>
      <c r="Q2" s="14">
        <v>15</v>
      </c>
      <c r="R2" s="11">
        <v>16</v>
      </c>
      <c r="S2" s="13">
        <v>17</v>
      </c>
      <c r="T2" s="11">
        <v>18</v>
      </c>
      <c r="U2" s="15">
        <v>19</v>
      </c>
      <c r="V2" s="14">
        <v>20</v>
      </c>
      <c r="W2" s="9">
        <v>21</v>
      </c>
      <c r="X2" s="9">
        <v>22</v>
      </c>
      <c r="Y2" s="9">
        <v>23</v>
      </c>
      <c r="Z2" s="9">
        <v>24</v>
      </c>
      <c r="AA2" s="9">
        <v>25</v>
      </c>
      <c r="AB2" s="9">
        <v>26</v>
      </c>
    </row>
    <row r="3" spans="1:28" s="9" customFormat="1" x14ac:dyDescent="0.2">
      <c r="C3" s="10" t="s">
        <v>0</v>
      </c>
      <c r="D3" s="11" t="s">
        <v>2</v>
      </c>
      <c r="E3" s="11" t="s">
        <v>4</v>
      </c>
      <c r="F3" s="12" t="s">
        <v>6</v>
      </c>
      <c r="G3" s="13" t="s">
        <v>8</v>
      </c>
      <c r="H3" s="14" t="s">
        <v>10</v>
      </c>
      <c r="I3" s="10" t="s">
        <v>12</v>
      </c>
      <c r="J3" s="12" t="s">
        <v>14</v>
      </c>
      <c r="K3" s="15" t="s">
        <v>16</v>
      </c>
      <c r="L3" s="15" t="s">
        <v>18</v>
      </c>
      <c r="M3" s="16" t="s">
        <v>20</v>
      </c>
      <c r="N3" s="13" t="s">
        <v>22</v>
      </c>
      <c r="O3" s="15" t="s">
        <v>24</v>
      </c>
      <c r="P3" s="14" t="s">
        <v>26</v>
      </c>
      <c r="Q3" s="14" t="s">
        <v>28</v>
      </c>
      <c r="R3" s="11" t="s">
        <v>30</v>
      </c>
      <c r="S3" s="13" t="s">
        <v>32</v>
      </c>
      <c r="T3" s="11" t="s">
        <v>34</v>
      </c>
      <c r="U3" s="15" t="s">
        <v>36</v>
      </c>
      <c r="V3" s="14" t="s">
        <v>38</v>
      </c>
    </row>
    <row r="4" spans="1:28" s="9" customFormat="1" ht="22.5" x14ac:dyDescent="0.2">
      <c r="A4" s="9" t="s">
        <v>94</v>
      </c>
      <c r="B4" s="17" t="s">
        <v>45</v>
      </c>
      <c r="C4" s="10" t="s">
        <v>1</v>
      </c>
      <c r="D4" s="11" t="s">
        <v>3</v>
      </c>
      <c r="E4" s="11" t="s">
        <v>5</v>
      </c>
      <c r="F4" s="12" t="s">
        <v>7</v>
      </c>
      <c r="G4" s="13" t="s">
        <v>9</v>
      </c>
      <c r="H4" s="14" t="s">
        <v>11</v>
      </c>
      <c r="I4" s="10" t="s">
        <v>13</v>
      </c>
      <c r="J4" s="12" t="s">
        <v>15</v>
      </c>
      <c r="K4" s="15" t="s">
        <v>17</v>
      </c>
      <c r="L4" s="15" t="s">
        <v>19</v>
      </c>
      <c r="M4" s="16" t="s">
        <v>21</v>
      </c>
      <c r="N4" s="13" t="s">
        <v>23</v>
      </c>
      <c r="O4" s="15" t="s">
        <v>25</v>
      </c>
      <c r="P4" s="14" t="s">
        <v>27</v>
      </c>
      <c r="Q4" s="14" t="s">
        <v>29</v>
      </c>
      <c r="R4" s="11" t="s">
        <v>31</v>
      </c>
      <c r="S4" s="13" t="s">
        <v>33</v>
      </c>
      <c r="T4" s="11" t="s">
        <v>35</v>
      </c>
      <c r="U4" s="15" t="s">
        <v>37</v>
      </c>
      <c r="V4" s="14" t="s">
        <v>39</v>
      </c>
      <c r="W4" s="9" t="s">
        <v>42</v>
      </c>
      <c r="X4" s="9" t="s">
        <v>42</v>
      </c>
      <c r="Y4" s="9" t="s">
        <v>42</v>
      </c>
      <c r="Z4" s="9" t="s">
        <v>42</v>
      </c>
      <c r="AA4" s="9" t="s">
        <v>42</v>
      </c>
      <c r="AB4" s="9" t="s">
        <v>42</v>
      </c>
    </row>
    <row r="5" spans="1:28" x14ac:dyDescent="0.2">
      <c r="A5" s="17">
        <f>AVERAGE(D5:AC5)</f>
        <v>2.7863472826806257</v>
      </c>
      <c r="B5" s="17">
        <v>1</v>
      </c>
      <c r="C5" s="17" t="s">
        <v>44</v>
      </c>
      <c r="D5" s="17">
        <v>4.6777473355286903</v>
      </c>
      <c r="E5" s="17">
        <v>2.5173665356364499</v>
      </c>
      <c r="F5" s="17">
        <v>3.1122982375045898</v>
      </c>
      <c r="G5" s="17">
        <v>2.68336011652455</v>
      </c>
      <c r="H5" s="17">
        <v>2.4702379195654198</v>
      </c>
      <c r="I5" s="17">
        <v>2.9965176070692099</v>
      </c>
      <c r="J5" s="17">
        <v>0.73866158335651699</v>
      </c>
      <c r="K5" s="17" t="s">
        <v>44</v>
      </c>
      <c r="L5" s="17" t="s">
        <v>44</v>
      </c>
      <c r="M5" s="17">
        <v>3.93769547252906</v>
      </c>
      <c r="N5" s="17">
        <v>2.37197565091595</v>
      </c>
      <c r="O5" s="17">
        <v>4.0612907230074997</v>
      </c>
      <c r="P5" s="17" t="s">
        <v>44</v>
      </c>
      <c r="Q5" s="17" t="s">
        <v>44</v>
      </c>
      <c r="R5" s="17">
        <v>0.13541713720135501</v>
      </c>
      <c r="S5" s="17">
        <v>2.0247474056941202</v>
      </c>
      <c r="T5" s="17">
        <v>1.32425093101409</v>
      </c>
      <c r="U5" s="17">
        <v>4.6036597970108302</v>
      </c>
      <c r="V5" s="17">
        <v>1.3280779005075001</v>
      </c>
      <c r="W5" s="17">
        <v>2.2148155800095402</v>
      </c>
      <c r="X5" s="17">
        <v>2.1727992327832801</v>
      </c>
      <c r="Y5" s="17">
        <v>4.53304347856617</v>
      </c>
      <c r="Z5" s="17">
        <v>7.0808840579297199</v>
      </c>
      <c r="AA5" s="17">
        <v>0.82217379944656799</v>
      </c>
      <c r="AB5" s="17">
        <v>2.7062724344920301</v>
      </c>
    </row>
    <row r="6" spans="1:28" x14ac:dyDescent="0.2">
      <c r="A6" s="17">
        <f t="shared" ref="A6:A49" si="0">AVERAGE(D6:AC6)</f>
        <v>2.8913930008656616</v>
      </c>
      <c r="B6" s="17">
        <v>2</v>
      </c>
      <c r="C6" s="17" t="s">
        <v>44</v>
      </c>
      <c r="D6" s="17" t="s">
        <v>44</v>
      </c>
      <c r="E6" s="17">
        <v>1.0733323766495699</v>
      </c>
      <c r="F6" s="17">
        <v>0.24192453460041199</v>
      </c>
      <c r="G6" s="17" t="s">
        <v>44</v>
      </c>
      <c r="H6" s="17">
        <v>3.1217749582189902</v>
      </c>
      <c r="I6" s="17">
        <v>2.7200276213160501</v>
      </c>
      <c r="J6" s="17">
        <v>3.32287231888392</v>
      </c>
      <c r="K6" s="17">
        <v>4.4627052356297199</v>
      </c>
      <c r="L6" s="17">
        <v>4.97139372667485</v>
      </c>
      <c r="M6" s="17" t="s">
        <v>44</v>
      </c>
      <c r="N6" s="17">
        <v>6.50184721242805</v>
      </c>
      <c r="O6" s="17">
        <v>0.69468494114579704</v>
      </c>
      <c r="P6" s="17" t="s">
        <v>44</v>
      </c>
      <c r="Q6" s="17">
        <v>2.2969466126112699</v>
      </c>
      <c r="R6" s="17">
        <v>4.82350622501981</v>
      </c>
      <c r="S6" s="17">
        <v>0.82591973597147905</v>
      </c>
      <c r="T6" s="17">
        <v>6.0069436997187902</v>
      </c>
      <c r="U6" s="17">
        <v>1.45579414375134</v>
      </c>
      <c r="V6" s="17">
        <v>3.5476477979358099</v>
      </c>
      <c r="W6" s="17">
        <v>4.5468210574785104</v>
      </c>
      <c r="X6" s="17">
        <v>3.1117450051563802</v>
      </c>
      <c r="Y6" s="17">
        <v>2.03954573695143</v>
      </c>
      <c r="Z6" s="17">
        <v>1.6343863722175</v>
      </c>
      <c r="AA6" s="17" t="s">
        <v>44</v>
      </c>
      <c r="AB6" s="17">
        <v>0.42804070495355101</v>
      </c>
    </row>
    <row r="7" spans="1:28" x14ac:dyDescent="0.2">
      <c r="A7" s="17">
        <f t="shared" si="0"/>
        <v>4.5411672507567058</v>
      </c>
      <c r="B7" s="17">
        <v>3</v>
      </c>
      <c r="C7" s="17">
        <v>8.85157649207129</v>
      </c>
      <c r="D7" s="17">
        <v>6.6954580358443501</v>
      </c>
      <c r="E7" s="17">
        <v>20.047602708078301</v>
      </c>
      <c r="F7" s="17">
        <v>0.81453769694858402</v>
      </c>
      <c r="G7" s="17" t="s">
        <v>44</v>
      </c>
      <c r="H7" s="17">
        <v>1.68850719635814</v>
      </c>
      <c r="I7" s="17">
        <v>1.1403161269569699</v>
      </c>
      <c r="J7" s="17">
        <v>1.7709633776454801</v>
      </c>
      <c r="K7" s="17">
        <v>4.53851977400089</v>
      </c>
      <c r="L7" s="17">
        <v>7.9693883451712697</v>
      </c>
      <c r="M7" s="17">
        <v>2.70189022104252</v>
      </c>
      <c r="N7" s="17">
        <v>1.0674969240853001</v>
      </c>
      <c r="O7" s="17">
        <v>3.4495365308705002</v>
      </c>
      <c r="P7" s="17">
        <v>5.4961712137633398</v>
      </c>
      <c r="Q7" s="17">
        <v>8.1154581557277705</v>
      </c>
      <c r="R7" s="17">
        <v>2.00986582061052</v>
      </c>
      <c r="S7" s="17">
        <v>5.8490338732247098</v>
      </c>
      <c r="T7" s="17">
        <v>5.3730356827427599</v>
      </c>
      <c r="U7" s="17">
        <v>2.1382749646118002</v>
      </c>
      <c r="V7" s="17">
        <v>3.3652880696759899</v>
      </c>
      <c r="W7" s="17">
        <v>10.689378795453599</v>
      </c>
      <c r="X7" s="17">
        <v>5.6735419290721003</v>
      </c>
      <c r="Y7" s="17">
        <v>0.50669594054376899</v>
      </c>
      <c r="Z7" s="17">
        <v>3.7478397603993301</v>
      </c>
      <c r="AA7" s="17">
        <v>2.9701488127617899</v>
      </c>
      <c r="AB7" s="17">
        <v>1.1690640625711499</v>
      </c>
    </row>
    <row r="8" spans="1:28" x14ac:dyDescent="0.2">
      <c r="A8" s="17">
        <f t="shared" si="0"/>
        <v>6.7355004904552382</v>
      </c>
      <c r="B8" s="17">
        <v>4</v>
      </c>
      <c r="C8" s="17" t="s">
        <v>44</v>
      </c>
      <c r="D8" s="17" t="s">
        <v>44</v>
      </c>
      <c r="E8" s="17" t="s">
        <v>44</v>
      </c>
      <c r="F8" s="17">
        <v>6.6939927245828796</v>
      </c>
      <c r="G8" s="17">
        <v>3.74414386779205</v>
      </c>
      <c r="H8" s="17">
        <v>19.733504182838399</v>
      </c>
      <c r="I8" s="17" t="s">
        <v>44</v>
      </c>
      <c r="J8" s="17">
        <v>7.5169282455895097</v>
      </c>
      <c r="K8" s="17" t="s">
        <v>44</v>
      </c>
      <c r="L8" s="17">
        <v>2.8517410611365102</v>
      </c>
      <c r="M8" s="17">
        <v>5.1730316087758901</v>
      </c>
      <c r="N8" s="17" t="s">
        <v>44</v>
      </c>
      <c r="O8" s="17">
        <v>5.6104451284483501</v>
      </c>
      <c r="P8" s="17" t="s">
        <v>44</v>
      </c>
      <c r="Q8" s="17">
        <v>13.093622389593399</v>
      </c>
      <c r="R8" s="17">
        <v>2.43687503034971</v>
      </c>
      <c r="S8" s="17">
        <v>3.7706291342238401</v>
      </c>
      <c r="T8" s="17">
        <v>7.0622085523263101</v>
      </c>
      <c r="U8" s="17">
        <v>2.24064386539726</v>
      </c>
      <c r="V8" s="17">
        <v>2.3129930653682602</v>
      </c>
      <c r="W8" s="17">
        <v>11.907707098503399</v>
      </c>
      <c r="X8" s="17" t="s">
        <v>44</v>
      </c>
      <c r="Y8" s="17">
        <v>3.1001518967797099</v>
      </c>
      <c r="Z8" s="17">
        <v>10.980852081708599</v>
      </c>
      <c r="AA8" s="17">
        <v>6.27403840432497</v>
      </c>
      <c r="AB8" s="17" t="s">
        <v>44</v>
      </c>
    </row>
    <row r="9" spans="1:28" x14ac:dyDescent="0.2">
      <c r="A9" s="17">
        <f t="shared" si="0"/>
        <v>3.3115246566922614</v>
      </c>
      <c r="B9" s="17">
        <v>5</v>
      </c>
      <c r="C9" s="17">
        <v>2.8001936989939198</v>
      </c>
      <c r="D9" s="17" t="s">
        <v>44</v>
      </c>
      <c r="E9" s="17" t="s">
        <v>44</v>
      </c>
      <c r="F9" s="17" t="s">
        <v>44</v>
      </c>
      <c r="G9" s="17">
        <v>3.0387100033330801</v>
      </c>
      <c r="H9" s="17">
        <v>2.0665346417778898</v>
      </c>
      <c r="I9" s="17">
        <v>2.56869092960261E-2</v>
      </c>
      <c r="J9" s="17">
        <v>1.8921025719525499</v>
      </c>
      <c r="K9" s="17" t="s">
        <v>44</v>
      </c>
      <c r="L9" s="17" t="s">
        <v>44</v>
      </c>
      <c r="M9" s="17" t="s">
        <v>44</v>
      </c>
      <c r="N9" s="17">
        <v>2.26761958616546</v>
      </c>
      <c r="O9" s="17">
        <v>1.20471226267831</v>
      </c>
      <c r="P9" s="17">
        <v>4.8981068492873803</v>
      </c>
      <c r="Q9" s="17" t="s">
        <v>44</v>
      </c>
      <c r="R9" s="17" t="s">
        <v>44</v>
      </c>
      <c r="S9" s="17">
        <v>4.3228790011120299</v>
      </c>
      <c r="T9" s="17">
        <v>9.9789779164295496</v>
      </c>
      <c r="U9" s="17">
        <v>3.4729046716926799</v>
      </c>
      <c r="V9" s="17">
        <v>2.5203733915897999</v>
      </c>
      <c r="W9" s="17">
        <v>5.5509874584595904</v>
      </c>
      <c r="X9" s="17" t="s">
        <v>44</v>
      </c>
      <c r="Y9" s="17">
        <v>2.2163225184546498</v>
      </c>
      <c r="Z9" s="17" t="s">
        <v>44</v>
      </c>
      <c r="AA9" s="17">
        <v>3.3293583920583498</v>
      </c>
      <c r="AB9" s="17">
        <v>2.8875936760965701</v>
      </c>
    </row>
    <row r="10" spans="1:28" x14ac:dyDescent="0.2">
      <c r="A10" s="17">
        <f t="shared" si="0"/>
        <v>5.21075105601932</v>
      </c>
      <c r="B10" s="17">
        <v>6</v>
      </c>
      <c r="C10" s="17" t="s">
        <v>44</v>
      </c>
      <c r="D10" s="17">
        <v>8.6405380554135007</v>
      </c>
      <c r="E10" s="17">
        <v>5.5374874156537599</v>
      </c>
      <c r="F10" s="17" t="s">
        <v>44</v>
      </c>
      <c r="G10" s="17">
        <v>3.2319518011590498</v>
      </c>
      <c r="H10" s="17">
        <v>4.0807728584779497</v>
      </c>
      <c r="I10" s="17">
        <v>2.70620905467494</v>
      </c>
      <c r="J10" s="17">
        <v>5.56341345735584</v>
      </c>
      <c r="K10" s="17">
        <v>0.63777936524664403</v>
      </c>
      <c r="L10" s="17">
        <v>9.7166214542129605</v>
      </c>
      <c r="M10" s="17">
        <v>3.67260936610931</v>
      </c>
      <c r="N10" s="17">
        <v>6.8366949441277001</v>
      </c>
      <c r="O10" s="17" t="s">
        <v>44</v>
      </c>
      <c r="P10" s="17">
        <v>3.3501595048508599</v>
      </c>
      <c r="Q10" s="17">
        <v>4.8184678102245604</v>
      </c>
      <c r="R10" s="17">
        <v>9.6022688264393192</v>
      </c>
      <c r="S10" s="17">
        <v>4.46716395164992</v>
      </c>
      <c r="T10" s="17">
        <v>4.0511439198521302</v>
      </c>
      <c r="U10" s="17">
        <v>2.8265604881045499</v>
      </c>
      <c r="V10" s="17">
        <v>1.0796583067013501</v>
      </c>
      <c r="W10" s="17">
        <v>3.4959778862794102</v>
      </c>
      <c r="X10" s="17">
        <v>16.447259289763998</v>
      </c>
      <c r="Y10" s="17">
        <v>2.5453255169911002</v>
      </c>
      <c r="Z10" s="17">
        <v>9.1833626898170095</v>
      </c>
      <c r="AA10" s="17" t="s">
        <v>44</v>
      </c>
      <c r="AB10" s="17">
        <v>2.1450972693191899</v>
      </c>
    </row>
    <row r="11" spans="1:28" x14ac:dyDescent="0.2">
      <c r="A11" s="17">
        <f t="shared" si="0"/>
        <v>3.7472652605732306</v>
      </c>
      <c r="B11" s="17">
        <v>7</v>
      </c>
      <c r="C11" s="17">
        <v>9.5728004723381002</v>
      </c>
      <c r="D11" s="17">
        <v>4.6281391608341602</v>
      </c>
      <c r="E11" s="17">
        <v>3.16147190586645</v>
      </c>
      <c r="F11" s="17">
        <v>4.4098811010562402</v>
      </c>
      <c r="G11" s="17">
        <v>3.7784693286677702</v>
      </c>
      <c r="H11" s="17">
        <v>3.3558858186851599</v>
      </c>
      <c r="I11" s="17">
        <v>0.91525125253357098</v>
      </c>
      <c r="J11" s="17">
        <v>4.7183795718905497</v>
      </c>
      <c r="K11" s="17">
        <v>6.13090638356877</v>
      </c>
      <c r="L11" s="17">
        <v>2.9813616884080298</v>
      </c>
      <c r="M11" s="17">
        <v>1.3253628096846899</v>
      </c>
      <c r="N11" s="17">
        <v>2.39348976022278</v>
      </c>
      <c r="O11" s="17">
        <v>3.0875828043352298</v>
      </c>
      <c r="P11" s="17">
        <v>0.94269902115538595</v>
      </c>
      <c r="Q11" s="17">
        <v>5.4737620389766999</v>
      </c>
      <c r="R11" s="17">
        <v>10.7451340379199</v>
      </c>
      <c r="S11" s="17">
        <v>0.61278173032177996</v>
      </c>
      <c r="T11" s="17">
        <v>2.0872410788290301</v>
      </c>
      <c r="U11" s="17">
        <v>3.3317280707425101</v>
      </c>
      <c r="V11" s="17">
        <v>4.8289318396549703</v>
      </c>
      <c r="W11" s="17">
        <v>3.7117325332317099</v>
      </c>
      <c r="X11" s="17" t="s">
        <v>44</v>
      </c>
      <c r="Y11" s="17">
        <v>2.1606680064053898</v>
      </c>
      <c r="Z11" s="17">
        <v>4.9469007876131101</v>
      </c>
      <c r="AA11" s="17">
        <v>5.0749239041646597</v>
      </c>
      <c r="AB11" s="17">
        <v>5.1316816189889902</v>
      </c>
    </row>
    <row r="12" spans="1:28" x14ac:dyDescent="0.2">
      <c r="A12" s="17">
        <f t="shared" si="0"/>
        <v>3.4710489499478756</v>
      </c>
      <c r="B12" s="17">
        <v>8</v>
      </c>
      <c r="C12" s="17">
        <v>8.7511265686001103</v>
      </c>
      <c r="D12" s="17">
        <v>6.1380876589820001</v>
      </c>
      <c r="E12" s="17">
        <v>4.7046574609229001E-2</v>
      </c>
      <c r="F12" s="17">
        <v>4.8575902632911996</v>
      </c>
      <c r="G12" s="17">
        <v>2.1200604531629001</v>
      </c>
      <c r="H12" s="17">
        <v>1.6735551833428499</v>
      </c>
      <c r="I12" s="17">
        <v>1.77455086514962</v>
      </c>
      <c r="J12" s="17">
        <v>7.26423954286241</v>
      </c>
      <c r="K12" s="17">
        <v>2.3956964852465101</v>
      </c>
      <c r="L12" s="17">
        <v>1.41994325187486</v>
      </c>
      <c r="M12" s="17">
        <v>3.50812965474785</v>
      </c>
      <c r="N12" s="17">
        <v>1.3682421691076101</v>
      </c>
      <c r="O12" s="17" t="s">
        <v>44</v>
      </c>
      <c r="P12" s="17" t="s">
        <v>44</v>
      </c>
      <c r="Q12" s="17" t="s">
        <v>44</v>
      </c>
      <c r="R12" s="17">
        <v>0.58168542301892801</v>
      </c>
      <c r="S12" s="17">
        <v>1.37141997138658</v>
      </c>
      <c r="T12" s="17">
        <v>1.3545056739349599</v>
      </c>
      <c r="U12" s="17">
        <v>6.1493690365337699</v>
      </c>
      <c r="V12" s="17">
        <v>5.20312521237555</v>
      </c>
      <c r="W12" s="17">
        <v>5.8414891939636</v>
      </c>
      <c r="X12" s="17">
        <v>10.7125269736032</v>
      </c>
      <c r="Y12" s="17">
        <v>3.16276519345347</v>
      </c>
      <c r="Z12" s="17">
        <v>4.4077466617198002</v>
      </c>
      <c r="AA12" s="17">
        <v>0.79709714036646095</v>
      </c>
      <c r="AB12" s="17">
        <v>4.2142043161199201</v>
      </c>
    </row>
    <row r="13" spans="1:28" x14ac:dyDescent="0.2">
      <c r="A13" s="17">
        <f t="shared" si="0"/>
        <v>4.7155332831207657</v>
      </c>
      <c r="B13" s="17">
        <v>9</v>
      </c>
      <c r="C13" s="17" t="s">
        <v>44</v>
      </c>
      <c r="D13" s="17" t="s">
        <v>44</v>
      </c>
      <c r="E13" s="17" t="s">
        <v>44</v>
      </c>
      <c r="F13" s="17" t="s">
        <v>44</v>
      </c>
      <c r="G13" s="17" t="s">
        <v>44</v>
      </c>
      <c r="H13" s="17" t="s">
        <v>44</v>
      </c>
      <c r="I13" s="17">
        <v>1.24237221668554</v>
      </c>
      <c r="J13" s="17">
        <v>3.4203638817334698</v>
      </c>
      <c r="K13" s="17">
        <v>5.3838400136582898</v>
      </c>
      <c r="L13" s="17" t="s">
        <v>44</v>
      </c>
      <c r="M13" s="17" t="s">
        <v>44</v>
      </c>
      <c r="N13" s="17" t="s">
        <v>44</v>
      </c>
      <c r="O13" s="17">
        <v>10.8574151853547</v>
      </c>
      <c r="P13" s="17" t="s">
        <v>44</v>
      </c>
      <c r="Q13" s="17" t="s">
        <v>44</v>
      </c>
      <c r="R13" s="17" t="s">
        <v>44</v>
      </c>
      <c r="S13" s="17">
        <v>2.6736751181718299</v>
      </c>
      <c r="T13" s="17" t="s">
        <v>44</v>
      </c>
      <c r="U13" s="17" t="s">
        <v>44</v>
      </c>
      <c r="V13" s="17" t="s">
        <v>44</v>
      </c>
      <c r="W13" s="17" t="s">
        <v>44</v>
      </c>
      <c r="X13" s="17" t="s">
        <v>44</v>
      </c>
      <c r="Y13" s="17" t="s">
        <v>44</v>
      </c>
      <c r="Z13" s="17" t="s">
        <v>44</v>
      </c>
      <c r="AA13" s="17" t="s">
        <v>44</v>
      </c>
      <c r="AB13" s="17" t="s">
        <v>44</v>
      </c>
    </row>
    <row r="14" spans="1:28" x14ac:dyDescent="0.2">
      <c r="A14" s="17">
        <f t="shared" si="0"/>
        <v>2.9403146162521958</v>
      </c>
      <c r="B14" s="17">
        <v>10</v>
      </c>
      <c r="C14" s="17" t="s">
        <v>44</v>
      </c>
      <c r="D14" s="17">
        <v>1.97707991716112</v>
      </c>
      <c r="E14" s="17">
        <v>6.7559470012696101</v>
      </c>
      <c r="F14" s="17">
        <v>4.22267916969186</v>
      </c>
      <c r="G14" s="17">
        <v>0.71817551547626401</v>
      </c>
      <c r="H14" s="17" t="s">
        <v>44</v>
      </c>
      <c r="I14" s="17" t="s">
        <v>44</v>
      </c>
      <c r="J14" s="17">
        <v>2.9198548184997599</v>
      </c>
      <c r="K14" s="17">
        <v>2.4544934091817301</v>
      </c>
      <c r="L14" s="17">
        <v>0.15537610049428099</v>
      </c>
      <c r="M14" s="17">
        <v>1.5432764649851001</v>
      </c>
      <c r="N14" s="17">
        <v>1.76970016022002</v>
      </c>
      <c r="O14" s="17">
        <v>0.93564763928952899</v>
      </c>
      <c r="P14" s="17" t="s">
        <v>44</v>
      </c>
      <c r="Q14" s="17">
        <v>5.3904374143275096</v>
      </c>
      <c r="R14" s="17">
        <v>7.1237926635406197</v>
      </c>
      <c r="S14" s="17">
        <v>1.70017928673871</v>
      </c>
      <c r="T14" s="17">
        <v>2.0536069456896899</v>
      </c>
      <c r="U14" s="17">
        <v>1.2624100757607699</v>
      </c>
      <c r="V14" s="17">
        <v>5.4464079250648902</v>
      </c>
      <c r="W14" s="17">
        <v>3.8527915211302601</v>
      </c>
      <c r="X14" s="17">
        <v>4.55010645289547</v>
      </c>
      <c r="Y14" s="17">
        <v>1.55201340735972</v>
      </c>
      <c r="Z14" s="17" t="s">
        <v>44</v>
      </c>
      <c r="AA14" s="17">
        <v>2.95209533780677</v>
      </c>
      <c r="AB14" s="17">
        <v>2.4105357147124402</v>
      </c>
    </row>
    <row r="15" spans="1:28" x14ac:dyDescent="0.2">
      <c r="A15" s="17">
        <f t="shared" si="0"/>
        <v>3.2704404005645307</v>
      </c>
      <c r="B15" s="17">
        <v>11</v>
      </c>
      <c r="C15" s="17">
        <v>1.0986323758609899</v>
      </c>
      <c r="D15" s="17">
        <v>6.88423665519346</v>
      </c>
      <c r="E15" s="17">
        <v>3.4521399447109999</v>
      </c>
      <c r="F15" s="17">
        <v>1.99515105307172</v>
      </c>
      <c r="G15" s="17">
        <v>3.1474446344977198</v>
      </c>
      <c r="H15" s="17" t="s">
        <v>44</v>
      </c>
      <c r="I15" s="17">
        <v>2.0501825383463599</v>
      </c>
      <c r="J15" s="17">
        <v>5.1072495299990601</v>
      </c>
      <c r="K15" s="17">
        <v>1.7753094380605901</v>
      </c>
      <c r="L15" s="17">
        <v>3.6051524637395098</v>
      </c>
      <c r="M15" s="17">
        <v>3.4948386203453299</v>
      </c>
      <c r="N15" s="17">
        <v>1.7980310012013101</v>
      </c>
      <c r="O15" s="17">
        <v>0.53704713021513095</v>
      </c>
      <c r="P15" s="17">
        <v>6.2578119232544802</v>
      </c>
      <c r="Q15" s="17">
        <v>2.6956376186831901</v>
      </c>
      <c r="R15" s="17">
        <v>3.5203883129613902</v>
      </c>
      <c r="S15" s="17">
        <v>4.3033631039657898</v>
      </c>
      <c r="T15" s="17">
        <v>4.1693465081621799</v>
      </c>
      <c r="U15" s="17">
        <v>1.8246344529382099</v>
      </c>
      <c r="V15" s="17">
        <v>4.54699397034471</v>
      </c>
      <c r="W15" s="17">
        <v>3.0258586794531901</v>
      </c>
      <c r="X15" s="17">
        <v>3.1403625592415199</v>
      </c>
      <c r="Y15" s="17">
        <v>4.51655705964754</v>
      </c>
      <c r="Z15" s="17">
        <v>0.63209658822154602</v>
      </c>
      <c r="AA15" s="17" t="s">
        <v>44</v>
      </c>
      <c r="AB15" s="17">
        <v>2.7402954267292698</v>
      </c>
    </row>
    <row r="16" spans="1:28" x14ac:dyDescent="0.2">
      <c r="A16" s="17">
        <f t="shared" si="0"/>
        <v>4.7524398755439847</v>
      </c>
      <c r="B16" s="17">
        <v>12</v>
      </c>
      <c r="C16" s="17" t="s">
        <v>44</v>
      </c>
      <c r="D16" s="17">
        <v>4.95717355305956</v>
      </c>
      <c r="E16" s="17" t="s">
        <v>44</v>
      </c>
      <c r="F16" s="17">
        <v>3.4665403237903099</v>
      </c>
      <c r="G16" s="17">
        <v>3.3506246293942898</v>
      </c>
      <c r="H16" s="17" t="s">
        <v>44</v>
      </c>
      <c r="I16" s="17">
        <v>5.9244225018974799</v>
      </c>
      <c r="J16" s="17">
        <v>9.9638344055919195</v>
      </c>
      <c r="K16" s="17">
        <v>7.71505456640599</v>
      </c>
      <c r="L16" s="17">
        <v>4.6512326548443799</v>
      </c>
      <c r="M16" s="17">
        <v>2.6069077064801398</v>
      </c>
      <c r="N16" s="17">
        <v>4.6502739364865704</v>
      </c>
      <c r="O16" s="17">
        <v>2.7658456218305898</v>
      </c>
      <c r="P16" s="17" t="s">
        <v>44</v>
      </c>
      <c r="Q16" s="17">
        <v>4.1201730621705002</v>
      </c>
      <c r="R16" s="17">
        <v>1.8707631552970301</v>
      </c>
      <c r="S16" s="17">
        <v>6.7730802526033704</v>
      </c>
      <c r="T16" s="17">
        <v>2.3663805614390601</v>
      </c>
      <c r="U16" s="17">
        <v>1.9633685299058301</v>
      </c>
      <c r="V16" s="17">
        <v>3.6973136189543099</v>
      </c>
      <c r="W16" s="17">
        <v>8.1732960966864905</v>
      </c>
      <c r="X16" s="17" t="s">
        <v>44</v>
      </c>
      <c r="Y16" s="17">
        <v>1.97097086048504</v>
      </c>
      <c r="Z16" s="17">
        <v>9.1242094385808201</v>
      </c>
      <c r="AA16" s="17" t="s">
        <v>44</v>
      </c>
      <c r="AB16" s="17">
        <v>4.9373320349760199</v>
      </c>
    </row>
    <row r="17" spans="1:28" x14ac:dyDescent="0.2">
      <c r="A17" s="17">
        <f t="shared" si="0"/>
        <v>4.7026471808595014</v>
      </c>
      <c r="B17" s="17">
        <v>13</v>
      </c>
      <c r="C17" s="17">
        <v>6.8234910028668496</v>
      </c>
      <c r="D17" s="17">
        <v>18.690516950093201</v>
      </c>
      <c r="E17" s="17">
        <v>0.75301166725431301</v>
      </c>
      <c r="F17" s="17">
        <v>4.7042991850418101</v>
      </c>
      <c r="G17" s="17">
        <v>3.4160251379419999</v>
      </c>
      <c r="H17" s="17">
        <v>6.80576097461348</v>
      </c>
      <c r="I17" s="17">
        <v>8.5380133411155299</v>
      </c>
      <c r="J17" s="17">
        <v>2.2078261938977501</v>
      </c>
      <c r="K17" s="17" t="s">
        <v>44</v>
      </c>
      <c r="L17" s="17">
        <v>1.27143893636119</v>
      </c>
      <c r="M17" s="17">
        <v>4.3200858578075199</v>
      </c>
      <c r="N17" s="17">
        <v>3.8661073354689202</v>
      </c>
      <c r="O17" s="17">
        <v>3.41065886952024</v>
      </c>
      <c r="P17" s="17">
        <v>0.444423181010421</v>
      </c>
      <c r="Q17" s="17">
        <v>5.9084429403178502</v>
      </c>
      <c r="R17" s="17">
        <v>4.11226051804611</v>
      </c>
      <c r="S17" s="17" t="s">
        <v>44</v>
      </c>
      <c r="T17" s="17">
        <v>3.3297997270781998</v>
      </c>
      <c r="U17" s="17" t="s">
        <v>44</v>
      </c>
      <c r="V17" s="17">
        <v>5.53566155452366</v>
      </c>
      <c r="W17" s="17">
        <v>6.4400801937904699</v>
      </c>
      <c r="X17" s="17">
        <v>6.4776568795432903</v>
      </c>
      <c r="Y17" s="17">
        <v>4.6733762206614102</v>
      </c>
      <c r="Z17" s="17">
        <v>3.7848363635924702</v>
      </c>
      <c r="AA17" s="17" t="s">
        <v>44</v>
      </c>
      <c r="AB17" s="17">
        <v>6.5308770369690294E-2</v>
      </c>
    </row>
    <row r="18" spans="1:28" x14ac:dyDescent="0.2">
      <c r="A18" s="17">
        <f t="shared" si="0"/>
        <v>6.161912278867641</v>
      </c>
      <c r="B18" s="17">
        <v>14</v>
      </c>
      <c r="C18" s="17">
        <v>9.6599175248965992</v>
      </c>
      <c r="D18" s="17">
        <v>3.67166730522383</v>
      </c>
      <c r="E18" s="17">
        <v>5.4428535139251402</v>
      </c>
      <c r="F18" s="17">
        <v>5.4488459585563396</v>
      </c>
      <c r="G18" s="17" t="s">
        <v>44</v>
      </c>
      <c r="H18" s="17">
        <v>11.3721703719898</v>
      </c>
      <c r="I18" s="17">
        <v>3.5737947122134499</v>
      </c>
      <c r="J18" s="17">
        <v>8.1747288383577992</v>
      </c>
      <c r="K18" s="17">
        <v>1.6549282977403399</v>
      </c>
      <c r="L18" s="17">
        <v>7.7225191897081</v>
      </c>
      <c r="M18" s="17">
        <v>6.84214451417796</v>
      </c>
      <c r="N18" s="17">
        <v>5.64010888235903</v>
      </c>
      <c r="O18" s="17">
        <v>2.5970477226834299</v>
      </c>
      <c r="P18" s="17">
        <v>3.5788507044906201</v>
      </c>
      <c r="Q18" s="17" t="s">
        <v>44</v>
      </c>
      <c r="R18" s="17">
        <v>14.467527266317299</v>
      </c>
      <c r="S18" s="17">
        <v>2.5237902358931001</v>
      </c>
      <c r="T18" s="17">
        <v>8.2885113764018907</v>
      </c>
      <c r="U18" s="17">
        <v>2.3937378800397102</v>
      </c>
      <c r="V18" s="17" t="s">
        <v>44</v>
      </c>
      <c r="W18" s="17" t="s">
        <v>44</v>
      </c>
      <c r="X18" s="17">
        <v>6.0585319671657096</v>
      </c>
      <c r="Y18" s="17" t="s">
        <v>44</v>
      </c>
      <c r="Z18" s="17">
        <v>9.6937862951633704</v>
      </c>
      <c r="AA18" s="17">
        <v>4.1758649449027603</v>
      </c>
      <c r="AB18" s="17">
        <v>9.9168356000431395</v>
      </c>
    </row>
    <row r="19" spans="1:28" x14ac:dyDescent="0.2">
      <c r="A19" s="17">
        <f t="shared" si="0"/>
        <v>3.919139097925354</v>
      </c>
      <c r="B19" s="17">
        <v>15</v>
      </c>
      <c r="C19" s="17">
        <v>3.5355014156746001</v>
      </c>
      <c r="D19" s="17">
        <v>2.1927736561887801</v>
      </c>
      <c r="E19" s="17">
        <v>3.4875736843078902</v>
      </c>
      <c r="F19" s="17">
        <v>2.21140447579022</v>
      </c>
      <c r="G19" s="17" t="s">
        <v>44</v>
      </c>
      <c r="H19" s="17">
        <v>8.4943514908254194</v>
      </c>
      <c r="I19" s="17">
        <v>4.7654503254728997</v>
      </c>
      <c r="J19" s="17" t="s">
        <v>44</v>
      </c>
      <c r="K19" s="17">
        <v>1.5770296621602999</v>
      </c>
      <c r="L19" s="17">
        <v>5.08937799757246</v>
      </c>
      <c r="M19" s="17">
        <v>6.8119540525148699</v>
      </c>
      <c r="N19" s="17" t="s">
        <v>44</v>
      </c>
      <c r="O19" s="17">
        <v>5.6343196381310401</v>
      </c>
      <c r="P19" s="17">
        <v>3.1045425454856699</v>
      </c>
      <c r="Q19" s="17">
        <v>6.6824036579863497</v>
      </c>
      <c r="R19" s="17">
        <v>2.8681527486420499</v>
      </c>
      <c r="S19" s="17" t="s">
        <v>44</v>
      </c>
      <c r="T19" s="17">
        <v>4.0436593489853001</v>
      </c>
      <c r="U19" s="17">
        <v>0.86851221812284496</v>
      </c>
      <c r="V19" s="17">
        <v>4.6876356234341099</v>
      </c>
      <c r="W19" s="17" t="s">
        <v>44</v>
      </c>
      <c r="X19" s="17">
        <v>7.2880176751460297</v>
      </c>
      <c r="Y19" s="17">
        <v>3.20437532077228</v>
      </c>
      <c r="Z19" s="17">
        <v>1.6361526221891101</v>
      </c>
      <c r="AA19" s="17">
        <v>2.5182275939236201</v>
      </c>
      <c r="AB19" s="17">
        <v>1.21686762085582</v>
      </c>
    </row>
    <row r="20" spans="1:28" x14ac:dyDescent="0.2">
      <c r="A20" s="17">
        <f t="shared" si="0"/>
        <v>3.4217511090438588</v>
      </c>
      <c r="B20" s="17">
        <v>16</v>
      </c>
      <c r="C20" s="17">
        <v>3.89070159424013</v>
      </c>
      <c r="D20" s="17">
        <v>3.8284461392782201</v>
      </c>
      <c r="E20" s="17">
        <v>2.6317880334975099</v>
      </c>
      <c r="F20" s="17">
        <v>1.1503485569934999</v>
      </c>
      <c r="G20" s="17">
        <v>4.7523848348566897</v>
      </c>
      <c r="H20" s="17">
        <v>2.3355772304226501</v>
      </c>
      <c r="I20" s="17">
        <v>3.03326796917051</v>
      </c>
      <c r="J20" s="17">
        <v>5.5414466433131304</v>
      </c>
      <c r="K20" s="17">
        <v>5.2676802604426101</v>
      </c>
      <c r="L20" s="17">
        <v>0.59470461072728598</v>
      </c>
      <c r="M20" s="17">
        <v>2.9763163079554098</v>
      </c>
      <c r="N20" s="17">
        <v>5.2520284877817804</v>
      </c>
      <c r="O20" s="17">
        <v>3.2943966085117702</v>
      </c>
      <c r="P20" s="17">
        <v>4.2401029080283301</v>
      </c>
      <c r="Q20" s="17">
        <v>1.4078225517796099</v>
      </c>
      <c r="R20" s="17">
        <v>3.04786210257573</v>
      </c>
      <c r="S20" s="17">
        <v>2.8837123174311401</v>
      </c>
      <c r="T20" s="17">
        <v>3.3125334685980001</v>
      </c>
      <c r="U20" s="17">
        <v>7.5644426864219501</v>
      </c>
      <c r="V20" s="17">
        <v>3.2293919455876101</v>
      </c>
      <c r="W20" s="17">
        <v>4.7482850322620802</v>
      </c>
      <c r="X20" s="17">
        <v>2.4763813260388701</v>
      </c>
      <c r="Y20" s="17">
        <v>2.7157610349394101</v>
      </c>
      <c r="Z20" s="17">
        <v>3.5574327256795599</v>
      </c>
      <c r="AA20" s="17">
        <v>4.20922889366883</v>
      </c>
      <c r="AB20" s="17">
        <v>1.49243505013427</v>
      </c>
    </row>
    <row r="21" spans="1:28" x14ac:dyDescent="0.2">
      <c r="A21" s="17">
        <f t="shared" si="0"/>
        <v>4.2345260473933104</v>
      </c>
      <c r="B21" s="17">
        <v>17</v>
      </c>
      <c r="C21" s="17" t="s">
        <v>44</v>
      </c>
      <c r="D21" s="17">
        <v>10.2837721507799</v>
      </c>
      <c r="E21" s="17">
        <v>7.1772182072087896</v>
      </c>
      <c r="F21" s="17">
        <v>2.2948820030388801</v>
      </c>
      <c r="G21" s="17">
        <v>5.5597548736514604</v>
      </c>
      <c r="H21" s="17" t="s">
        <v>44</v>
      </c>
      <c r="I21" s="17">
        <v>6.7498342410320298</v>
      </c>
      <c r="J21" s="17">
        <v>1.1333536599852001</v>
      </c>
      <c r="K21" s="17">
        <v>0.51469646055936302</v>
      </c>
      <c r="L21" s="17">
        <v>3.4531205823715299</v>
      </c>
      <c r="M21" s="17" t="s">
        <v>44</v>
      </c>
      <c r="N21" s="17">
        <v>1.3759492581920101</v>
      </c>
      <c r="O21" s="17" t="s">
        <v>44</v>
      </c>
      <c r="P21" s="17" t="s">
        <v>44</v>
      </c>
      <c r="Q21" s="17">
        <v>2.6498140775723802</v>
      </c>
      <c r="R21" s="17">
        <v>7.7464585155255099</v>
      </c>
      <c r="S21" s="17">
        <v>2.2589709694894</v>
      </c>
      <c r="T21" s="17" t="s">
        <v>44</v>
      </c>
      <c r="U21" s="17">
        <v>3.6022886423391598</v>
      </c>
      <c r="V21" s="17" t="s">
        <v>44</v>
      </c>
      <c r="W21" s="17" t="s">
        <v>44</v>
      </c>
      <c r="X21" s="17">
        <v>6.13105759160758</v>
      </c>
      <c r="Y21" s="17" t="s">
        <v>44</v>
      </c>
      <c r="Z21" s="17">
        <v>3.5812039266528601</v>
      </c>
      <c r="AA21" s="17">
        <v>0.94399654158831803</v>
      </c>
      <c r="AB21" s="17">
        <v>6.5305711040919201</v>
      </c>
    </row>
    <row r="22" spans="1:28" x14ac:dyDescent="0.2">
      <c r="A22" s="17">
        <f t="shared" si="0"/>
        <v>6.0118601111119139</v>
      </c>
      <c r="B22" s="17">
        <v>18</v>
      </c>
      <c r="C22" s="17">
        <v>8.3081569508143005</v>
      </c>
      <c r="D22" s="17">
        <v>3.0600295737663901</v>
      </c>
      <c r="E22" s="17">
        <v>6.15291546596539</v>
      </c>
      <c r="F22" s="17">
        <v>7.3012418627488103</v>
      </c>
      <c r="G22" s="17">
        <v>2.3971519429797898</v>
      </c>
      <c r="H22" s="17">
        <v>20.877732712104301</v>
      </c>
      <c r="I22" s="17">
        <v>2.1127475615056399</v>
      </c>
      <c r="J22" s="17">
        <v>4.1356714383442403</v>
      </c>
      <c r="K22" s="17">
        <v>2.5348028888203</v>
      </c>
      <c r="L22" s="17">
        <v>0.891312576726774</v>
      </c>
      <c r="M22" s="17">
        <v>4.9981748163501596</v>
      </c>
      <c r="N22" s="17">
        <v>10.158212168017499</v>
      </c>
      <c r="O22" s="17">
        <v>1.6586219992267</v>
      </c>
      <c r="P22" s="17">
        <v>8.7523052075787504</v>
      </c>
      <c r="Q22" s="17">
        <v>8.1473315000636699</v>
      </c>
      <c r="R22" s="17">
        <v>9.7414204100593906</v>
      </c>
      <c r="S22" s="17">
        <v>3.8772527679963402</v>
      </c>
      <c r="T22" s="17">
        <v>17.152801021381499</v>
      </c>
      <c r="U22" s="17">
        <v>7.2612030030476999</v>
      </c>
      <c r="V22" s="17">
        <v>8.3465235025304292</v>
      </c>
      <c r="W22" s="17">
        <v>1.0649791383345599</v>
      </c>
      <c r="X22" s="17">
        <v>3.1715673071671202</v>
      </c>
      <c r="Y22" s="17">
        <v>2.2434962738945599</v>
      </c>
      <c r="Z22" s="17">
        <v>5.5740719281493298</v>
      </c>
      <c r="AA22" s="17">
        <v>3.3451703398769501</v>
      </c>
      <c r="AB22" s="17">
        <v>5.3397653711616</v>
      </c>
    </row>
    <row r="23" spans="1:28" x14ac:dyDescent="0.2">
      <c r="A23" s="17">
        <f t="shared" si="0"/>
        <v>2.8699403911044432</v>
      </c>
      <c r="B23" s="17">
        <v>19</v>
      </c>
      <c r="C23" s="17" t="s">
        <v>44</v>
      </c>
      <c r="D23" s="17">
        <v>3.6511926473006402</v>
      </c>
      <c r="E23" s="17">
        <v>5.3627810293713001</v>
      </c>
      <c r="F23" s="17">
        <v>1.6467440349159801</v>
      </c>
      <c r="G23" s="17">
        <v>1.03112360986063</v>
      </c>
      <c r="H23" s="17">
        <v>2.73101493214484</v>
      </c>
      <c r="I23" s="17">
        <v>1.9199034329221001</v>
      </c>
      <c r="J23" s="17">
        <v>4.7527471926192897</v>
      </c>
      <c r="K23" s="17" t="s">
        <v>44</v>
      </c>
      <c r="L23" s="17">
        <v>0.75635675150795501</v>
      </c>
      <c r="M23" s="17">
        <v>1.40760648655864</v>
      </c>
      <c r="N23" s="17">
        <v>4.3405953944572797</v>
      </c>
      <c r="O23" s="17">
        <v>3.03877171754884</v>
      </c>
      <c r="P23" s="17" t="s">
        <v>44</v>
      </c>
      <c r="Q23" s="17">
        <v>4.2455241394858998</v>
      </c>
      <c r="R23" s="17">
        <v>2.6839225990359101</v>
      </c>
      <c r="S23" s="17">
        <v>2.1405976165670801</v>
      </c>
      <c r="T23" s="17" t="s">
        <v>44</v>
      </c>
      <c r="U23" s="17">
        <v>1.7120171135550399</v>
      </c>
      <c r="V23" s="17">
        <v>1.55840106326371</v>
      </c>
      <c r="W23" s="17">
        <v>4.2259087024324096</v>
      </c>
      <c r="X23" s="17">
        <v>3.2848150472906901</v>
      </c>
      <c r="Y23" s="17">
        <v>3.0879393051282702</v>
      </c>
      <c r="Z23" s="17">
        <v>5.2320934030868296</v>
      </c>
      <c r="AA23" s="17">
        <v>2.52169195378861</v>
      </c>
      <c r="AB23" s="17">
        <v>1.80694043145579</v>
      </c>
    </row>
    <row r="24" spans="1:28" x14ac:dyDescent="0.2">
      <c r="A24" s="17">
        <f t="shared" si="0"/>
        <v>3.8008557953135353</v>
      </c>
      <c r="B24" s="17">
        <v>20</v>
      </c>
      <c r="C24" s="17">
        <v>3.3868322029231899</v>
      </c>
      <c r="D24" s="17">
        <v>2.6112618030499899</v>
      </c>
      <c r="E24" s="17">
        <v>6.8710002792021996</v>
      </c>
      <c r="F24" s="17">
        <v>3.8608597747511002</v>
      </c>
      <c r="G24" s="17">
        <v>0.70284647472912898</v>
      </c>
      <c r="H24" s="17">
        <v>7.6349099527142501</v>
      </c>
      <c r="I24" s="17">
        <v>3.4233177160139499</v>
      </c>
      <c r="J24" s="17">
        <v>2.0734454665072102</v>
      </c>
      <c r="K24" s="17">
        <v>4.2818573593796998</v>
      </c>
      <c r="L24" s="17">
        <v>0.155155422387182</v>
      </c>
      <c r="M24" s="17">
        <v>4.1000842651635896</v>
      </c>
      <c r="N24" s="17">
        <v>0.35599866136064101</v>
      </c>
      <c r="O24" s="17">
        <v>3.70252717220276</v>
      </c>
      <c r="P24" s="17">
        <v>8.5327318410235993</v>
      </c>
      <c r="Q24" s="17">
        <v>6.5951533061332901</v>
      </c>
      <c r="R24" s="17">
        <v>3.0829149921349699</v>
      </c>
      <c r="S24" s="17">
        <v>2.3468110444115302</v>
      </c>
      <c r="T24" s="17" t="s">
        <v>44</v>
      </c>
      <c r="U24" s="17">
        <v>2.36595783795295</v>
      </c>
      <c r="V24" s="17">
        <v>3.1265705881161998</v>
      </c>
      <c r="W24" s="17" t="s">
        <v>44</v>
      </c>
      <c r="X24" s="17">
        <v>3.2366947726608899</v>
      </c>
      <c r="Y24" s="17">
        <v>5.7576959696619703</v>
      </c>
      <c r="Z24" s="17">
        <v>6.5734192668566997</v>
      </c>
      <c r="AA24" s="17">
        <v>5.1292579022493596</v>
      </c>
      <c r="AB24" s="17">
        <v>0.89921142354815997</v>
      </c>
    </row>
    <row r="25" spans="1:28" x14ac:dyDescent="0.2">
      <c r="A25" s="17">
        <f t="shared" si="0"/>
        <v>3.7514140178846707</v>
      </c>
      <c r="B25" s="17">
        <v>21</v>
      </c>
      <c r="C25" s="17" t="s">
        <v>44</v>
      </c>
      <c r="D25" s="17">
        <v>6.40623432362817</v>
      </c>
      <c r="E25" s="17">
        <v>5.8901552441673797</v>
      </c>
      <c r="F25" s="17">
        <v>1.6045062706998701</v>
      </c>
      <c r="G25" s="17">
        <v>0.84905808412667305</v>
      </c>
      <c r="H25" s="17">
        <v>6.7733810322243198</v>
      </c>
      <c r="I25" s="17">
        <v>1.9702761956055199</v>
      </c>
      <c r="J25" s="17">
        <v>3.0978776193142701</v>
      </c>
      <c r="K25" s="17">
        <v>0.29750636924573198</v>
      </c>
      <c r="L25" s="17">
        <v>0.80037777318115499</v>
      </c>
      <c r="M25" s="17">
        <v>1.0712985227551599</v>
      </c>
      <c r="N25" s="17">
        <v>6.3947166399131898</v>
      </c>
      <c r="O25" s="17">
        <v>1.30448148441042</v>
      </c>
      <c r="P25" s="17">
        <v>3.0304812322685302</v>
      </c>
      <c r="Q25" s="17" t="s">
        <v>44</v>
      </c>
      <c r="R25" s="17">
        <v>5.9232623988023398</v>
      </c>
      <c r="S25" s="17">
        <v>12.1100313332584</v>
      </c>
      <c r="T25" s="17">
        <v>4.1451095974653303</v>
      </c>
      <c r="U25" s="17">
        <v>0.10458442259803</v>
      </c>
      <c r="V25" s="17">
        <v>8.6121970628764508</v>
      </c>
      <c r="W25" s="17">
        <v>0</v>
      </c>
      <c r="X25" s="17">
        <v>6.7816157873269898</v>
      </c>
      <c r="Y25" s="17">
        <v>9.0158014470666696</v>
      </c>
      <c r="Z25" s="17" t="s">
        <v>44</v>
      </c>
      <c r="AA25" s="17">
        <v>9.9569570412843006E-2</v>
      </c>
      <c r="AB25" s="17">
        <v>0</v>
      </c>
    </row>
    <row r="26" spans="1:28" x14ac:dyDescent="0.2">
      <c r="A26" s="17">
        <f t="shared" si="0"/>
        <v>4.3190000644179332</v>
      </c>
      <c r="B26" s="17">
        <v>22</v>
      </c>
      <c r="C26" s="17">
        <v>9.6897465088855697</v>
      </c>
      <c r="D26" s="17">
        <v>3.18498521993188</v>
      </c>
      <c r="E26" s="17">
        <v>2.9248448163909999</v>
      </c>
      <c r="F26" s="17">
        <v>1.65143216050854</v>
      </c>
      <c r="G26" s="17">
        <v>7.3047736435123802</v>
      </c>
      <c r="H26" s="17" t="s">
        <v>44</v>
      </c>
      <c r="I26" s="17">
        <v>1.6387667257399701</v>
      </c>
      <c r="J26" s="17">
        <v>1.8341778568402101</v>
      </c>
      <c r="K26" s="17">
        <v>5.0876239274678099</v>
      </c>
      <c r="L26" s="17">
        <v>4.6788920316878801</v>
      </c>
      <c r="M26" s="17">
        <v>5.81686447499537</v>
      </c>
      <c r="N26" s="17">
        <v>5.7970026826862302</v>
      </c>
      <c r="O26" s="17">
        <v>0.50607116942294805</v>
      </c>
      <c r="P26" s="17">
        <v>7.5003944397036104</v>
      </c>
      <c r="Q26" s="17" t="s">
        <v>44</v>
      </c>
      <c r="R26" s="17">
        <v>7.7572266780735601</v>
      </c>
      <c r="S26" s="17">
        <v>0.69200668574838398</v>
      </c>
      <c r="T26" s="17">
        <v>7.5359674562168504</v>
      </c>
      <c r="U26" s="17">
        <v>2.0004447948850199</v>
      </c>
      <c r="V26" s="17">
        <v>9.1266026260092907</v>
      </c>
      <c r="W26" s="17">
        <v>3.7362110367822399</v>
      </c>
      <c r="X26" s="17">
        <v>1.36081047674032</v>
      </c>
      <c r="Y26" s="17">
        <v>4.2421763496110296</v>
      </c>
      <c r="Z26" s="17">
        <v>6.3217260998220697</v>
      </c>
      <c r="AA26" s="17" t="s">
        <v>44</v>
      </c>
      <c r="AB26" s="17" t="s">
        <v>44</v>
      </c>
    </row>
    <row r="27" spans="1:28" x14ac:dyDescent="0.2">
      <c r="A27" s="17">
        <f t="shared" si="0"/>
        <v>3.2138041121765824</v>
      </c>
      <c r="B27" s="17">
        <v>23</v>
      </c>
      <c r="C27" s="17">
        <v>5.0229521522124498</v>
      </c>
      <c r="D27" s="17">
        <v>8.4385331072978502</v>
      </c>
      <c r="E27" s="17">
        <v>3.18860277923114</v>
      </c>
      <c r="F27" s="17">
        <v>2.08246971832759</v>
      </c>
      <c r="G27" s="17">
        <v>2.9046645900930002</v>
      </c>
      <c r="H27" s="17" t="s">
        <v>44</v>
      </c>
      <c r="I27" s="17">
        <v>2.7626472016019799</v>
      </c>
      <c r="J27" s="17">
        <v>3.40836895506196</v>
      </c>
      <c r="K27" s="17" t="s">
        <v>44</v>
      </c>
      <c r="L27" s="17">
        <v>1.56888742105291</v>
      </c>
      <c r="M27" s="17">
        <v>1.7484668092075699</v>
      </c>
      <c r="N27" s="17">
        <v>0.49232003691142301</v>
      </c>
      <c r="O27" s="17" t="s">
        <v>44</v>
      </c>
      <c r="P27" s="17">
        <v>1.94145945993439</v>
      </c>
      <c r="Q27" s="17">
        <v>0.33656436080645502</v>
      </c>
      <c r="R27" s="17" t="s">
        <v>44</v>
      </c>
      <c r="S27" s="17">
        <v>4.9635806515237704</v>
      </c>
      <c r="T27" s="17">
        <v>4.5259294504172898</v>
      </c>
      <c r="U27" s="17">
        <v>5.5273449259186496</v>
      </c>
      <c r="V27" s="17">
        <v>2.9848750964815398</v>
      </c>
      <c r="W27" s="17" t="s">
        <v>44</v>
      </c>
      <c r="X27" s="17">
        <v>2.2912799249109499</v>
      </c>
      <c r="Y27" s="17">
        <v>4.7142616443430798</v>
      </c>
      <c r="Z27" s="17">
        <v>3.9682178860569399</v>
      </c>
      <c r="AA27" s="17" t="s">
        <v>44</v>
      </c>
      <c r="AB27" s="17" t="s">
        <v>44</v>
      </c>
    </row>
    <row r="28" spans="1:28" x14ac:dyDescent="0.2">
      <c r="A28" s="17">
        <f t="shared" si="0"/>
        <v>3.3174628209723895</v>
      </c>
      <c r="B28" s="17">
        <v>24</v>
      </c>
      <c r="C28" s="17">
        <v>3.0203037818067</v>
      </c>
      <c r="D28" s="17">
        <v>3.2828911140692001</v>
      </c>
      <c r="E28" s="17">
        <v>3.92722605600256</v>
      </c>
      <c r="F28" s="17">
        <v>6.11128166791356</v>
      </c>
      <c r="G28" s="17">
        <v>2.74173151996228</v>
      </c>
      <c r="H28" s="17">
        <v>4.3786719786505204</v>
      </c>
      <c r="I28" s="17">
        <v>0.81372135034599702</v>
      </c>
      <c r="J28" s="17">
        <v>0.74597997843172703</v>
      </c>
      <c r="K28" s="17">
        <v>3.9711998754409499</v>
      </c>
      <c r="L28" s="17">
        <v>6.1719238020930396</v>
      </c>
      <c r="M28" s="17">
        <v>3.68728336229489</v>
      </c>
      <c r="N28" s="17">
        <v>4.7161605043636303</v>
      </c>
      <c r="O28" s="17" t="s">
        <v>44</v>
      </c>
      <c r="P28" s="17">
        <v>3.07555095537134</v>
      </c>
      <c r="Q28" s="17">
        <v>4.90374813546374</v>
      </c>
      <c r="R28" s="17">
        <v>5.2924551269971598</v>
      </c>
      <c r="S28" s="17">
        <v>1.3789104117816999</v>
      </c>
      <c r="T28" s="17">
        <v>4.5108260844177597</v>
      </c>
      <c r="U28" s="17">
        <v>0.55962884172275695</v>
      </c>
      <c r="V28" s="17">
        <v>1.3479321453244</v>
      </c>
      <c r="W28" s="17">
        <v>2.1672592584271402</v>
      </c>
      <c r="X28" s="17">
        <v>3.6975328517370798</v>
      </c>
      <c r="Y28" s="17">
        <v>3.43542590955192</v>
      </c>
      <c r="Z28" s="17">
        <v>3.16911806955867</v>
      </c>
      <c r="AA28" s="17">
        <v>2.2835153485372399</v>
      </c>
      <c r="AB28" s="17">
        <v>3.2491333548780998</v>
      </c>
    </row>
    <row r="29" spans="1:28" x14ac:dyDescent="0.2">
      <c r="A29" s="17">
        <f t="shared" si="0"/>
        <v>2.2611523698769553</v>
      </c>
      <c r="B29" s="17">
        <v>25</v>
      </c>
      <c r="C29" s="17" t="s">
        <v>44</v>
      </c>
      <c r="D29" s="17">
        <v>1.1150420468153099</v>
      </c>
      <c r="E29" s="17">
        <v>0.65594466158371401</v>
      </c>
      <c r="F29" s="17">
        <v>3.3627596861657598</v>
      </c>
      <c r="G29" s="17">
        <v>3.2241430700793599</v>
      </c>
      <c r="H29" s="17">
        <v>2.6445436900092298</v>
      </c>
      <c r="I29" s="17">
        <v>1.5191082066598101</v>
      </c>
      <c r="J29" s="17">
        <v>1.7986373473233901</v>
      </c>
      <c r="K29" s="17" t="s">
        <v>44</v>
      </c>
      <c r="L29" s="17">
        <v>0.57677453547264002</v>
      </c>
      <c r="M29" s="17">
        <v>1.08515758545639</v>
      </c>
      <c r="N29" s="17">
        <v>4.1464166642239402</v>
      </c>
      <c r="O29" s="17">
        <v>0.84685871704789895</v>
      </c>
      <c r="P29" s="17">
        <v>3.35355177575804</v>
      </c>
      <c r="Q29" s="17">
        <v>3.90003820314366</v>
      </c>
      <c r="R29" s="17" t="s">
        <v>44</v>
      </c>
      <c r="S29" s="17">
        <v>0.418023231413993</v>
      </c>
      <c r="T29" s="17">
        <v>0.95291230409691796</v>
      </c>
      <c r="U29" s="17">
        <v>1.9902065419866599</v>
      </c>
      <c r="V29" s="17">
        <v>8.2466266437106395</v>
      </c>
      <c r="W29" s="17">
        <v>1.08851776743718</v>
      </c>
      <c r="X29" s="17">
        <v>1.36277749476551</v>
      </c>
      <c r="Y29" s="17">
        <v>3.07867386255458</v>
      </c>
      <c r="Z29" s="17" t="s">
        <v>44</v>
      </c>
      <c r="AA29" s="17" t="s">
        <v>44</v>
      </c>
      <c r="AB29" s="17">
        <v>2.1174857317114402</v>
      </c>
    </row>
    <row r="30" spans="1:28" x14ac:dyDescent="0.2">
      <c r="A30" s="17">
        <f t="shared" si="0"/>
        <v>5.6515545176268311</v>
      </c>
      <c r="B30" s="17">
        <v>26</v>
      </c>
      <c r="C30" s="17" t="s">
        <v>44</v>
      </c>
      <c r="D30" s="17">
        <v>7.7128193988192404</v>
      </c>
      <c r="E30" s="17">
        <v>10.0264294764093</v>
      </c>
      <c r="F30" s="17" t="s">
        <v>44</v>
      </c>
      <c r="G30" s="17">
        <v>3.52144635781486</v>
      </c>
      <c r="H30" s="17" t="s">
        <v>44</v>
      </c>
      <c r="I30" s="17">
        <v>12.1855620092749</v>
      </c>
      <c r="J30" s="17" t="s">
        <v>44</v>
      </c>
      <c r="K30" s="17" t="s">
        <v>44</v>
      </c>
      <c r="L30" s="17">
        <v>4.0226089900103998</v>
      </c>
      <c r="M30" s="17">
        <v>1.78426993441431</v>
      </c>
      <c r="N30" s="17">
        <v>9.95964489300213</v>
      </c>
      <c r="O30" s="17">
        <v>5.0578602538167701</v>
      </c>
      <c r="P30" s="17">
        <v>6.9560592104849199</v>
      </c>
      <c r="Q30" s="17">
        <v>3.2539182348420099</v>
      </c>
      <c r="R30" s="17">
        <v>5.1567323338622897</v>
      </c>
      <c r="S30" s="17">
        <v>4.8221400516795798</v>
      </c>
      <c r="T30" s="17">
        <v>2.9955244264260701</v>
      </c>
      <c r="U30" s="17">
        <v>7.0021169271914001</v>
      </c>
      <c r="V30" s="17">
        <v>0.213327255990306</v>
      </c>
      <c r="W30" s="17">
        <v>7.5988137362152601</v>
      </c>
      <c r="X30" s="17" t="s">
        <v>44</v>
      </c>
      <c r="Y30" s="17" t="s">
        <v>44</v>
      </c>
      <c r="Z30" s="17" t="s">
        <v>44</v>
      </c>
      <c r="AA30" s="17">
        <v>3.8071533094024002</v>
      </c>
      <c r="AB30" s="17" t="s">
        <v>44</v>
      </c>
    </row>
    <row r="31" spans="1:28" x14ac:dyDescent="0.2">
      <c r="A31" s="17">
        <f t="shared" si="0"/>
        <v>3.1857163965861091</v>
      </c>
      <c r="B31" s="17">
        <v>27</v>
      </c>
      <c r="C31" s="17">
        <v>1.1064907243970299</v>
      </c>
      <c r="D31" s="17">
        <v>4.2007846361160004</v>
      </c>
      <c r="E31" s="17">
        <v>3.33586254756796</v>
      </c>
      <c r="F31" s="17">
        <v>1.1836626621017301</v>
      </c>
      <c r="G31" s="17">
        <v>4.9962027221960001</v>
      </c>
      <c r="H31" s="17">
        <v>2.1581511275641398</v>
      </c>
      <c r="I31" s="17">
        <v>1.0484110221772001</v>
      </c>
      <c r="J31" s="17">
        <v>2.5069730128618199</v>
      </c>
      <c r="K31" s="17">
        <v>2.4271916149700101</v>
      </c>
      <c r="L31" s="17">
        <v>3.75000324908991</v>
      </c>
      <c r="M31" s="17">
        <v>3.0779147713859101</v>
      </c>
      <c r="N31" s="17">
        <v>3.9686853814710399</v>
      </c>
      <c r="O31" s="17">
        <v>2.56295050140006</v>
      </c>
      <c r="P31" s="17">
        <v>3.3507930901938598</v>
      </c>
      <c r="Q31" s="17">
        <v>0.492622508919624</v>
      </c>
      <c r="R31" s="17">
        <v>5.4092185514478599</v>
      </c>
      <c r="S31" s="17">
        <v>3.0181835171789602</v>
      </c>
      <c r="T31" s="17">
        <v>2.5464818285547701</v>
      </c>
      <c r="U31" s="17">
        <v>1.3705589766547499</v>
      </c>
      <c r="V31" s="17">
        <v>0.51485149511800998</v>
      </c>
      <c r="W31" s="17" t="s">
        <v>44</v>
      </c>
      <c r="X31" s="17">
        <v>4.6289168972550998</v>
      </c>
      <c r="Y31" s="17">
        <v>7.4889437591599499</v>
      </c>
      <c r="Z31" s="17">
        <v>4.8047119992403404</v>
      </c>
      <c r="AA31" s="17">
        <v>4.3285169812489501</v>
      </c>
      <c r="AB31" s="17">
        <v>3.2866006641926599</v>
      </c>
    </row>
    <row r="32" spans="1:28" x14ac:dyDescent="0.2">
      <c r="A32" s="17">
        <f t="shared" si="0"/>
        <v>4.5019174377177675</v>
      </c>
      <c r="B32" s="17">
        <v>28</v>
      </c>
      <c r="C32" s="17">
        <v>2.1738669989191099</v>
      </c>
      <c r="D32" s="17">
        <v>4.43359002084033</v>
      </c>
      <c r="E32" s="17">
        <v>6.2417327180417201</v>
      </c>
      <c r="F32" s="17">
        <v>1.3169353706389699</v>
      </c>
      <c r="G32" s="17">
        <v>4.9468882484453998</v>
      </c>
      <c r="H32" s="17" t="s">
        <v>44</v>
      </c>
      <c r="I32" s="17">
        <v>3.8757268916536298</v>
      </c>
      <c r="J32" s="17">
        <v>1.50496771876767</v>
      </c>
      <c r="K32" s="17">
        <v>6.37164307142897</v>
      </c>
      <c r="L32" s="17">
        <v>9.7622326405699091</v>
      </c>
      <c r="M32" s="17">
        <v>2.6413469411994099</v>
      </c>
      <c r="N32" s="17">
        <v>4.56549817923079</v>
      </c>
      <c r="O32" s="17">
        <v>0.499931680933483</v>
      </c>
      <c r="P32" s="17">
        <v>1.3701720537281901</v>
      </c>
      <c r="Q32" s="17">
        <v>2.6947272108467502</v>
      </c>
      <c r="R32" s="17">
        <v>4.6894141483457901</v>
      </c>
      <c r="S32" s="17">
        <v>6.3805257541881897</v>
      </c>
      <c r="T32" s="17">
        <v>7.5168975579658701</v>
      </c>
      <c r="U32" s="17">
        <v>4.9736022084082796</v>
      </c>
      <c r="V32" s="17">
        <v>3.69332131452065</v>
      </c>
      <c r="W32" s="17">
        <v>6.1241980280451198</v>
      </c>
      <c r="X32" s="17">
        <v>2.3624290147599898</v>
      </c>
      <c r="Y32" s="17">
        <v>1.6205495698230099</v>
      </c>
      <c r="Z32" s="17">
        <v>5.7368116696698603</v>
      </c>
      <c r="AA32" s="17">
        <v>13.287053183010499</v>
      </c>
      <c r="AB32" s="17">
        <v>1.4358233101639399</v>
      </c>
    </row>
    <row r="33" spans="1:28" x14ac:dyDescent="0.2">
      <c r="A33" s="17">
        <f t="shared" si="0"/>
        <v>4.8035822590910016</v>
      </c>
      <c r="B33" s="17">
        <v>29</v>
      </c>
      <c r="C33" s="17">
        <v>13.6091390020432</v>
      </c>
      <c r="D33" s="17">
        <v>2.6773804453825498</v>
      </c>
      <c r="E33" s="17" t="s">
        <v>44</v>
      </c>
      <c r="F33" s="17">
        <v>4.0719380592054302</v>
      </c>
      <c r="G33" s="17">
        <v>1.4298452326256601</v>
      </c>
      <c r="H33" s="17">
        <v>3.3076780488842199</v>
      </c>
      <c r="I33" s="17">
        <v>7.7630807139526796</v>
      </c>
      <c r="J33" s="17" t="s">
        <v>44</v>
      </c>
      <c r="K33" s="17">
        <v>5.1889663889628901</v>
      </c>
      <c r="L33" s="17">
        <v>4.1951152196425703</v>
      </c>
      <c r="M33" s="17">
        <v>10.719194208127201</v>
      </c>
      <c r="N33" s="17">
        <v>1.7586046034718099</v>
      </c>
      <c r="O33" s="17">
        <v>0.71806732039132404</v>
      </c>
      <c r="P33" s="17">
        <v>9.32145994705715</v>
      </c>
      <c r="Q33" s="17">
        <v>2.8780630218283001</v>
      </c>
      <c r="R33" s="17">
        <v>3.22588403809615</v>
      </c>
      <c r="S33" s="17">
        <v>1.62905010041587</v>
      </c>
      <c r="T33" s="17">
        <v>8.9669893173762496</v>
      </c>
      <c r="U33" s="17" t="s">
        <v>44</v>
      </c>
      <c r="V33" s="17">
        <v>6.6296147669576104</v>
      </c>
      <c r="W33" s="17">
        <v>9.5876969250373705</v>
      </c>
      <c r="X33" s="17" t="s">
        <v>44</v>
      </c>
      <c r="Y33" s="17">
        <v>6.5895506157175596</v>
      </c>
      <c r="Z33" s="17">
        <v>3.9321945948257699</v>
      </c>
      <c r="AA33" s="17" t="s">
        <v>44</v>
      </c>
      <c r="AB33" s="17">
        <v>1.4812716138616699</v>
      </c>
    </row>
    <row r="34" spans="1:28" x14ac:dyDescent="0.2">
      <c r="A34" s="17">
        <f t="shared" si="0"/>
        <v>4.8643103866654416</v>
      </c>
      <c r="B34" s="17">
        <v>30</v>
      </c>
      <c r="C34" s="17">
        <v>14.7382334896801</v>
      </c>
      <c r="D34" s="17">
        <v>8.0867500479508898</v>
      </c>
      <c r="E34" s="17">
        <v>2.0169668903752398</v>
      </c>
      <c r="F34" s="17">
        <v>3.5724486149537298</v>
      </c>
      <c r="G34" s="17">
        <v>3.6583445050634502</v>
      </c>
      <c r="H34" s="17">
        <v>9.2493510471411007</v>
      </c>
      <c r="I34" s="17">
        <v>2.0955361798498102</v>
      </c>
      <c r="J34" s="17">
        <v>0.26840952826530601</v>
      </c>
      <c r="K34" s="17">
        <v>7.2212701452003598</v>
      </c>
      <c r="L34" s="17">
        <v>5.0331357156079504</v>
      </c>
      <c r="M34" s="17" t="s">
        <v>44</v>
      </c>
      <c r="N34" s="17">
        <v>3.28569017193545E-2</v>
      </c>
      <c r="O34" s="17">
        <v>4.8224948598408997</v>
      </c>
      <c r="P34" s="17">
        <v>7.6844409676308096</v>
      </c>
      <c r="Q34" s="17">
        <v>1.5852767179963201</v>
      </c>
      <c r="R34" s="17">
        <v>10.505045412896701</v>
      </c>
      <c r="S34" s="17">
        <v>7.9349485966689004</v>
      </c>
      <c r="T34" s="17">
        <v>5.4207549021604899</v>
      </c>
      <c r="U34" s="17">
        <v>5.5059258388153696</v>
      </c>
      <c r="V34" s="17">
        <v>3.4438984805604398</v>
      </c>
      <c r="W34" s="17">
        <v>4.1623245361460501</v>
      </c>
      <c r="X34" s="17">
        <v>5.0505310661036402</v>
      </c>
      <c r="Y34" s="17">
        <v>3.5816918299649498</v>
      </c>
      <c r="Z34" s="17">
        <v>2.4603228525943002</v>
      </c>
      <c r="AA34" s="17">
        <v>5.9277855382936799</v>
      </c>
      <c r="AB34" s="17">
        <v>7.4229381041708402</v>
      </c>
    </row>
    <row r="35" spans="1:28" x14ac:dyDescent="0.2">
      <c r="A35" s="17">
        <f t="shared" si="0"/>
        <v>3.7525690501363935</v>
      </c>
      <c r="B35" s="17">
        <v>31</v>
      </c>
      <c r="C35" s="17">
        <v>3.2884419116271899</v>
      </c>
      <c r="D35" s="17">
        <v>2.2456443065458198</v>
      </c>
      <c r="E35" s="17">
        <v>2.6294801743714098</v>
      </c>
      <c r="F35" s="17">
        <v>3.5270269258281401</v>
      </c>
      <c r="G35" s="17">
        <v>4.0231100125905401</v>
      </c>
      <c r="H35" s="17">
        <v>3.9378875368303299</v>
      </c>
      <c r="I35" s="17">
        <v>6.0854024698813403</v>
      </c>
      <c r="J35" s="17" t="s">
        <v>44</v>
      </c>
      <c r="K35" s="17">
        <v>0.90822158036990897</v>
      </c>
      <c r="L35" s="17">
        <v>3.7371487488634298</v>
      </c>
      <c r="M35" s="17" t="s">
        <v>44</v>
      </c>
      <c r="N35" s="17">
        <v>2.1485766053127899</v>
      </c>
      <c r="O35" s="17">
        <v>1.09814288159454</v>
      </c>
      <c r="P35" s="17">
        <v>5.4932340096627401</v>
      </c>
      <c r="Q35" s="17">
        <v>3.26763497637734</v>
      </c>
      <c r="R35" s="17">
        <v>7.1708864245648396</v>
      </c>
      <c r="S35" s="17" t="s">
        <v>44</v>
      </c>
      <c r="T35" s="17">
        <v>0.970598849629555</v>
      </c>
      <c r="U35" s="17" t="s">
        <v>44</v>
      </c>
      <c r="V35" s="17">
        <v>0.99880061286264099</v>
      </c>
      <c r="W35" s="17">
        <v>4.2969518031531297</v>
      </c>
      <c r="X35" s="17">
        <v>3.1496933555519702</v>
      </c>
      <c r="Y35" s="17">
        <v>1.9230533134427601</v>
      </c>
      <c r="Z35" s="17">
        <v>4.4656827258205603</v>
      </c>
      <c r="AA35" s="17">
        <v>15.059805021049099</v>
      </c>
      <c r="AB35" s="17">
        <v>1.66696771856139</v>
      </c>
    </row>
    <row r="36" spans="1:28" x14ac:dyDescent="0.2">
      <c r="A36" s="17">
        <f t="shared" si="0"/>
        <v>3.5365893016359631</v>
      </c>
      <c r="B36" s="17">
        <v>32</v>
      </c>
      <c r="C36" s="17">
        <v>3.8376842472141699</v>
      </c>
      <c r="D36" s="17">
        <v>3.2129988079482299</v>
      </c>
      <c r="E36" s="17">
        <v>2.2438822727585199</v>
      </c>
      <c r="F36" s="17">
        <v>7.4059797580583302</v>
      </c>
      <c r="G36" s="17">
        <v>1.7743080723114399</v>
      </c>
      <c r="H36" s="17">
        <v>3.6861641846604298</v>
      </c>
      <c r="I36" s="17">
        <v>2.3677266334775502</v>
      </c>
      <c r="J36" s="17">
        <v>2.99526223103268</v>
      </c>
      <c r="K36" s="17" t="s">
        <v>44</v>
      </c>
      <c r="L36" s="17">
        <v>1.95184073445574</v>
      </c>
      <c r="M36" s="17">
        <v>2.6259415963741599</v>
      </c>
      <c r="N36" s="17">
        <v>7.44404391937461</v>
      </c>
      <c r="O36" s="17">
        <v>1.80146989639327</v>
      </c>
      <c r="P36" s="17">
        <v>2.6074785128413498</v>
      </c>
      <c r="Q36" s="17">
        <v>4.8562875165830102</v>
      </c>
      <c r="R36" s="17">
        <v>2.1267137773278302</v>
      </c>
      <c r="S36" s="17">
        <v>1.10583367005499</v>
      </c>
      <c r="T36" s="17">
        <v>7.6955539960490702</v>
      </c>
      <c r="U36" s="17">
        <v>0.67685991249843702</v>
      </c>
      <c r="V36" s="17">
        <v>6.4752876062623397</v>
      </c>
      <c r="W36" s="17">
        <v>2.7143368557099299</v>
      </c>
      <c r="X36" s="17">
        <v>2.3503545088564199</v>
      </c>
      <c r="Y36" s="17">
        <v>6.2230249476046504</v>
      </c>
      <c r="Z36" s="17">
        <v>7.0228002462452501</v>
      </c>
      <c r="AA36" s="17">
        <v>2.0687630737862301</v>
      </c>
      <c r="AB36" s="17">
        <v>1.4452305085986401</v>
      </c>
    </row>
    <row r="37" spans="1:28" x14ac:dyDescent="0.2">
      <c r="A37" s="17">
        <f t="shared" si="0"/>
        <v>2.9972706799269093</v>
      </c>
      <c r="B37" s="17">
        <v>33</v>
      </c>
      <c r="C37" s="17">
        <v>3.3106908983689598</v>
      </c>
      <c r="D37" s="17">
        <v>2.20552238189088</v>
      </c>
      <c r="E37" s="17">
        <v>3.6262825331794502</v>
      </c>
      <c r="F37" s="17">
        <v>0.37365710995286699</v>
      </c>
      <c r="G37" s="17">
        <v>2.5486119790411101</v>
      </c>
      <c r="H37" s="17">
        <v>2.5259011542668599</v>
      </c>
      <c r="I37" s="17">
        <v>0.90203622016750795</v>
      </c>
      <c r="J37" s="17">
        <v>3.4502930625073098</v>
      </c>
      <c r="K37" s="17" t="s">
        <v>44</v>
      </c>
      <c r="L37" s="17">
        <v>1.9677323067580501</v>
      </c>
      <c r="M37" s="17">
        <v>1.2680413034387401</v>
      </c>
      <c r="N37" s="17">
        <v>2.79496408799936</v>
      </c>
      <c r="O37" s="17">
        <v>1.1633521029388201</v>
      </c>
      <c r="P37" s="17">
        <v>7.6941709586757598</v>
      </c>
      <c r="Q37" s="17">
        <v>3.7672172485181501</v>
      </c>
      <c r="R37" s="17">
        <v>10.0875847576652</v>
      </c>
      <c r="S37" s="17">
        <v>0.228240826425889</v>
      </c>
      <c r="T37" s="17">
        <v>3.9542736606625</v>
      </c>
      <c r="U37" s="17">
        <v>3.9991879861395301</v>
      </c>
      <c r="V37" s="17">
        <v>1.3279440351377101</v>
      </c>
      <c r="W37" s="17">
        <v>5.8101065877887104</v>
      </c>
      <c r="X37" s="17">
        <v>3.0592970264369401</v>
      </c>
      <c r="Y37" s="17">
        <v>1.1964618658914701</v>
      </c>
      <c r="Z37" s="17">
        <v>1.9890757629092</v>
      </c>
      <c r="AA37" s="17" t="s">
        <v>44</v>
      </c>
      <c r="AB37" s="17" t="s">
        <v>44</v>
      </c>
    </row>
    <row r="38" spans="1:28" x14ac:dyDescent="0.2">
      <c r="A38" s="17">
        <f t="shared" si="0"/>
        <v>4.4088090875428758</v>
      </c>
      <c r="B38" s="17">
        <v>34</v>
      </c>
      <c r="C38" s="17" t="s">
        <v>44</v>
      </c>
      <c r="D38" s="17" t="s">
        <v>44</v>
      </c>
      <c r="E38" s="17">
        <v>12.273440914401</v>
      </c>
      <c r="F38" s="17">
        <v>3.7438059474209</v>
      </c>
      <c r="G38" s="17">
        <v>2.3456626820609099</v>
      </c>
      <c r="H38" s="17">
        <v>6.4396543611354096</v>
      </c>
      <c r="I38" s="17">
        <v>2.6886008650098598</v>
      </c>
      <c r="J38" s="17">
        <v>3.7644756160836899</v>
      </c>
      <c r="K38" s="17" t="s">
        <v>44</v>
      </c>
      <c r="L38" s="17">
        <v>3.00934305556585</v>
      </c>
      <c r="M38" s="17">
        <v>5.8566535227472896</v>
      </c>
      <c r="N38" s="17">
        <v>5.8961378731798204</v>
      </c>
      <c r="O38" s="17">
        <v>3.01099888236056</v>
      </c>
      <c r="P38" s="17">
        <v>1.3039550350638001</v>
      </c>
      <c r="Q38" s="17">
        <v>0.96676083403436297</v>
      </c>
      <c r="R38" s="17">
        <v>2.4926510574467402</v>
      </c>
      <c r="S38" s="17">
        <v>4.0776943591794996</v>
      </c>
      <c r="T38" s="17">
        <v>4.9937743504510497</v>
      </c>
      <c r="U38" s="17">
        <v>8.2650295682154802</v>
      </c>
      <c r="V38" s="17" t="s">
        <v>44</v>
      </c>
      <c r="W38" s="17">
        <v>0.98387688630632697</v>
      </c>
      <c r="X38" s="17">
        <v>4.3614142550630604</v>
      </c>
      <c r="Y38" s="17">
        <v>6.1468125105449403</v>
      </c>
      <c r="Z38" s="17">
        <v>5.5554391745869802</v>
      </c>
      <c r="AA38" s="17" t="s">
        <v>44</v>
      </c>
      <c r="AB38" s="17" t="s">
        <v>44</v>
      </c>
    </row>
    <row r="39" spans="1:28" x14ac:dyDescent="0.2">
      <c r="A39" s="17">
        <f t="shared" si="0"/>
        <v>3.2272661372283595</v>
      </c>
      <c r="B39" s="17">
        <v>35</v>
      </c>
      <c r="C39" s="17">
        <v>2.5964117827506401</v>
      </c>
      <c r="D39" s="17">
        <v>6.8275123850975099</v>
      </c>
      <c r="E39" s="17" t="s">
        <v>44</v>
      </c>
      <c r="F39" s="17">
        <v>5.1617110907478496</v>
      </c>
      <c r="G39" s="17">
        <v>1.0634776006049</v>
      </c>
      <c r="H39" s="17" t="s">
        <v>44</v>
      </c>
      <c r="I39" s="17">
        <v>3.8227141138482201</v>
      </c>
      <c r="J39" s="17">
        <v>0.78390952072783104</v>
      </c>
      <c r="K39" s="17">
        <v>3.91833255129119</v>
      </c>
      <c r="L39" s="17" t="s">
        <v>44</v>
      </c>
      <c r="M39" s="17">
        <v>1.9951706102858</v>
      </c>
      <c r="N39" s="17">
        <v>5.1062796042924097</v>
      </c>
      <c r="O39" s="17">
        <v>0.87513279048506998</v>
      </c>
      <c r="P39" s="17" t="s">
        <v>44</v>
      </c>
      <c r="Q39" s="17" t="s">
        <v>44</v>
      </c>
      <c r="R39" s="17">
        <v>10.3670986984463</v>
      </c>
      <c r="S39" s="17">
        <v>1.67209136178749</v>
      </c>
      <c r="T39" s="17" t="s">
        <v>44</v>
      </c>
      <c r="U39" s="17" t="s">
        <v>44</v>
      </c>
      <c r="V39" s="17">
        <v>3.1130282688906998</v>
      </c>
      <c r="W39" s="17">
        <v>2.8300518203429399</v>
      </c>
      <c r="X39" s="17">
        <v>0.63564835593850899</v>
      </c>
      <c r="Y39" s="17" t="s">
        <v>44</v>
      </c>
      <c r="Z39" s="17" t="s">
        <v>44</v>
      </c>
      <c r="AA39" s="17" t="s">
        <v>44</v>
      </c>
      <c r="AB39" s="17">
        <v>0.23683328563867101</v>
      </c>
    </row>
    <row r="40" spans="1:28" x14ac:dyDescent="0.2">
      <c r="A40" s="17">
        <f t="shared" si="0"/>
        <v>4.2596111054616745</v>
      </c>
      <c r="B40" s="17">
        <v>36</v>
      </c>
      <c r="C40" s="17">
        <v>1.3396321478507001</v>
      </c>
      <c r="D40" s="17">
        <v>4.6216055226738897</v>
      </c>
      <c r="E40" s="17">
        <v>7.9865883933994999</v>
      </c>
      <c r="F40" s="17">
        <v>7.17195918516666</v>
      </c>
      <c r="G40" s="17">
        <v>5.9231402847432797</v>
      </c>
      <c r="H40" s="17">
        <v>15.073460502458699</v>
      </c>
      <c r="I40" s="17">
        <v>0.79953254720030498</v>
      </c>
      <c r="J40" s="17">
        <v>3.6788745492995201</v>
      </c>
      <c r="K40" s="17">
        <v>1.1801082710681301</v>
      </c>
      <c r="L40" s="17">
        <v>3.2755388223306299</v>
      </c>
      <c r="M40" s="17">
        <v>1.1000994698561499</v>
      </c>
      <c r="N40" s="17">
        <v>3.9727611679289798</v>
      </c>
      <c r="O40" s="17">
        <v>4.21221491718669E-2</v>
      </c>
      <c r="P40" s="17">
        <v>7.5088047934227404</v>
      </c>
      <c r="Q40" s="17">
        <v>3.5160683268622899</v>
      </c>
      <c r="R40" s="17">
        <v>4.4653400247891604</v>
      </c>
      <c r="S40" s="17">
        <v>2.3957802885219399</v>
      </c>
      <c r="T40" s="17">
        <v>2.0806471086923199</v>
      </c>
      <c r="U40" s="17">
        <v>3.0362005471871698</v>
      </c>
      <c r="V40" s="17">
        <v>7.6184156428989196</v>
      </c>
      <c r="W40" s="17">
        <v>6.8049559342334902</v>
      </c>
      <c r="X40" s="17">
        <v>2.5867866385313301</v>
      </c>
      <c r="Y40" s="17">
        <v>3.3360011727445702</v>
      </c>
      <c r="Z40" s="17">
        <v>7.2344600468541298</v>
      </c>
      <c r="AA40" s="17">
        <v>0.18380393331439401</v>
      </c>
      <c r="AB40" s="17">
        <v>0.89722231319181101</v>
      </c>
    </row>
    <row r="41" spans="1:28" x14ac:dyDescent="0.2">
      <c r="A41" s="17">
        <f t="shared" si="0"/>
        <v>2.8257979701657709</v>
      </c>
      <c r="B41" s="17">
        <v>37</v>
      </c>
      <c r="C41" s="17">
        <v>2.8659685176024601</v>
      </c>
      <c r="D41" s="17">
        <v>3.0375627132985801</v>
      </c>
      <c r="E41" s="17">
        <v>1.8963929186521</v>
      </c>
      <c r="F41" s="17">
        <v>4.9098403213698001</v>
      </c>
      <c r="G41" s="17" t="s">
        <v>44</v>
      </c>
      <c r="H41" s="17">
        <v>0.58031811653893695</v>
      </c>
      <c r="I41" s="17" t="s">
        <v>44</v>
      </c>
      <c r="J41" s="17">
        <v>8.2949586212188802</v>
      </c>
      <c r="K41" s="17">
        <v>2.4530950111598</v>
      </c>
      <c r="L41" s="17">
        <v>0.862532159840812</v>
      </c>
      <c r="M41" s="17">
        <v>1.8950970810179899</v>
      </c>
      <c r="N41" s="17">
        <v>2.4850538497248902</v>
      </c>
      <c r="O41" s="17">
        <v>0.94220224204916203</v>
      </c>
      <c r="P41" s="17">
        <v>2.5768631669143001</v>
      </c>
      <c r="Q41" s="17">
        <v>1.40583458193254</v>
      </c>
      <c r="R41" s="17" t="s">
        <v>44</v>
      </c>
      <c r="S41" s="17">
        <v>2.58942106298342</v>
      </c>
      <c r="T41" s="17">
        <v>6.0694619016737299</v>
      </c>
      <c r="U41" s="17">
        <v>5.0410674247783698</v>
      </c>
      <c r="V41" s="17" t="s">
        <v>44</v>
      </c>
      <c r="W41" s="17">
        <v>1.9081849534517901</v>
      </c>
      <c r="X41" s="17">
        <v>2.1474702299996999</v>
      </c>
      <c r="Y41" s="17">
        <v>4.0477345423184596</v>
      </c>
      <c r="Z41" s="17">
        <v>1.54340845363926</v>
      </c>
      <c r="AA41" s="17" t="s">
        <v>44</v>
      </c>
      <c r="AB41" s="17">
        <v>1.82946005075291</v>
      </c>
    </row>
    <row r="42" spans="1:28" x14ac:dyDescent="0.2">
      <c r="A42" s="17">
        <f t="shared" si="0"/>
        <v>2.3112233218711671</v>
      </c>
      <c r="B42" s="17">
        <v>38</v>
      </c>
      <c r="C42" s="17">
        <v>2.8216295255246702</v>
      </c>
      <c r="D42" s="17">
        <v>3.0009805666807701</v>
      </c>
      <c r="E42" s="17" t="s">
        <v>44</v>
      </c>
      <c r="F42" s="17">
        <v>3.9679720450727101</v>
      </c>
      <c r="G42" s="17">
        <v>2.1061674420835801</v>
      </c>
      <c r="H42" s="17">
        <v>1.62517360777396</v>
      </c>
      <c r="I42" s="17">
        <v>0.50025366819411399</v>
      </c>
      <c r="J42" s="17">
        <v>3.8378735986900399</v>
      </c>
      <c r="K42" s="17">
        <v>0.64945563384594396</v>
      </c>
      <c r="L42" s="17" t="s">
        <v>44</v>
      </c>
      <c r="M42" s="17">
        <v>0.91621542196000705</v>
      </c>
      <c r="N42" s="17">
        <v>1.5875564095978001</v>
      </c>
      <c r="O42" s="17">
        <v>1.25192370319743</v>
      </c>
      <c r="P42" s="17">
        <v>2.7204717123743798</v>
      </c>
      <c r="Q42" s="17">
        <v>4.8308020685705904</v>
      </c>
      <c r="R42" s="17">
        <v>2.0283721890056099</v>
      </c>
      <c r="S42" s="17">
        <v>4.7758374883012999</v>
      </c>
      <c r="T42" s="17">
        <v>3.3187743944258199</v>
      </c>
      <c r="U42" s="17">
        <v>2.1613119289657998</v>
      </c>
      <c r="V42" s="17">
        <v>2.2188908708210202</v>
      </c>
      <c r="W42" s="17">
        <v>1.6427255138255801</v>
      </c>
      <c r="X42" s="17">
        <v>3.5902069104807399</v>
      </c>
      <c r="Y42" s="17">
        <v>1.82575241533778</v>
      </c>
      <c r="Z42" s="17">
        <v>1.3944396891030699</v>
      </c>
      <c r="AA42" s="17">
        <v>3.0477999299160299</v>
      </c>
      <c r="AB42" s="17">
        <v>0.15917919481276599</v>
      </c>
    </row>
    <row r="43" spans="1:28" x14ac:dyDescent="0.2">
      <c r="A43" s="17">
        <f t="shared" si="0"/>
        <v>5.0904677002986647</v>
      </c>
      <c r="B43" s="17">
        <v>39</v>
      </c>
      <c r="C43" s="17">
        <v>3.0249982492132901</v>
      </c>
      <c r="D43" s="17">
        <v>10.0447741378209</v>
      </c>
      <c r="E43" s="17">
        <v>4.6620075252013597</v>
      </c>
      <c r="F43" s="17">
        <v>4.6100023789496296</v>
      </c>
      <c r="G43" s="17">
        <v>2.3918170441079698</v>
      </c>
      <c r="H43" s="17">
        <v>8.5434794335731201</v>
      </c>
      <c r="I43" s="17" t="s">
        <v>44</v>
      </c>
      <c r="J43" s="17">
        <v>10.693290008154801</v>
      </c>
      <c r="K43" s="17">
        <v>0.471459850959495</v>
      </c>
      <c r="L43" s="17" t="s">
        <v>44</v>
      </c>
      <c r="M43" s="17">
        <v>3.3382289876024398</v>
      </c>
      <c r="N43" s="17" t="s">
        <v>44</v>
      </c>
      <c r="O43" s="17">
        <v>0.52440105078853305</v>
      </c>
      <c r="P43" s="17">
        <v>8.0735489347344895</v>
      </c>
      <c r="Q43" s="17">
        <v>1.9093518958423801</v>
      </c>
      <c r="R43" s="17">
        <v>1.7650439019276301</v>
      </c>
      <c r="S43" s="17">
        <v>1.3409902940761</v>
      </c>
      <c r="T43" s="17">
        <v>2.7649409857476699</v>
      </c>
      <c r="U43" s="17">
        <v>2.2239882147504901</v>
      </c>
      <c r="V43" s="17">
        <v>12.0977485469952</v>
      </c>
      <c r="W43" s="17" t="s">
        <v>44</v>
      </c>
      <c r="X43" s="17">
        <v>3.50392177182355</v>
      </c>
      <c r="Y43" s="17">
        <v>6.15323963303877</v>
      </c>
      <c r="Z43" s="17">
        <v>5.1480525401108999</v>
      </c>
      <c r="AA43" s="17">
        <v>14.0753534529488</v>
      </c>
      <c r="AB43" s="17">
        <v>2.5641811171177298</v>
      </c>
    </row>
    <row r="44" spans="1:28" x14ac:dyDescent="0.2">
      <c r="A44" s="17">
        <f t="shared" si="0"/>
        <v>2.7479131501473715</v>
      </c>
      <c r="B44" s="17">
        <v>40</v>
      </c>
      <c r="C44" s="17">
        <v>0.67600254560972095</v>
      </c>
      <c r="D44" s="17">
        <v>3.75284106297191</v>
      </c>
      <c r="E44" s="17" t="s">
        <v>44</v>
      </c>
      <c r="F44" s="17">
        <v>2.20252285171411</v>
      </c>
      <c r="G44" s="17">
        <v>2.0785414015560102</v>
      </c>
      <c r="H44" s="17" t="s">
        <v>44</v>
      </c>
      <c r="I44" s="17">
        <v>1.0457430755621799</v>
      </c>
      <c r="J44" s="17">
        <v>1.25274856027661</v>
      </c>
      <c r="K44" s="17">
        <v>2.9591317807282702</v>
      </c>
      <c r="L44" s="17">
        <v>1.5498111937625401</v>
      </c>
      <c r="M44" s="17">
        <v>5.9249037773644497</v>
      </c>
      <c r="N44" s="17">
        <v>2.8956905830237898</v>
      </c>
      <c r="O44" s="17">
        <v>0.589625490103594</v>
      </c>
      <c r="P44" s="17">
        <v>4.59072911987057</v>
      </c>
      <c r="Q44" s="17">
        <v>3.3034862341206601</v>
      </c>
      <c r="R44" s="17" t="s">
        <v>44</v>
      </c>
      <c r="S44" s="17">
        <v>3.8319295649180098</v>
      </c>
      <c r="T44" s="17">
        <v>7.4659278525165202</v>
      </c>
      <c r="U44" s="17">
        <v>2.40035994489303</v>
      </c>
      <c r="V44" s="17">
        <v>3.93085195130252</v>
      </c>
      <c r="W44" s="17">
        <v>2.8161567944565502</v>
      </c>
      <c r="X44" s="17">
        <v>1.77212038914465</v>
      </c>
      <c r="Y44" s="17">
        <v>1.15081000578711</v>
      </c>
      <c r="Z44" s="17" t="s">
        <v>44</v>
      </c>
      <c r="AA44" s="17">
        <v>1.2353608157259299</v>
      </c>
      <c r="AB44" s="17">
        <v>0.95688370329578198</v>
      </c>
    </row>
    <row r="45" spans="1:28" x14ac:dyDescent="0.2">
      <c r="A45" s="17">
        <f t="shared" si="0"/>
        <v>5.6772188274487556</v>
      </c>
      <c r="B45" s="17">
        <v>41</v>
      </c>
      <c r="C45" s="17" t="s">
        <v>44</v>
      </c>
      <c r="D45" s="17">
        <v>8.33371452612813</v>
      </c>
      <c r="E45" s="17">
        <v>5.23439800405386</v>
      </c>
      <c r="F45" s="17">
        <v>8.6047367788244706</v>
      </c>
      <c r="G45" s="17" t="s">
        <v>44</v>
      </c>
      <c r="H45" s="17">
        <v>7.6797320735405901</v>
      </c>
      <c r="I45" s="17">
        <v>5.9030743762196698</v>
      </c>
      <c r="J45" s="17">
        <v>1.89729983991087</v>
      </c>
      <c r="K45" s="17">
        <v>3.1164079287950499</v>
      </c>
      <c r="L45" s="17">
        <v>2.77767678690957</v>
      </c>
      <c r="M45" s="17">
        <v>6.6513849472430104</v>
      </c>
      <c r="N45" s="17">
        <v>2.7634112457947699</v>
      </c>
      <c r="O45" s="17">
        <v>4.5623527896711504</v>
      </c>
      <c r="P45" s="17">
        <v>12.1821147980819</v>
      </c>
      <c r="Q45" s="17">
        <v>6.9042938955585598</v>
      </c>
      <c r="R45" s="17">
        <v>8.41933579365881</v>
      </c>
      <c r="S45" s="17">
        <v>3.0838767805410101</v>
      </c>
      <c r="T45" s="17" t="s">
        <v>44</v>
      </c>
      <c r="U45" s="17" t="s">
        <v>44</v>
      </c>
      <c r="V45" s="17">
        <v>8.0649517471177106</v>
      </c>
      <c r="W45" s="17">
        <v>3.1556458176456599</v>
      </c>
      <c r="X45" s="17">
        <v>8.3002547830402396</v>
      </c>
      <c r="Y45" s="17">
        <v>3.41985175817815</v>
      </c>
      <c r="Z45" s="17">
        <v>3.9014817458937401</v>
      </c>
      <c r="AA45" s="17" t="s">
        <v>44</v>
      </c>
      <c r="AB45" s="17">
        <v>4.2655989596169404</v>
      </c>
    </row>
    <row r="46" spans="1:28" x14ac:dyDescent="0.2">
      <c r="A46" s="17">
        <f t="shared" si="0"/>
        <v>4.771399471945962</v>
      </c>
      <c r="B46" s="17">
        <v>42</v>
      </c>
      <c r="C46" s="17" t="s">
        <v>44</v>
      </c>
      <c r="D46" s="17">
        <v>4.4545423924395102</v>
      </c>
      <c r="E46" s="17" t="s">
        <v>44</v>
      </c>
      <c r="F46" s="17" t="s">
        <v>44</v>
      </c>
      <c r="G46" s="17" t="s">
        <v>44</v>
      </c>
      <c r="H46" s="17">
        <v>4.9369504993537401</v>
      </c>
      <c r="I46" s="17">
        <v>4.14116547114397</v>
      </c>
      <c r="J46" s="17" t="s">
        <v>44</v>
      </c>
      <c r="K46" s="17" t="s">
        <v>44</v>
      </c>
      <c r="L46" s="17">
        <v>1.37888060129491</v>
      </c>
      <c r="M46" s="17">
        <v>4.7197591795533302</v>
      </c>
      <c r="N46" s="17" t="s">
        <v>44</v>
      </c>
      <c r="O46" s="17" t="s">
        <v>44</v>
      </c>
      <c r="P46" s="17" t="s">
        <v>44</v>
      </c>
      <c r="Q46" s="17">
        <v>3.4603887627616201</v>
      </c>
      <c r="R46" s="17" t="s">
        <v>44</v>
      </c>
      <c r="S46" s="17">
        <v>3.7505882196862101</v>
      </c>
      <c r="T46" s="17">
        <v>10.581136129074</v>
      </c>
      <c r="U46" s="17">
        <v>6.8426894719257501</v>
      </c>
      <c r="V46" s="17">
        <v>1.36604385925939</v>
      </c>
      <c r="W46" s="17" t="s">
        <v>44</v>
      </c>
      <c r="X46" s="17">
        <v>3.7826845345137299</v>
      </c>
      <c r="Y46" s="17" t="s">
        <v>44</v>
      </c>
      <c r="Z46" s="17">
        <v>6.4827143687579802</v>
      </c>
      <c r="AA46" s="17" t="s">
        <v>44</v>
      </c>
      <c r="AB46" s="17">
        <v>6.1306496455333699</v>
      </c>
    </row>
    <row r="47" spans="1:28" x14ac:dyDescent="0.2">
      <c r="A47" s="17">
        <f t="shared" si="0"/>
        <v>3.6097160072710239</v>
      </c>
      <c r="B47" s="17">
        <v>43</v>
      </c>
      <c r="C47" s="17" t="s">
        <v>44</v>
      </c>
      <c r="D47" s="17" t="s">
        <v>44</v>
      </c>
      <c r="E47" s="17" t="s">
        <v>44</v>
      </c>
      <c r="F47" s="17">
        <v>1.8645629753278801</v>
      </c>
      <c r="G47" s="17">
        <v>6.1998393530996196</v>
      </c>
      <c r="H47" s="17" t="s">
        <v>44</v>
      </c>
      <c r="I47" s="17" t="s">
        <v>44</v>
      </c>
      <c r="J47" s="17">
        <v>5.1788025653788496</v>
      </c>
      <c r="K47" s="17">
        <v>2.0197512279498202</v>
      </c>
      <c r="L47" s="17">
        <v>2.20942903043131</v>
      </c>
      <c r="M47" s="17" t="s">
        <v>44</v>
      </c>
      <c r="N47" s="17">
        <v>1.7839382637118</v>
      </c>
      <c r="O47" s="17" t="s">
        <v>44</v>
      </c>
      <c r="P47" s="17" t="s">
        <v>44</v>
      </c>
      <c r="Q47" s="17" t="s">
        <v>44</v>
      </c>
      <c r="R47" s="17">
        <v>5.6250278357035697</v>
      </c>
      <c r="S47" s="17">
        <v>3.62580532950598</v>
      </c>
      <c r="T47" s="17">
        <v>3.4310011733914201</v>
      </c>
      <c r="U47" s="17" t="s">
        <v>44</v>
      </c>
      <c r="V47" s="17">
        <v>4.15900231820999</v>
      </c>
      <c r="W47" s="17" t="s">
        <v>44</v>
      </c>
      <c r="X47" s="17" t="s">
        <v>44</v>
      </c>
      <c r="Y47" s="17" t="s">
        <v>44</v>
      </c>
      <c r="Z47" s="17" t="s">
        <v>44</v>
      </c>
      <c r="AA47" s="17" t="s">
        <v>44</v>
      </c>
      <c r="AB47" s="17" t="s">
        <v>44</v>
      </c>
    </row>
    <row r="48" spans="1:28" x14ac:dyDescent="0.2">
      <c r="A48" s="17">
        <f t="shared" si="0"/>
        <v>5.3983001751275239</v>
      </c>
      <c r="B48" s="17">
        <v>44</v>
      </c>
      <c r="C48" s="17">
        <v>3.7773422657886</v>
      </c>
      <c r="D48" s="17">
        <v>10.3973766238182</v>
      </c>
      <c r="E48" s="17" t="s">
        <v>44</v>
      </c>
      <c r="F48" s="17">
        <v>3.9118523592734702</v>
      </c>
      <c r="G48" s="17">
        <v>9.0650951014098897</v>
      </c>
      <c r="H48" s="17">
        <v>9.4189558791138808</v>
      </c>
      <c r="I48" s="17">
        <v>7.1108896649635804</v>
      </c>
      <c r="J48" s="17">
        <v>2.3283294735624098</v>
      </c>
      <c r="K48" s="17" t="s">
        <v>44</v>
      </c>
      <c r="L48" s="17">
        <v>0.80555617502203003</v>
      </c>
      <c r="M48" s="17">
        <v>2.7322949072413798</v>
      </c>
      <c r="N48" s="17">
        <v>4.3692111924332</v>
      </c>
      <c r="O48" s="17">
        <v>1.2609853271396401</v>
      </c>
      <c r="P48" s="17">
        <v>7.2278720386596502</v>
      </c>
      <c r="Q48" s="17">
        <v>4.3780558787275501</v>
      </c>
      <c r="R48" s="17">
        <v>0.90667199146862598</v>
      </c>
      <c r="S48" s="17">
        <v>3.3362306587705</v>
      </c>
      <c r="T48" s="17">
        <v>11.715359061961699</v>
      </c>
      <c r="U48" s="17">
        <v>1.8402254968729099</v>
      </c>
      <c r="V48" s="17">
        <v>7.0299049847705701</v>
      </c>
      <c r="W48" s="17">
        <v>3.3605004769143099</v>
      </c>
      <c r="X48" s="17">
        <v>3.3065645125574799</v>
      </c>
      <c r="Y48" s="17">
        <v>10.0823358577339</v>
      </c>
      <c r="Z48" s="17">
        <v>13.867880100344999</v>
      </c>
      <c r="AA48" s="17">
        <v>0</v>
      </c>
      <c r="AB48" s="17">
        <v>5.7087562651731698</v>
      </c>
    </row>
    <row r="49" spans="1:28" x14ac:dyDescent="0.2">
      <c r="A49" s="17">
        <f t="shared" si="0"/>
        <v>4.0137119097892375</v>
      </c>
      <c r="B49" s="17">
        <v>45</v>
      </c>
      <c r="C49" s="17" t="s">
        <v>44</v>
      </c>
      <c r="D49" s="17">
        <v>2.6628598586580399</v>
      </c>
      <c r="E49" s="17">
        <v>6.2373727952280902</v>
      </c>
      <c r="F49" s="17">
        <v>3.2597504567686899</v>
      </c>
      <c r="G49" s="17">
        <v>6.4579032822447697</v>
      </c>
      <c r="H49" s="17">
        <v>5.3357625292144002</v>
      </c>
      <c r="I49" s="17">
        <v>1.9779295727408801</v>
      </c>
      <c r="J49" s="17">
        <v>3.1742900784176098</v>
      </c>
      <c r="K49" s="17">
        <v>2.11466039020456</v>
      </c>
      <c r="L49" s="17">
        <v>3.8171667767931599</v>
      </c>
      <c r="M49" s="17">
        <v>2.4779697555546698</v>
      </c>
      <c r="N49" s="17">
        <v>6.6167883256918598</v>
      </c>
      <c r="O49" s="17">
        <v>6.3402457006627699</v>
      </c>
      <c r="P49" s="17">
        <v>4.6242277200816098</v>
      </c>
      <c r="Q49" s="17">
        <v>4.6132842535591001</v>
      </c>
      <c r="R49" s="17">
        <v>3.4276265429314998</v>
      </c>
      <c r="S49" s="17">
        <v>1.12815396721226</v>
      </c>
      <c r="T49" s="17">
        <v>2.2286235271293302</v>
      </c>
      <c r="U49" s="17">
        <v>3.0884982199611399</v>
      </c>
      <c r="V49" s="17">
        <v>1.8110604299450599</v>
      </c>
      <c r="W49" s="17">
        <v>4.3221992750310401</v>
      </c>
      <c r="X49" s="17">
        <v>6.7411113620374303</v>
      </c>
      <c r="Y49" s="17">
        <v>3.7062362107510198</v>
      </c>
      <c r="Z49" s="17">
        <v>4.1547121492635002</v>
      </c>
      <c r="AA49" s="17">
        <v>5.3106527929807301</v>
      </c>
      <c r="AB49" s="17">
        <v>4.7137117716677199</v>
      </c>
    </row>
    <row r="51" spans="1:28" x14ac:dyDescent="0.2">
      <c r="C51" s="17">
        <f>AVERAGE(C5:C49)</f>
        <v>5.1278023231705223</v>
      </c>
      <c r="D51" s="17">
        <f t="shared" ref="D51:V51" si="1">AVERAGE(D5:D49)</f>
        <v>5.3057709293467052</v>
      </c>
      <c r="E51" s="17">
        <f t="shared" si="1"/>
        <v>4.8667396195359478</v>
      </c>
      <c r="F51" s="17">
        <f t="shared" si="1"/>
        <v>3.6026508837841282</v>
      </c>
      <c r="G51" s="17">
        <f t="shared" si="1"/>
        <v>3.3845134987513639</v>
      </c>
      <c r="H51" s="17">
        <f t="shared" si="1"/>
        <v>5.9617426432428307</v>
      </c>
      <c r="I51" s="17">
        <f t="shared" si="1"/>
        <v>3.2157442792160635</v>
      </c>
      <c r="J51" s="17">
        <f t="shared" si="1"/>
        <v>3.7178470620128272</v>
      </c>
      <c r="K51" s="17">
        <f t="shared" si="1"/>
        <v>3.1775414130997088</v>
      </c>
      <c r="L51" s="17">
        <f t="shared" si="1"/>
        <v>3.2348411431886031</v>
      </c>
      <c r="M51" s="17">
        <f t="shared" si="1"/>
        <v>3.4882543525079917</v>
      </c>
      <c r="N51" s="17">
        <f t="shared" si="1"/>
        <v>3.8427672786914377</v>
      </c>
      <c r="O51" s="17">
        <f t="shared" si="1"/>
        <v>2.5347953339163323</v>
      </c>
      <c r="P51" s="17">
        <f t="shared" si="1"/>
        <v>4.9632042070437254</v>
      </c>
      <c r="Q51" s="17">
        <f t="shared" si="1"/>
        <v>4.1351506150819155</v>
      </c>
      <c r="R51" s="17">
        <f t="shared" si="1"/>
        <v>5.1958370386356112</v>
      </c>
      <c r="S51" s="17">
        <f t="shared" si="1"/>
        <v>3.2146638505398832</v>
      </c>
      <c r="T51" s="17">
        <f t="shared" si="1"/>
        <v>5.0857028802329678</v>
      </c>
      <c r="U51" s="17">
        <f t="shared" si="1"/>
        <v>3.3065089387446824</v>
      </c>
      <c r="V51" s="17">
        <f t="shared" si="1"/>
        <v>4.234654328441299</v>
      </c>
    </row>
  </sheetData>
  <phoneticPr fontId="1" type="noConversion"/>
  <conditionalFormatting sqref="A4:A49">
    <cfRule type="aboveAverage" dxfId="5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B3E9-BA63-4246-A230-69CE59A5CDAD}">
  <dimension ref="A1:AC51"/>
  <sheetViews>
    <sheetView topLeftCell="A3" workbookViewId="0">
      <selection activeCell="D5" sqref="D5:W49"/>
    </sheetView>
  </sheetViews>
  <sheetFormatPr defaultColWidth="8.625" defaultRowHeight="11.25" x14ac:dyDescent="0.2"/>
  <cols>
    <col min="1" max="2" width="8.625" style="17"/>
    <col min="3" max="3" width="8.625" style="17" customWidth="1"/>
    <col min="4" max="16384" width="8.625" style="17"/>
  </cols>
  <sheetData>
    <row r="1" spans="1:29" s="9" customFormat="1" x14ac:dyDescent="0.2">
      <c r="B1" s="9" t="s">
        <v>46</v>
      </c>
      <c r="C1" s="10">
        <v>2</v>
      </c>
      <c r="D1" s="10">
        <v>11</v>
      </c>
      <c r="E1" s="10">
        <v>12</v>
      </c>
      <c r="F1" s="10">
        <v>18</v>
      </c>
      <c r="G1" s="10">
        <v>15</v>
      </c>
      <c r="H1" s="10">
        <v>3</v>
      </c>
      <c r="I1" s="10">
        <v>20</v>
      </c>
      <c r="J1" s="10">
        <v>19</v>
      </c>
      <c r="K1" s="10">
        <v>7</v>
      </c>
      <c r="L1" s="10">
        <v>8</v>
      </c>
      <c r="M1" s="10">
        <v>1</v>
      </c>
      <c r="N1" s="10">
        <v>16</v>
      </c>
      <c r="O1" s="10">
        <v>9</v>
      </c>
      <c r="P1" s="10">
        <v>4</v>
      </c>
      <c r="Q1" s="10">
        <v>5</v>
      </c>
      <c r="R1" s="10">
        <v>13</v>
      </c>
      <c r="S1" s="10">
        <v>17</v>
      </c>
      <c r="T1" s="10">
        <v>14</v>
      </c>
      <c r="U1" s="10">
        <v>10</v>
      </c>
      <c r="V1" s="10">
        <v>6</v>
      </c>
      <c r="W1" s="10"/>
      <c r="X1" s="10"/>
      <c r="Y1" s="10"/>
      <c r="Z1" s="10"/>
      <c r="AA1" s="10"/>
      <c r="AB1" s="10"/>
      <c r="AC1" s="10"/>
    </row>
    <row r="2" spans="1:29" s="9" customFormat="1" x14ac:dyDescent="0.2">
      <c r="B2" s="9" t="s">
        <v>47</v>
      </c>
      <c r="C2" s="10">
        <v>1</v>
      </c>
      <c r="D2" s="11">
        <v>2</v>
      </c>
      <c r="E2" s="11">
        <v>3</v>
      </c>
      <c r="F2" s="12">
        <v>4</v>
      </c>
      <c r="G2" s="13">
        <v>5</v>
      </c>
      <c r="H2" s="14">
        <v>6</v>
      </c>
      <c r="I2" s="10">
        <v>7</v>
      </c>
      <c r="J2" s="12">
        <v>8</v>
      </c>
      <c r="K2" s="15">
        <v>9</v>
      </c>
      <c r="L2" s="15">
        <v>10</v>
      </c>
      <c r="M2" s="16">
        <v>11</v>
      </c>
      <c r="N2" s="13">
        <v>12</v>
      </c>
      <c r="O2" s="15">
        <v>13</v>
      </c>
      <c r="P2" s="14">
        <v>14</v>
      </c>
      <c r="Q2" s="14">
        <v>15</v>
      </c>
      <c r="R2" s="11">
        <v>16</v>
      </c>
      <c r="S2" s="13">
        <v>17</v>
      </c>
      <c r="T2" s="11">
        <v>18</v>
      </c>
      <c r="U2" s="15">
        <v>19</v>
      </c>
      <c r="V2" s="14">
        <v>20</v>
      </c>
      <c r="W2" s="10">
        <v>21</v>
      </c>
      <c r="X2" s="10">
        <v>22</v>
      </c>
      <c r="Y2" s="10">
        <v>23</v>
      </c>
      <c r="Z2" s="10">
        <v>24</v>
      </c>
      <c r="AA2" s="10">
        <v>25</v>
      </c>
      <c r="AB2" s="10">
        <v>26</v>
      </c>
      <c r="AC2" s="10">
        <v>27</v>
      </c>
    </row>
    <row r="3" spans="1:29" s="9" customFormat="1" x14ac:dyDescent="0.2">
      <c r="C3" s="10" t="s">
        <v>0</v>
      </c>
      <c r="D3" s="11" t="s">
        <v>2</v>
      </c>
      <c r="E3" s="11" t="s">
        <v>4</v>
      </c>
      <c r="F3" s="12" t="s">
        <v>6</v>
      </c>
      <c r="G3" s="13" t="s">
        <v>8</v>
      </c>
      <c r="H3" s="14" t="s">
        <v>10</v>
      </c>
      <c r="I3" s="10" t="s">
        <v>12</v>
      </c>
      <c r="J3" s="12" t="s">
        <v>14</v>
      </c>
      <c r="K3" s="15" t="s">
        <v>16</v>
      </c>
      <c r="L3" s="15" t="s">
        <v>18</v>
      </c>
      <c r="M3" s="16" t="s">
        <v>20</v>
      </c>
      <c r="N3" s="13" t="s">
        <v>22</v>
      </c>
      <c r="O3" s="15" t="s">
        <v>24</v>
      </c>
      <c r="P3" s="14" t="s">
        <v>26</v>
      </c>
      <c r="Q3" s="14" t="s">
        <v>28</v>
      </c>
      <c r="R3" s="11" t="s">
        <v>30</v>
      </c>
      <c r="S3" s="13" t="s">
        <v>32</v>
      </c>
      <c r="T3" s="11" t="s">
        <v>34</v>
      </c>
      <c r="U3" s="15" t="s">
        <v>36</v>
      </c>
      <c r="V3" s="14" t="s">
        <v>38</v>
      </c>
      <c r="W3" s="10"/>
      <c r="X3" s="10"/>
      <c r="Y3" s="10"/>
      <c r="Z3" s="10"/>
      <c r="AA3" s="10"/>
      <c r="AB3" s="10"/>
      <c r="AC3" s="10"/>
    </row>
    <row r="4" spans="1:29" s="9" customFormat="1" ht="22.5" x14ac:dyDescent="0.2">
      <c r="A4" s="9" t="s">
        <v>94</v>
      </c>
      <c r="B4" s="17" t="s">
        <v>45</v>
      </c>
      <c r="C4" s="10" t="s">
        <v>1</v>
      </c>
      <c r="D4" s="11" t="s">
        <v>3</v>
      </c>
      <c r="E4" s="11" t="s">
        <v>5</v>
      </c>
      <c r="F4" s="12" t="s">
        <v>7</v>
      </c>
      <c r="G4" s="13" t="s">
        <v>9</v>
      </c>
      <c r="H4" s="14" t="s">
        <v>11</v>
      </c>
      <c r="I4" s="10" t="s">
        <v>13</v>
      </c>
      <c r="J4" s="12" t="s">
        <v>15</v>
      </c>
      <c r="K4" s="15" t="s">
        <v>17</v>
      </c>
      <c r="L4" s="15" t="s">
        <v>19</v>
      </c>
      <c r="M4" s="16" t="s">
        <v>21</v>
      </c>
      <c r="N4" s="13" t="s">
        <v>23</v>
      </c>
      <c r="O4" s="15" t="s">
        <v>25</v>
      </c>
      <c r="P4" s="14" t="s">
        <v>27</v>
      </c>
      <c r="Q4" s="14" t="s">
        <v>29</v>
      </c>
      <c r="R4" s="11" t="s">
        <v>31</v>
      </c>
      <c r="S4" s="13" t="s">
        <v>33</v>
      </c>
      <c r="T4" s="11" t="s">
        <v>35</v>
      </c>
      <c r="U4" s="15" t="s">
        <v>37</v>
      </c>
      <c r="V4" s="14" t="s">
        <v>39</v>
      </c>
      <c r="W4" s="10" t="s">
        <v>42</v>
      </c>
      <c r="X4" s="10" t="s">
        <v>42</v>
      </c>
      <c r="Y4" s="10" t="s">
        <v>42</v>
      </c>
      <c r="Z4" s="10" t="s">
        <v>48</v>
      </c>
      <c r="AA4" s="10" t="s">
        <v>49</v>
      </c>
      <c r="AB4" s="10" t="s">
        <v>50</v>
      </c>
      <c r="AC4" s="10" t="s">
        <v>51</v>
      </c>
    </row>
    <row r="5" spans="1:29" x14ac:dyDescent="0.2">
      <c r="A5" s="17">
        <f>AVERAGE(D5:AC5)</f>
        <v>3.1604088965405235</v>
      </c>
      <c r="B5" s="17">
        <v>1</v>
      </c>
      <c r="C5" s="17">
        <v>5.5994795429033104</v>
      </c>
      <c r="D5" s="17">
        <v>2.7006376726822801</v>
      </c>
      <c r="E5" s="17" t="s">
        <v>44</v>
      </c>
      <c r="F5" s="17">
        <v>3.1360046954649299</v>
      </c>
      <c r="G5" s="17">
        <v>4.9800864821809903</v>
      </c>
      <c r="H5" s="17">
        <v>1.40093011475243</v>
      </c>
      <c r="I5" s="17">
        <v>2.5254446555751802</v>
      </c>
      <c r="J5" s="17">
        <v>4.8489561901179403</v>
      </c>
      <c r="K5" s="17">
        <v>2.9292608488897698</v>
      </c>
      <c r="L5" s="17">
        <v>4.5140983231894198</v>
      </c>
      <c r="M5" s="17">
        <v>3.8520650784441601</v>
      </c>
      <c r="N5" s="17">
        <v>1.9967945351779199</v>
      </c>
      <c r="O5" s="17">
        <v>0.59903408242254197</v>
      </c>
      <c r="P5" s="17">
        <v>2.7443491017745099</v>
      </c>
      <c r="Q5" s="17">
        <v>2.3871123931275302</v>
      </c>
      <c r="R5" s="17">
        <v>1.8725551843900301</v>
      </c>
      <c r="S5" s="17">
        <v>4.39546149887589</v>
      </c>
      <c r="T5" s="17">
        <v>4.8309163943594502</v>
      </c>
      <c r="U5" s="17">
        <v>6.9518375018804299</v>
      </c>
      <c r="V5" s="17">
        <v>2.2744628321562099</v>
      </c>
      <c r="W5" s="17">
        <v>6.0736892564013596</v>
      </c>
      <c r="X5" s="17">
        <v>3.4818148966912301</v>
      </c>
      <c r="Y5" s="17">
        <v>2.0646022388744498</v>
      </c>
      <c r="Z5" s="17">
        <v>1.83071526252535</v>
      </c>
      <c r="AA5" s="17">
        <v>4.4408362449815497E-2</v>
      </c>
      <c r="AB5" s="17">
        <v>3.41457591456876</v>
      </c>
      <c r="AC5" s="17" t="s">
        <v>44</v>
      </c>
    </row>
    <row r="6" spans="1:29" x14ac:dyDescent="0.2">
      <c r="A6" s="17">
        <f t="shared" ref="A6:A49" si="0">AVERAGE(D6:AC6)</f>
        <v>4.8203738021905203</v>
      </c>
      <c r="B6" s="17">
        <v>2</v>
      </c>
      <c r="C6" s="17">
        <v>2.3682262714325502</v>
      </c>
      <c r="D6" s="17">
        <v>10.749379677418901</v>
      </c>
      <c r="E6" s="17" t="s">
        <v>44</v>
      </c>
      <c r="F6" s="17">
        <v>5.0307054130429201</v>
      </c>
      <c r="G6" s="17">
        <v>5.93813922604296</v>
      </c>
      <c r="H6" s="17">
        <v>7.6078261596104104</v>
      </c>
      <c r="I6" s="17">
        <v>12.049762075110101</v>
      </c>
      <c r="J6" s="17">
        <v>1.23676721917628</v>
      </c>
      <c r="K6" s="17" t="s">
        <v>44</v>
      </c>
      <c r="L6" s="17">
        <v>1.42739918429115</v>
      </c>
      <c r="M6" s="17" t="s">
        <v>44</v>
      </c>
      <c r="N6" s="17">
        <v>4.4503683379116801</v>
      </c>
      <c r="O6" s="17">
        <v>1.5711639565031099</v>
      </c>
      <c r="P6" s="17">
        <v>5.1745714746288902</v>
      </c>
      <c r="Q6" s="17">
        <v>4.5487284477106797</v>
      </c>
      <c r="R6" s="17">
        <v>4.3598396675716797</v>
      </c>
      <c r="S6" s="17">
        <v>6.9988427454983597</v>
      </c>
      <c r="T6" s="17">
        <v>7.1166386140962397</v>
      </c>
      <c r="U6" s="17">
        <v>2.6110931747223902</v>
      </c>
      <c r="V6" s="17">
        <v>1.4789171897197</v>
      </c>
      <c r="W6" s="17">
        <v>6.4848098889839099</v>
      </c>
      <c r="X6" s="17">
        <v>3.6371806407194098</v>
      </c>
      <c r="Y6" s="17">
        <v>4.5789010122436196</v>
      </c>
      <c r="Z6" s="17">
        <v>1.3680803107004</v>
      </c>
      <c r="AA6" s="17" t="s">
        <v>44</v>
      </c>
      <c r="AB6" s="17">
        <v>5.0292555861950801</v>
      </c>
      <c r="AC6" s="17">
        <v>2.59985364629358</v>
      </c>
    </row>
    <row r="7" spans="1:29" x14ac:dyDescent="0.2">
      <c r="A7" s="17">
        <f t="shared" si="0"/>
        <v>4.182758332670331</v>
      </c>
      <c r="B7" s="17">
        <v>3</v>
      </c>
      <c r="C7" s="17">
        <v>9.8451456868358402</v>
      </c>
      <c r="D7" s="17">
        <v>4.8931886185807301</v>
      </c>
      <c r="E7" s="17">
        <v>5.7984099513420801</v>
      </c>
      <c r="F7" s="17">
        <v>7.8248774114857902</v>
      </c>
      <c r="G7" s="17">
        <v>8.3805691893598908</v>
      </c>
      <c r="H7" s="17">
        <v>0.41332779666093999</v>
      </c>
      <c r="I7" s="17" t="s">
        <v>44</v>
      </c>
      <c r="J7" s="17">
        <v>3.29358736589354</v>
      </c>
      <c r="K7" s="17">
        <v>4.9578758083433199</v>
      </c>
      <c r="L7" s="17">
        <v>1.42843091662856</v>
      </c>
      <c r="M7" s="17">
        <v>2.0179990036538</v>
      </c>
      <c r="N7" s="17">
        <v>2.7327589304578801</v>
      </c>
      <c r="O7" s="17">
        <v>5.3918918023085096</v>
      </c>
      <c r="P7" s="17">
        <v>3.53293958194477</v>
      </c>
      <c r="Q7" s="17">
        <v>5.7420644236794303</v>
      </c>
      <c r="R7" s="17">
        <v>2.3748357932836299</v>
      </c>
      <c r="S7" s="17">
        <v>3.4625097040293999</v>
      </c>
      <c r="T7" s="17">
        <v>5.00344702886329</v>
      </c>
      <c r="U7" s="17">
        <v>2.3725689225018498</v>
      </c>
      <c r="V7" s="17">
        <v>4.6484129676420496</v>
      </c>
      <c r="W7" s="17">
        <v>7.6419527322500302</v>
      </c>
      <c r="X7" s="17">
        <v>4.2907616604705403</v>
      </c>
      <c r="Y7" s="17" t="s">
        <v>44</v>
      </c>
      <c r="Z7" s="17">
        <v>0.676190280384936</v>
      </c>
      <c r="AA7" s="17">
        <v>5.7538752566278601</v>
      </c>
      <c r="AB7" s="17" t="s">
        <v>44</v>
      </c>
      <c r="AC7" s="17">
        <v>3.57096650502482</v>
      </c>
    </row>
    <row r="8" spans="1:29" x14ac:dyDescent="0.2">
      <c r="A8" s="17">
        <f t="shared" si="0"/>
        <v>4.8746225056144565</v>
      </c>
      <c r="B8" s="17">
        <v>4</v>
      </c>
      <c r="C8" s="17" t="s">
        <v>44</v>
      </c>
      <c r="D8" s="17">
        <v>8.8854945906306106</v>
      </c>
      <c r="E8" s="17">
        <v>10.364777539789101</v>
      </c>
      <c r="F8" s="17" t="s">
        <v>44</v>
      </c>
      <c r="G8" s="17" t="s">
        <v>44</v>
      </c>
      <c r="H8" s="17">
        <v>11.033483206614401</v>
      </c>
      <c r="I8" s="17">
        <v>1.3239943577732201</v>
      </c>
      <c r="J8" s="17">
        <v>4.42008367394084</v>
      </c>
      <c r="K8" s="17" t="s">
        <v>44</v>
      </c>
      <c r="L8" s="17">
        <v>3.8395734755514401</v>
      </c>
      <c r="M8" s="17">
        <v>2.8169247151244399</v>
      </c>
      <c r="N8" s="17">
        <v>4.7475823522032101</v>
      </c>
      <c r="O8" s="17">
        <v>5.2301884206818601</v>
      </c>
      <c r="P8" s="17">
        <v>11.4444121409116</v>
      </c>
      <c r="Q8" s="17">
        <v>3.7128293927451201</v>
      </c>
      <c r="R8" s="17">
        <v>2.8584948234335901</v>
      </c>
      <c r="S8" s="17">
        <v>3.0970814051256799</v>
      </c>
      <c r="T8" s="17">
        <v>3.2732334099450302</v>
      </c>
      <c r="U8" s="17">
        <v>3.65726313253667</v>
      </c>
      <c r="V8" s="17">
        <v>10.050810434336301</v>
      </c>
      <c r="W8" s="17" t="s">
        <v>44</v>
      </c>
      <c r="X8" s="17" t="s">
        <v>44</v>
      </c>
      <c r="Y8" s="17" t="s">
        <v>44</v>
      </c>
      <c r="Z8" s="17">
        <v>3.76473667079315</v>
      </c>
      <c r="AA8" s="17">
        <v>1.29108132300254</v>
      </c>
      <c r="AB8" s="17">
        <v>0.96432070454294305</v>
      </c>
      <c r="AC8" s="17">
        <v>0.71608434260736697</v>
      </c>
    </row>
    <row r="9" spans="1:29" x14ac:dyDescent="0.2">
      <c r="A9" s="17">
        <f t="shared" si="0"/>
        <v>4.4478651017842736</v>
      </c>
      <c r="B9" s="17">
        <v>5</v>
      </c>
      <c r="C9" s="17" t="s">
        <v>44</v>
      </c>
      <c r="D9" s="17">
        <v>5.60878497514393</v>
      </c>
      <c r="E9" s="17" t="s">
        <v>44</v>
      </c>
      <c r="F9" s="17">
        <v>3.6560842880951898</v>
      </c>
      <c r="G9" s="17">
        <v>3.1285144956278201</v>
      </c>
      <c r="H9" s="17" t="s">
        <v>44</v>
      </c>
      <c r="I9" s="17">
        <v>2.0105615369105201</v>
      </c>
      <c r="J9" s="17">
        <v>3.0331644835942799</v>
      </c>
      <c r="K9" s="17" t="s">
        <v>44</v>
      </c>
      <c r="L9" s="17" t="s">
        <v>44</v>
      </c>
      <c r="M9" s="17" t="s">
        <v>44</v>
      </c>
      <c r="N9" s="17">
        <v>6.9579705093181303</v>
      </c>
      <c r="O9" s="17">
        <v>5.5285813493450799</v>
      </c>
      <c r="P9" s="17">
        <v>8.7217067011232903</v>
      </c>
      <c r="Q9" s="17">
        <v>3.5172811309840202</v>
      </c>
      <c r="R9" s="17">
        <v>3.0000836249890801</v>
      </c>
      <c r="S9" s="17">
        <v>2.5704613123823501</v>
      </c>
      <c r="T9" s="17" t="s">
        <v>44</v>
      </c>
      <c r="U9" s="17">
        <v>2.8436748070799802</v>
      </c>
      <c r="V9" s="17" t="s">
        <v>44</v>
      </c>
      <c r="W9" s="17">
        <v>8.6478974469285106</v>
      </c>
      <c r="X9" s="17">
        <v>6.1765284788128501</v>
      </c>
      <c r="Y9" s="17" t="s">
        <v>44</v>
      </c>
      <c r="Z9" s="17">
        <v>2.3575603415024502</v>
      </c>
      <c r="AA9" s="17">
        <v>2.1892223061179998</v>
      </c>
      <c r="AB9" s="17">
        <v>3.2803397536582302</v>
      </c>
      <c r="AC9" s="17">
        <v>6.8331542905032299</v>
      </c>
    </row>
    <row r="10" spans="1:29" x14ac:dyDescent="0.2">
      <c r="A10" s="17">
        <f t="shared" si="0"/>
        <v>6.373337886986894</v>
      </c>
      <c r="B10" s="17">
        <v>6</v>
      </c>
      <c r="C10" s="17" t="s">
        <v>44</v>
      </c>
      <c r="D10" s="17">
        <v>3.1181633071605899</v>
      </c>
      <c r="E10" s="17">
        <v>8.8983247792849198</v>
      </c>
      <c r="F10" s="17">
        <v>3.76777583918952</v>
      </c>
      <c r="G10" s="17">
        <v>4.4015605150203596</v>
      </c>
      <c r="H10" s="17">
        <v>3.8411860462263001</v>
      </c>
      <c r="I10" s="17">
        <v>0.25714802084467397</v>
      </c>
      <c r="J10" s="17">
        <v>9.6990755592731102</v>
      </c>
      <c r="K10" s="17">
        <v>3.5529512688380098</v>
      </c>
      <c r="L10" s="17">
        <v>13.1590743981497</v>
      </c>
      <c r="M10" s="17" t="s">
        <v>44</v>
      </c>
      <c r="N10" s="17">
        <v>5.6793995272985702</v>
      </c>
      <c r="O10" s="17" t="s">
        <v>44</v>
      </c>
      <c r="P10" s="17">
        <v>5.6480028299991698</v>
      </c>
      <c r="Q10" s="17">
        <v>7.5111131667487401</v>
      </c>
      <c r="R10" s="17">
        <v>13.6487846161912</v>
      </c>
      <c r="S10" s="17">
        <v>2.61999142758008</v>
      </c>
      <c r="T10" s="17">
        <v>9.3070090091025506</v>
      </c>
      <c r="U10" s="17">
        <v>15.185311143083499</v>
      </c>
      <c r="V10" s="17">
        <v>6.1785046733645101</v>
      </c>
      <c r="W10" s="17">
        <v>7.31294412928216</v>
      </c>
      <c r="X10" s="17">
        <v>5.7894668193282399</v>
      </c>
      <c r="Y10" s="17">
        <v>3.1383288865580501</v>
      </c>
      <c r="Z10" s="17">
        <v>2.0030506282479599</v>
      </c>
      <c r="AA10" s="17">
        <v>5.16338098000909</v>
      </c>
      <c r="AB10" s="17">
        <v>6.7062238299175698</v>
      </c>
      <c r="AC10" s="17" t="s">
        <v>44</v>
      </c>
    </row>
    <row r="11" spans="1:29" x14ac:dyDescent="0.2">
      <c r="A11" s="17">
        <f t="shared" si="0"/>
        <v>4.6089306461163284</v>
      </c>
      <c r="B11" s="17">
        <v>7</v>
      </c>
      <c r="C11" s="17">
        <v>4.4158396570537404</v>
      </c>
      <c r="D11" s="17">
        <v>5.06077513035265</v>
      </c>
      <c r="E11" s="17">
        <v>5.3389335284855104</v>
      </c>
      <c r="F11" s="17">
        <v>9.6550892361255105</v>
      </c>
      <c r="G11" s="17">
        <v>5.7536752447513697</v>
      </c>
      <c r="H11" s="17">
        <v>1.14920518704023</v>
      </c>
      <c r="I11" s="17">
        <v>2.25120270198035</v>
      </c>
      <c r="J11" s="17">
        <v>4.0137696618126499</v>
      </c>
      <c r="K11" s="17">
        <v>5.7349990304824097</v>
      </c>
      <c r="L11" s="17">
        <v>3.03038201214498</v>
      </c>
      <c r="M11" s="17">
        <v>2.1578728497186299</v>
      </c>
      <c r="N11" s="17">
        <v>4.7443782973034301</v>
      </c>
      <c r="O11" s="17">
        <v>7.6302871269802903</v>
      </c>
      <c r="P11" s="17">
        <v>3.9340498528374899</v>
      </c>
      <c r="Q11" s="17">
        <v>8.0014048720313706</v>
      </c>
      <c r="R11" s="17">
        <v>10.969760781266499</v>
      </c>
      <c r="S11" s="17">
        <v>3.1074296163273698</v>
      </c>
      <c r="T11" s="17">
        <v>0.74245442955658902</v>
      </c>
      <c r="U11" s="17">
        <v>0.75127396945400704</v>
      </c>
      <c r="V11" s="17">
        <v>6.3554303459579602</v>
      </c>
      <c r="W11" s="17">
        <v>2.5161756011229701</v>
      </c>
      <c r="X11" s="17">
        <v>5.1661434737715801</v>
      </c>
      <c r="Y11" s="17">
        <v>4.1886551732448298</v>
      </c>
      <c r="Z11" s="17">
        <v>5.6263754617055302</v>
      </c>
      <c r="AA11" s="17">
        <v>10.3494343557131</v>
      </c>
      <c r="AB11" s="17">
        <v>1.24171764769339</v>
      </c>
      <c r="AC11" s="17">
        <v>0.36132121116385002</v>
      </c>
    </row>
    <row r="12" spans="1:29" x14ac:dyDescent="0.2">
      <c r="A12" s="17">
        <f t="shared" si="0"/>
        <v>4.5852267546582395</v>
      </c>
      <c r="B12" s="17">
        <v>8</v>
      </c>
      <c r="C12" s="17">
        <v>3.7975431172451</v>
      </c>
      <c r="D12" s="17">
        <v>2.5464527963219501</v>
      </c>
      <c r="E12" s="17">
        <v>1.73324644793063</v>
      </c>
      <c r="F12" s="17">
        <v>12.788715668254699</v>
      </c>
      <c r="G12" s="17">
        <v>3.56080514971825</v>
      </c>
      <c r="H12" s="17">
        <v>5.3198381355886504</v>
      </c>
      <c r="I12" s="17">
        <v>6.8124077078049297</v>
      </c>
      <c r="J12" s="17">
        <v>3.6478635433626398</v>
      </c>
      <c r="K12" s="17">
        <v>2.3352396245320799</v>
      </c>
      <c r="L12" s="17">
        <v>4.7482457962134097</v>
      </c>
      <c r="M12" s="17">
        <v>5.2329619846003803</v>
      </c>
      <c r="N12" s="17">
        <v>6.2946572998855803</v>
      </c>
      <c r="O12" s="17" t="s">
        <v>44</v>
      </c>
      <c r="P12" s="17">
        <v>5.1230589371903701</v>
      </c>
      <c r="Q12" s="17">
        <v>5.1782826966229996</v>
      </c>
      <c r="R12" s="17">
        <v>2.50512054574765</v>
      </c>
      <c r="S12" s="17">
        <v>5.71105535396691</v>
      </c>
      <c r="T12" s="17">
        <v>5.8213333400219902</v>
      </c>
      <c r="U12" s="17">
        <v>8.8365167189768101</v>
      </c>
      <c r="V12" s="17">
        <v>3.34992964872546</v>
      </c>
      <c r="W12" s="17">
        <v>6.85050768111285</v>
      </c>
      <c r="X12" s="17">
        <v>4.6362025396018698</v>
      </c>
      <c r="Y12" s="17">
        <v>2.3861017138632898</v>
      </c>
      <c r="Z12" s="17">
        <v>5.9224609638639603</v>
      </c>
      <c r="AA12" s="17">
        <v>2.1617354111828901</v>
      </c>
      <c r="AB12" s="17">
        <v>0.97459018076752202</v>
      </c>
      <c r="AC12" s="17">
        <v>0.15333898059825299</v>
      </c>
    </row>
    <row r="13" spans="1:29" x14ac:dyDescent="0.2">
      <c r="A13" s="17">
        <f t="shared" si="0"/>
        <v>5.7388254427345453</v>
      </c>
      <c r="B13" s="17">
        <v>9</v>
      </c>
      <c r="C13" s="17" t="s">
        <v>44</v>
      </c>
      <c r="D13" s="17" t="s">
        <v>44</v>
      </c>
      <c r="E13" s="17" t="s">
        <v>44</v>
      </c>
      <c r="F13" s="17" t="s">
        <v>44</v>
      </c>
      <c r="G13" s="17">
        <v>8.4790160134119308</v>
      </c>
      <c r="H13" s="17" t="s">
        <v>44</v>
      </c>
      <c r="I13" s="17">
        <v>8.6011630715233398</v>
      </c>
      <c r="J13" s="17">
        <v>13.2637383024072</v>
      </c>
      <c r="K13" s="17">
        <v>3.69845836682993</v>
      </c>
      <c r="L13" s="17">
        <v>1.28202136787376</v>
      </c>
      <c r="M13" s="17" t="s">
        <v>44</v>
      </c>
      <c r="N13" s="17">
        <v>0.57214572745486603</v>
      </c>
      <c r="O13" s="17">
        <v>3.9318629700416299</v>
      </c>
      <c r="P13" s="17">
        <v>6.1480947395610803</v>
      </c>
      <c r="Q13" s="17" t="s">
        <v>44</v>
      </c>
      <c r="R13" s="17">
        <v>2.2128146839005298</v>
      </c>
      <c r="S13" s="17">
        <v>8.4096343477398303</v>
      </c>
      <c r="T13" s="17" t="s">
        <v>44</v>
      </c>
      <c r="U13" s="17" t="s">
        <v>44</v>
      </c>
      <c r="V13" s="17">
        <v>6.5281302793359002</v>
      </c>
      <c r="W13" s="17" t="s">
        <v>44</v>
      </c>
      <c r="X13" s="17" t="s">
        <v>44</v>
      </c>
      <c r="Y13" s="17" t="s">
        <v>44</v>
      </c>
      <c r="Z13" s="17" t="s">
        <v>44</v>
      </c>
      <c r="AA13" s="17" t="s">
        <v>44</v>
      </c>
      <c r="AB13" s="17" t="s">
        <v>44</v>
      </c>
      <c r="AC13" s="17" t="s">
        <v>44</v>
      </c>
    </row>
    <row r="14" spans="1:29" x14ac:dyDescent="0.2">
      <c r="A14" s="17">
        <f t="shared" si="0"/>
        <v>4.1336707868892812</v>
      </c>
      <c r="B14" s="17">
        <v>10</v>
      </c>
      <c r="C14" s="17" t="s">
        <v>44</v>
      </c>
      <c r="D14" s="17">
        <v>10.5207904398724</v>
      </c>
      <c r="E14" s="17">
        <v>3.9354025821887402</v>
      </c>
      <c r="F14" s="17">
        <v>3.1778035676362402</v>
      </c>
      <c r="G14" s="17">
        <v>1.97986636460401</v>
      </c>
      <c r="H14" s="17" t="s">
        <v>44</v>
      </c>
      <c r="I14" s="17" t="s">
        <v>44</v>
      </c>
      <c r="J14" s="17">
        <v>6.6561729203435398</v>
      </c>
      <c r="K14" s="17">
        <v>2.6080332083545898</v>
      </c>
      <c r="L14" s="17">
        <v>4.3451806933561796</v>
      </c>
      <c r="M14" s="17">
        <v>3.1240137408946902</v>
      </c>
      <c r="N14" s="17">
        <v>4.5158287002762396</v>
      </c>
      <c r="O14" s="17">
        <v>2.4924970293571498</v>
      </c>
      <c r="P14" s="17">
        <v>8.2898799565704309</v>
      </c>
      <c r="Q14" s="17">
        <v>3.1764131120354602</v>
      </c>
      <c r="R14" s="17">
        <v>5.4088833200303101</v>
      </c>
      <c r="S14" s="17">
        <v>2.1817593466313201</v>
      </c>
      <c r="T14" s="17" t="s">
        <v>44</v>
      </c>
      <c r="U14" s="17">
        <v>4.4942363930450702</v>
      </c>
      <c r="V14" s="17">
        <v>2.6246857914127601</v>
      </c>
      <c r="W14" s="17">
        <v>5.4132612719215603</v>
      </c>
      <c r="X14" s="17">
        <v>2.5011441878942402</v>
      </c>
      <c r="Y14" s="17" t="s">
        <v>44</v>
      </c>
      <c r="Z14" s="17">
        <v>0.57047697533480901</v>
      </c>
      <c r="AA14" s="17">
        <v>8.1575171026179198</v>
      </c>
      <c r="AB14" s="17">
        <v>1.7581143335149401</v>
      </c>
      <c r="AC14" s="17">
        <v>3.0087962736715901</v>
      </c>
    </row>
    <row r="15" spans="1:29" x14ac:dyDescent="0.2">
      <c r="A15" s="17">
        <f t="shared" si="0"/>
        <v>3.0514814196921347</v>
      </c>
      <c r="B15" s="17">
        <v>11</v>
      </c>
      <c r="C15" s="17">
        <v>3.5177207183051098</v>
      </c>
      <c r="D15" s="17">
        <v>1.6526382004672799</v>
      </c>
      <c r="E15" s="17">
        <v>3.3780625160450399</v>
      </c>
      <c r="F15" s="17">
        <v>2.3422095697649499</v>
      </c>
      <c r="G15" s="17">
        <v>3.0093483117967001</v>
      </c>
      <c r="H15" s="17" t="s">
        <v>44</v>
      </c>
      <c r="I15" s="17">
        <v>2.25006197102448</v>
      </c>
      <c r="J15" s="17">
        <v>4.3367955704395396</v>
      </c>
      <c r="K15" s="17">
        <v>2.8407618175359199</v>
      </c>
      <c r="L15" s="17">
        <v>1.9350707411022401</v>
      </c>
      <c r="M15" s="17">
        <v>1.32095787856369</v>
      </c>
      <c r="N15" s="17">
        <v>2.5166234519375501</v>
      </c>
      <c r="O15" s="17">
        <v>3.01613071732731</v>
      </c>
      <c r="P15" s="17">
        <v>2.2675158354669702</v>
      </c>
      <c r="Q15" s="17">
        <v>4.7514631498844597</v>
      </c>
      <c r="R15" s="17">
        <v>5.1200452280791398</v>
      </c>
      <c r="S15" s="17">
        <v>4.7179393659677196</v>
      </c>
      <c r="T15" s="17">
        <v>3.6417837793581498</v>
      </c>
      <c r="U15" s="17">
        <v>2.5096520322762998</v>
      </c>
      <c r="V15" s="17">
        <v>5.7226926423697497</v>
      </c>
      <c r="W15" s="17">
        <v>1.06032602319951</v>
      </c>
      <c r="X15" s="17">
        <v>1.72330008166322</v>
      </c>
      <c r="Y15" s="17" t="s">
        <v>44</v>
      </c>
      <c r="Z15" s="17">
        <v>2.6384322479636002</v>
      </c>
      <c r="AA15" s="17">
        <v>3.4965966966064901</v>
      </c>
      <c r="AB15" s="17">
        <v>3.4536839108293602</v>
      </c>
      <c r="AC15" s="17">
        <v>3.5334623329418702</v>
      </c>
    </row>
    <row r="16" spans="1:29" x14ac:dyDescent="0.2">
      <c r="A16" s="17">
        <f t="shared" si="0"/>
        <v>5.3370052954504361</v>
      </c>
      <c r="B16" s="17">
        <v>12</v>
      </c>
      <c r="C16" s="17" t="s">
        <v>44</v>
      </c>
      <c r="D16" s="17">
        <v>11.031712004486099</v>
      </c>
      <c r="E16" s="17" t="s">
        <v>44</v>
      </c>
      <c r="F16" s="17">
        <v>6.3205175261555002</v>
      </c>
      <c r="G16" s="17">
        <v>3.50671493758519</v>
      </c>
      <c r="H16" s="17" t="s">
        <v>44</v>
      </c>
      <c r="I16" s="17" t="s">
        <v>44</v>
      </c>
      <c r="J16" s="17">
        <v>15.148383469697301</v>
      </c>
      <c r="K16" s="17">
        <v>0.76492657568225797</v>
      </c>
      <c r="L16" s="17">
        <v>13.212007310292501</v>
      </c>
      <c r="M16" s="17">
        <v>1.30267470778005</v>
      </c>
      <c r="N16" s="17">
        <v>2.1211763579296301</v>
      </c>
      <c r="O16" s="17">
        <v>3.7581729315364898</v>
      </c>
      <c r="P16" s="17" t="s">
        <v>44</v>
      </c>
      <c r="Q16" s="17">
        <v>4.3862151972069601</v>
      </c>
      <c r="R16" s="17" t="s">
        <v>44</v>
      </c>
      <c r="S16" s="17">
        <v>3.9777256620218</v>
      </c>
      <c r="T16" s="17">
        <v>6.10132685542915</v>
      </c>
      <c r="U16" s="17">
        <v>7.4846481774146296</v>
      </c>
      <c r="V16" s="17">
        <v>4.4520169918983798</v>
      </c>
      <c r="W16" s="17">
        <v>5.8937140255646296</v>
      </c>
      <c r="X16" s="17">
        <v>2.3010308321011599</v>
      </c>
      <c r="Y16" s="17" t="s">
        <v>44</v>
      </c>
      <c r="Z16" s="17">
        <v>1.3089846134024801</v>
      </c>
      <c r="AA16" s="17">
        <v>2.5681369252924502</v>
      </c>
      <c r="AB16" s="17">
        <v>8.4129970962873504</v>
      </c>
      <c r="AC16" s="17">
        <v>2.6870237112447</v>
      </c>
    </row>
    <row r="17" spans="1:29" x14ac:dyDescent="0.2">
      <c r="A17" s="17">
        <f t="shared" si="0"/>
        <v>6.1498579056175835</v>
      </c>
      <c r="B17" s="17">
        <v>13</v>
      </c>
      <c r="C17" s="17">
        <v>17.899837245195901</v>
      </c>
      <c r="D17" s="17">
        <v>15.693282427408899</v>
      </c>
      <c r="E17" s="17">
        <v>3.3322089851350798</v>
      </c>
      <c r="F17" s="17">
        <v>7.7502867273172296</v>
      </c>
      <c r="G17" s="17">
        <v>1.1256577011964199</v>
      </c>
      <c r="H17" s="17">
        <v>10.380884112014201</v>
      </c>
      <c r="I17" s="17">
        <v>3.0295150725564302</v>
      </c>
      <c r="J17" s="17">
        <v>9.6705082596764704</v>
      </c>
      <c r="K17" s="17">
        <v>3.1853147740905201</v>
      </c>
      <c r="L17" s="17">
        <v>5.5163019945316396</v>
      </c>
      <c r="M17" s="17">
        <v>3.9208002937162498</v>
      </c>
      <c r="N17" s="17">
        <v>4.7991068456520596</v>
      </c>
      <c r="O17" s="17">
        <v>12.635613555651201</v>
      </c>
      <c r="P17" s="17">
        <v>6.9949707291761003</v>
      </c>
      <c r="Q17" s="17">
        <v>9.2252441272945607</v>
      </c>
      <c r="R17" s="17">
        <v>5.2692727604096898</v>
      </c>
      <c r="S17" s="17">
        <v>6.3337665903213498</v>
      </c>
      <c r="T17" s="17">
        <v>4.7969423696694298</v>
      </c>
      <c r="U17" s="17">
        <v>13.3464180604847</v>
      </c>
      <c r="V17" s="17">
        <v>3.7310725883946101</v>
      </c>
      <c r="W17" s="17">
        <v>8.0665774446828902</v>
      </c>
      <c r="X17" s="17">
        <v>5.5908457034877896</v>
      </c>
      <c r="Y17" s="17">
        <v>4.4228089179331302</v>
      </c>
      <c r="Z17" s="17">
        <v>1.94303247635549</v>
      </c>
      <c r="AA17" s="17">
        <v>2.7612317322411801</v>
      </c>
      <c r="AB17" s="17" t="s">
        <v>44</v>
      </c>
      <c r="AC17" s="17">
        <v>0.22478339104229</v>
      </c>
    </row>
    <row r="18" spans="1:29" x14ac:dyDescent="0.2">
      <c r="A18" s="17">
        <f t="shared" si="0"/>
        <v>5.1557073849212252</v>
      </c>
      <c r="B18" s="17">
        <v>14</v>
      </c>
      <c r="C18" s="17">
        <v>5.7607853740027499</v>
      </c>
      <c r="D18" s="17">
        <v>10.2419033719049</v>
      </c>
      <c r="E18" s="17">
        <v>3.7149250018096098</v>
      </c>
      <c r="F18" s="17">
        <v>4.2575836741782203</v>
      </c>
      <c r="G18" s="17">
        <v>6.1549307547118204</v>
      </c>
      <c r="H18" s="17">
        <v>7.9041568127201502</v>
      </c>
      <c r="I18" s="17">
        <v>6.2845762045747096</v>
      </c>
      <c r="J18" s="17">
        <v>0.52751256330494001</v>
      </c>
      <c r="K18" s="17">
        <v>2.9610161653085898</v>
      </c>
      <c r="L18" s="17">
        <v>2.31640533651123</v>
      </c>
      <c r="M18" s="17">
        <v>6.3265020779760404</v>
      </c>
      <c r="N18" s="17">
        <v>4.3887674624133801</v>
      </c>
      <c r="O18" s="17">
        <v>8.1921447801616498</v>
      </c>
      <c r="P18" s="17">
        <v>7.7827870896642404</v>
      </c>
      <c r="Q18" s="17">
        <v>3.8758022458428401</v>
      </c>
      <c r="R18" s="17">
        <v>4.4640895887120298</v>
      </c>
      <c r="S18" s="17">
        <v>5.3523913872322302</v>
      </c>
      <c r="T18" s="17">
        <v>8.0776635704036597</v>
      </c>
      <c r="U18" s="17" t="s">
        <v>44</v>
      </c>
      <c r="V18" s="17">
        <v>6.1776167093363199</v>
      </c>
      <c r="W18" s="17">
        <v>3.9198705720849101</v>
      </c>
      <c r="X18" s="17">
        <v>8.4728731709657001</v>
      </c>
      <c r="Y18" s="17">
        <v>4.8179469030103199</v>
      </c>
      <c r="Z18" s="17">
        <v>6.9465842732333698</v>
      </c>
      <c r="AA18" s="17">
        <v>0.432219008939008</v>
      </c>
      <c r="AB18" s="17">
        <v>0.14670851310953401</v>
      </c>
      <c r="AC18" s="17" t="s">
        <v>44</v>
      </c>
    </row>
    <row r="19" spans="1:29" x14ac:dyDescent="0.2">
      <c r="A19" s="17">
        <f t="shared" si="0"/>
        <v>3.8150613517410208</v>
      </c>
      <c r="B19" s="17">
        <v>15</v>
      </c>
      <c r="C19" s="17">
        <v>18.175916712600699</v>
      </c>
      <c r="D19" s="17">
        <v>2.5130603246186101</v>
      </c>
      <c r="E19" s="17">
        <v>1.9466902418399901</v>
      </c>
      <c r="F19" s="17">
        <v>5.6490513860978098</v>
      </c>
      <c r="G19" s="17">
        <v>2.6241132327560699</v>
      </c>
      <c r="H19" s="17">
        <v>4.8575576428172598</v>
      </c>
      <c r="I19" s="17">
        <v>4.5712594640757196</v>
      </c>
      <c r="J19" s="17">
        <v>12.561965897948401</v>
      </c>
      <c r="K19" s="17">
        <v>5.05375868369679</v>
      </c>
      <c r="L19" s="17">
        <v>0.54880711909845503</v>
      </c>
      <c r="M19" s="17">
        <v>2.7787797669959899</v>
      </c>
      <c r="N19" s="17">
        <v>2.5715532378161399</v>
      </c>
      <c r="O19" s="17">
        <v>2.84348469371086</v>
      </c>
      <c r="P19" s="17">
        <v>2.5194099795247999</v>
      </c>
      <c r="Q19" s="17">
        <v>6.5745962774776396</v>
      </c>
      <c r="R19" s="17">
        <v>4.4471876407465301</v>
      </c>
      <c r="S19" s="17" t="s">
        <v>44</v>
      </c>
      <c r="T19" s="17">
        <v>3.3426023894096502</v>
      </c>
      <c r="U19" s="17">
        <v>1.3795741911477599</v>
      </c>
      <c r="V19" s="17">
        <v>3.7049174907216602</v>
      </c>
      <c r="W19" s="17">
        <v>5.1414884004496004</v>
      </c>
      <c r="X19" s="17">
        <v>9.4852682112593794</v>
      </c>
      <c r="Y19" s="17">
        <v>2.4486848455635601</v>
      </c>
      <c r="Z19" s="17">
        <v>0.150702078453535</v>
      </c>
      <c r="AA19" s="17">
        <v>1.0049902773202299</v>
      </c>
      <c r="AB19" s="17">
        <v>2.84196896823806</v>
      </c>
      <c r="AC19" s="17" t="s">
        <v>44</v>
      </c>
    </row>
    <row r="20" spans="1:29" x14ac:dyDescent="0.2">
      <c r="A20" s="17">
        <f t="shared" si="0"/>
        <v>3.3446150365562763</v>
      </c>
      <c r="B20" s="17">
        <v>16</v>
      </c>
      <c r="C20" s="17">
        <v>3.3705000486671799</v>
      </c>
      <c r="D20" s="17" t="s">
        <v>44</v>
      </c>
      <c r="E20" s="17">
        <v>3.0525606099155498</v>
      </c>
      <c r="F20" s="17">
        <v>4.7014753554805999</v>
      </c>
      <c r="G20" s="17">
        <v>3.4052278856555001</v>
      </c>
      <c r="H20" s="17" t="s">
        <v>44</v>
      </c>
      <c r="I20" s="17">
        <v>4.8217053048597904</v>
      </c>
      <c r="J20" s="17" t="s">
        <v>44</v>
      </c>
      <c r="K20" s="17" t="s">
        <v>44</v>
      </c>
      <c r="L20" s="17">
        <v>1.88986998960746</v>
      </c>
      <c r="M20" s="17">
        <v>4.9807288024320897</v>
      </c>
      <c r="N20" s="17">
        <v>3.68185769394649</v>
      </c>
      <c r="O20" s="17" t="s">
        <v>44</v>
      </c>
      <c r="P20" s="17" t="s">
        <v>44</v>
      </c>
      <c r="Q20" s="17">
        <v>4.4577263986999203</v>
      </c>
      <c r="R20" s="17" t="s">
        <v>44</v>
      </c>
      <c r="S20" s="17">
        <v>2.3071559116657601</v>
      </c>
      <c r="T20" s="17">
        <v>3.6602573613285601</v>
      </c>
      <c r="U20" s="17">
        <v>1.8759760184018901</v>
      </c>
      <c r="V20" s="17">
        <v>2.5274749408567998</v>
      </c>
      <c r="W20" s="17" t="s">
        <v>44</v>
      </c>
      <c r="X20" s="17">
        <v>7.2500458208060898</v>
      </c>
      <c r="Y20" s="17">
        <v>1.8101293447367399</v>
      </c>
      <c r="Z20" s="17">
        <v>1.7857880399659101</v>
      </c>
      <c r="AA20" s="17" t="s">
        <v>44</v>
      </c>
      <c r="AB20" s="17">
        <v>3.3378170480855101</v>
      </c>
      <c r="AC20" s="17">
        <v>1.31265909501204</v>
      </c>
    </row>
    <row r="21" spans="1:29" x14ac:dyDescent="0.2">
      <c r="A21" s="17">
        <f t="shared" si="0"/>
        <v>5.1444080889367854</v>
      </c>
      <c r="B21" s="17">
        <v>17</v>
      </c>
      <c r="C21" s="17" t="s">
        <v>44</v>
      </c>
      <c r="D21" s="17">
        <v>12.2085909132942</v>
      </c>
      <c r="E21" s="17">
        <v>7.9327429387041297</v>
      </c>
      <c r="F21" s="17">
        <v>6.17819035845352</v>
      </c>
      <c r="G21" s="17" t="s">
        <v>44</v>
      </c>
      <c r="H21" s="17" t="s">
        <v>44</v>
      </c>
      <c r="I21" s="17">
        <v>7.1332033234912098</v>
      </c>
      <c r="J21" s="17">
        <v>4.14919339645337</v>
      </c>
      <c r="K21" s="17">
        <v>1.27508732656301</v>
      </c>
      <c r="L21" s="17">
        <v>3.64571203709641</v>
      </c>
      <c r="M21" s="17" t="s">
        <v>44</v>
      </c>
      <c r="N21" s="17">
        <v>6.7282657231374801</v>
      </c>
      <c r="O21" s="17" t="s">
        <v>44</v>
      </c>
      <c r="P21" s="17" t="s">
        <v>44</v>
      </c>
      <c r="Q21" s="17">
        <v>13.7380854254372</v>
      </c>
      <c r="R21" s="17">
        <v>4.0076754044851697</v>
      </c>
      <c r="S21" s="17">
        <v>2.3693553636262101</v>
      </c>
      <c r="T21" s="17">
        <v>9.9647897130004193</v>
      </c>
      <c r="U21" s="17" t="s">
        <v>44</v>
      </c>
      <c r="V21" s="17">
        <v>1.00027159511783</v>
      </c>
      <c r="W21" s="17">
        <v>2.9200506141245501</v>
      </c>
      <c r="X21" s="17">
        <v>8.1671163965413793</v>
      </c>
      <c r="Y21" s="17" t="s">
        <v>44</v>
      </c>
      <c r="Z21" s="17">
        <v>0.457758254329519</v>
      </c>
      <c r="AA21" s="17">
        <v>8.8289565117709204E-2</v>
      </c>
      <c r="AB21" s="17" t="s">
        <v>44</v>
      </c>
      <c r="AC21" s="17">
        <v>0.63496725188884195</v>
      </c>
    </row>
    <row r="22" spans="1:29" x14ac:dyDescent="0.2">
      <c r="A22" s="17">
        <f t="shared" si="0"/>
        <v>4.7665511237609168</v>
      </c>
      <c r="B22" s="17">
        <v>18</v>
      </c>
      <c r="C22" s="17">
        <v>5.6895499962521496</v>
      </c>
      <c r="D22" s="17">
        <v>3.2264339453808599</v>
      </c>
      <c r="E22" s="17">
        <v>4.9152818738592501</v>
      </c>
      <c r="F22" s="17" t="s">
        <v>44</v>
      </c>
      <c r="G22" s="17">
        <v>1.71000001756005</v>
      </c>
      <c r="H22" s="17">
        <v>3.7185220708260802</v>
      </c>
      <c r="I22" s="17">
        <v>0.50024457359149299</v>
      </c>
      <c r="J22" s="17">
        <v>10.1429807205333</v>
      </c>
      <c r="K22" s="17">
        <v>2.6974620830139</v>
      </c>
      <c r="L22" s="17" t="s">
        <v>44</v>
      </c>
      <c r="M22" s="17" t="s">
        <v>44</v>
      </c>
      <c r="N22" s="17">
        <v>4.5116166615946502</v>
      </c>
      <c r="O22" s="17" t="s">
        <v>44</v>
      </c>
      <c r="P22" s="17">
        <v>13.0732889480343</v>
      </c>
      <c r="Q22" s="17">
        <v>3.1844426747955499</v>
      </c>
      <c r="R22" s="17">
        <v>6.5433197885929797</v>
      </c>
      <c r="S22" s="17">
        <v>1.56709218602838</v>
      </c>
      <c r="T22" s="17">
        <v>1.5860017076541899</v>
      </c>
      <c r="U22" s="17">
        <v>7.68184951725397</v>
      </c>
      <c r="V22" s="17">
        <v>5.9247120702565503</v>
      </c>
      <c r="W22" s="17">
        <v>4.5548841498428496</v>
      </c>
      <c r="X22" s="17">
        <v>7.4981101715187197</v>
      </c>
      <c r="Y22" s="17">
        <v>6.1470979541830699</v>
      </c>
      <c r="Z22" s="17">
        <v>9.9713437110986192</v>
      </c>
      <c r="AA22" s="17">
        <v>3.6578489204348701</v>
      </c>
      <c r="AB22" s="17">
        <v>1.54877323320045</v>
      </c>
      <c r="AC22" s="17">
        <v>0.50281774348609998</v>
      </c>
    </row>
    <row r="23" spans="1:29" x14ac:dyDescent="0.2">
      <c r="A23" s="17">
        <f t="shared" si="0"/>
        <v>2.9160805360216147</v>
      </c>
      <c r="B23" s="17">
        <v>19</v>
      </c>
      <c r="C23" s="17">
        <v>0.63681450129679695</v>
      </c>
      <c r="D23" s="17">
        <v>3.3127412835163299</v>
      </c>
      <c r="E23" s="17">
        <v>1.91094413385184</v>
      </c>
      <c r="F23" s="17">
        <v>1.91662065146576</v>
      </c>
      <c r="G23" s="17">
        <v>1.9223892397103799</v>
      </c>
      <c r="H23" s="17">
        <v>1.5424666861666201</v>
      </c>
      <c r="I23" s="17">
        <v>3.1212438987048801</v>
      </c>
      <c r="J23" s="17">
        <v>5.26773505766021</v>
      </c>
      <c r="K23" s="17" t="s">
        <v>44</v>
      </c>
      <c r="L23" s="17" t="s">
        <v>44</v>
      </c>
      <c r="M23" s="17">
        <v>2.3925496262575598</v>
      </c>
      <c r="N23" s="17" t="s">
        <v>44</v>
      </c>
      <c r="O23" s="17">
        <v>0.71304323546096604</v>
      </c>
      <c r="P23" s="17">
        <v>2.1404274096806901</v>
      </c>
      <c r="Q23" s="17" t="s">
        <v>44</v>
      </c>
      <c r="R23" s="17">
        <v>2.85543612495389</v>
      </c>
      <c r="S23" s="17">
        <v>5.29176519604958</v>
      </c>
      <c r="T23" s="17" t="s">
        <v>44</v>
      </c>
      <c r="U23" s="17" t="s">
        <v>44</v>
      </c>
      <c r="V23" s="17">
        <v>3.9173111925524902</v>
      </c>
      <c r="W23" s="17">
        <v>6.0100418581054402</v>
      </c>
      <c r="X23" s="17">
        <v>2.2390269669528098</v>
      </c>
      <c r="Y23" s="17">
        <v>2.9708532281976798</v>
      </c>
      <c r="Z23" s="17">
        <v>2.3636428827250602</v>
      </c>
      <c r="AA23" s="17">
        <v>1.84504119997698</v>
      </c>
      <c r="AB23" s="17">
        <v>4.5478232170150603</v>
      </c>
      <c r="AC23" s="17">
        <v>2.0405076314280701</v>
      </c>
    </row>
    <row r="24" spans="1:29" x14ac:dyDescent="0.2">
      <c r="A24" s="17">
        <f t="shared" si="0"/>
        <v>4.3369983303461366</v>
      </c>
      <c r="B24" s="17">
        <v>20</v>
      </c>
      <c r="C24" s="17">
        <v>4.9946312712155203</v>
      </c>
      <c r="D24" s="17">
        <v>5.5031618556953399</v>
      </c>
      <c r="E24" s="17">
        <v>7.4110455535266304</v>
      </c>
      <c r="F24" s="17">
        <v>2.0298269917496601</v>
      </c>
      <c r="G24" s="17">
        <v>3.2122854736185902</v>
      </c>
      <c r="H24" s="17">
        <v>3.1135981794694101</v>
      </c>
      <c r="I24" s="17">
        <v>3.2128389843760701</v>
      </c>
      <c r="J24" s="17">
        <v>5.7986422794873604</v>
      </c>
      <c r="K24" s="17" t="s">
        <v>44</v>
      </c>
      <c r="L24" s="17">
        <v>8.1789351750758605</v>
      </c>
      <c r="M24" s="17">
        <v>7.29901569932239</v>
      </c>
      <c r="N24" s="17">
        <v>3.14403632580856</v>
      </c>
      <c r="O24" s="17">
        <v>0.42944594032932698</v>
      </c>
      <c r="P24" s="17">
        <v>2.77219658027184</v>
      </c>
      <c r="Q24" s="17">
        <v>8.3243804934949299</v>
      </c>
      <c r="R24" s="17" t="s">
        <v>44</v>
      </c>
      <c r="S24" s="17">
        <v>4.0346603485237402</v>
      </c>
      <c r="T24" s="17" t="s">
        <v>44</v>
      </c>
      <c r="U24" s="17">
        <v>3.9701265008509501</v>
      </c>
      <c r="V24" s="17">
        <v>3.9737520492014702</v>
      </c>
      <c r="W24" s="17">
        <v>4.3243074420959999</v>
      </c>
      <c r="X24" s="17">
        <v>5.0852251775381001</v>
      </c>
      <c r="Y24" s="17">
        <v>1.5241842905622101</v>
      </c>
      <c r="Z24" s="17" t="s">
        <v>44</v>
      </c>
      <c r="AA24" s="17">
        <v>3.6420191637250201</v>
      </c>
      <c r="AB24" s="17">
        <v>3.8303045883179698</v>
      </c>
      <c r="AC24" s="17">
        <v>4.59997417457358</v>
      </c>
    </row>
    <row r="25" spans="1:29" x14ac:dyDescent="0.2">
      <c r="A25" s="17">
        <f t="shared" si="0"/>
        <v>4.4225869420968955</v>
      </c>
      <c r="B25" s="17">
        <v>21</v>
      </c>
      <c r="C25" s="17">
        <v>8.8694162308128099</v>
      </c>
      <c r="D25" s="17">
        <v>5.63525507394949</v>
      </c>
      <c r="E25" s="17">
        <v>1.87483814782645</v>
      </c>
      <c r="F25" s="17">
        <v>3.3618334246049102</v>
      </c>
      <c r="G25" s="17">
        <v>4.5045021306162703</v>
      </c>
      <c r="H25" s="17">
        <v>1.5129356793355699</v>
      </c>
      <c r="I25" s="17">
        <v>9.1620328612965292</v>
      </c>
      <c r="J25" s="17">
        <v>4.5389688616552997</v>
      </c>
      <c r="K25" s="17">
        <v>1.65571427335821</v>
      </c>
      <c r="L25" s="17">
        <v>5.39476729939084</v>
      </c>
      <c r="M25" s="17">
        <v>6.0827237986315597</v>
      </c>
      <c r="N25" s="17">
        <v>6.0070102561270202</v>
      </c>
      <c r="O25" s="17" t="s">
        <v>44</v>
      </c>
      <c r="P25" s="17">
        <v>10.395075891411199</v>
      </c>
      <c r="Q25" s="17">
        <v>8.9980313914865899</v>
      </c>
      <c r="R25" s="17">
        <v>5.1767194766193301</v>
      </c>
      <c r="S25" s="17">
        <v>7.7202340257296003</v>
      </c>
      <c r="T25" s="17" t="s">
        <v>44</v>
      </c>
      <c r="U25" s="17">
        <v>1.4729236579604901</v>
      </c>
      <c r="V25" s="17">
        <v>2.56268794372814</v>
      </c>
      <c r="W25" s="17">
        <v>8.5442778264830395</v>
      </c>
      <c r="X25" s="17">
        <v>1.9473344477158301</v>
      </c>
      <c r="Y25" s="17">
        <v>0</v>
      </c>
      <c r="Z25" s="17">
        <v>0.29346638022600302</v>
      </c>
      <c r="AA25" s="17">
        <v>2.9178874336099101</v>
      </c>
      <c r="AB25" s="17" t="s">
        <v>44</v>
      </c>
      <c r="AC25" s="17">
        <v>1.9602793864663299</v>
      </c>
    </row>
    <row r="26" spans="1:29" x14ac:dyDescent="0.2">
      <c r="A26" s="17">
        <f t="shared" si="0"/>
        <v>3.3627439887567809</v>
      </c>
      <c r="B26" s="17">
        <v>22</v>
      </c>
      <c r="C26" s="17" t="s">
        <v>44</v>
      </c>
      <c r="D26" s="17">
        <v>3.3570552198968802</v>
      </c>
      <c r="E26" s="17" t="s">
        <v>44</v>
      </c>
      <c r="F26" s="17">
        <v>2.1039456142779702</v>
      </c>
      <c r="G26" s="17">
        <v>1.6095520771494001</v>
      </c>
      <c r="H26" s="17" t="s">
        <v>44</v>
      </c>
      <c r="I26" s="17">
        <v>1.9868513598489099</v>
      </c>
      <c r="J26" s="17">
        <v>1.4470220240146201</v>
      </c>
      <c r="K26" s="17" t="s">
        <v>44</v>
      </c>
      <c r="L26" s="17">
        <v>2.7864808311182898</v>
      </c>
      <c r="M26" s="17">
        <v>8.0726387988800301</v>
      </c>
      <c r="N26" s="17">
        <v>3.5211975527128101</v>
      </c>
      <c r="O26" s="17" t="s">
        <v>44</v>
      </c>
      <c r="P26" s="17">
        <v>3.02179145156137</v>
      </c>
      <c r="Q26" s="17" t="s">
        <v>44</v>
      </c>
      <c r="R26" s="17">
        <v>8.2973364125156301</v>
      </c>
      <c r="S26" s="17">
        <v>1.07879733255498</v>
      </c>
      <c r="T26" s="17">
        <v>5.7476692628731598</v>
      </c>
      <c r="U26" s="17">
        <v>3.2438040192028201</v>
      </c>
      <c r="V26" s="17" t="s">
        <v>44</v>
      </c>
      <c r="W26" s="17">
        <v>2.8743890712101701</v>
      </c>
      <c r="X26" s="17">
        <v>6.7146402655462598</v>
      </c>
      <c r="Y26" s="17" t="s">
        <v>44</v>
      </c>
      <c r="Z26" s="17">
        <v>0.60042267489863299</v>
      </c>
      <c r="AA26" s="17" t="s">
        <v>44</v>
      </c>
      <c r="AB26" s="17" t="s">
        <v>44</v>
      </c>
      <c r="AC26" s="17">
        <v>0.70305384060335296</v>
      </c>
    </row>
    <row r="27" spans="1:29" x14ac:dyDescent="0.2">
      <c r="A27" s="17">
        <f t="shared" si="0"/>
        <v>4.569181112432207</v>
      </c>
      <c r="B27" s="17">
        <v>23</v>
      </c>
      <c r="C27" s="17" t="s">
        <v>44</v>
      </c>
      <c r="D27" s="17">
        <v>7.4700022803706796</v>
      </c>
      <c r="E27" s="17">
        <v>0.48145542852121798</v>
      </c>
      <c r="F27" s="17">
        <v>4.5478215860497402</v>
      </c>
      <c r="G27" s="17">
        <v>3.0547386121560098</v>
      </c>
      <c r="H27" s="17" t="s">
        <v>44</v>
      </c>
      <c r="I27" s="17">
        <v>6.2524421532038401</v>
      </c>
      <c r="J27" s="17">
        <v>4.5224559210625896</v>
      </c>
      <c r="K27" s="17">
        <v>2.7927435144309101</v>
      </c>
      <c r="L27" s="17">
        <v>5.3497495845262302</v>
      </c>
      <c r="M27" s="17">
        <v>2.18043980904707</v>
      </c>
      <c r="N27" s="17">
        <v>4.01732096845799</v>
      </c>
      <c r="O27" s="17">
        <v>3.5875388339048899</v>
      </c>
      <c r="P27" s="17" t="s">
        <v>44</v>
      </c>
      <c r="Q27" s="17">
        <v>3.1042166475945199</v>
      </c>
      <c r="R27" s="17">
        <v>2.7839989280548898</v>
      </c>
      <c r="S27" s="17">
        <v>7.0226360048423402</v>
      </c>
      <c r="T27" s="17" t="s">
        <v>44</v>
      </c>
      <c r="U27" s="17">
        <v>9.3839206141817098</v>
      </c>
      <c r="V27" s="17">
        <v>11.0684122194733</v>
      </c>
      <c r="W27" s="17">
        <v>5.8405095372095897</v>
      </c>
      <c r="X27" s="17">
        <v>2.8172307351568202</v>
      </c>
      <c r="Y27" s="17" t="s">
        <v>44</v>
      </c>
      <c r="Z27" s="17">
        <v>1.55326781742043</v>
      </c>
      <c r="AA27" s="17">
        <v>7.6838943396521699</v>
      </c>
      <c r="AB27" s="17" t="s">
        <v>44</v>
      </c>
      <c r="AC27" s="17">
        <v>0.438007825759408</v>
      </c>
    </row>
    <row r="28" spans="1:29" x14ac:dyDescent="0.2">
      <c r="A28" s="17">
        <f t="shared" si="0"/>
        <v>3.5329550888094308</v>
      </c>
      <c r="B28" s="17">
        <v>24</v>
      </c>
      <c r="C28" s="17">
        <v>7.4464224565572801</v>
      </c>
      <c r="D28" s="17">
        <v>5.1564809587929901</v>
      </c>
      <c r="E28" s="17">
        <v>3.9347518650749</v>
      </c>
      <c r="F28" s="17">
        <v>3.0964513545179702</v>
      </c>
      <c r="G28" s="17">
        <v>5.0673290862709601</v>
      </c>
      <c r="H28" s="17">
        <v>8.5539761671811707</v>
      </c>
      <c r="I28" s="17">
        <v>0</v>
      </c>
      <c r="J28" s="17">
        <v>4.1460758549056704</v>
      </c>
      <c r="K28" s="17" t="s">
        <v>44</v>
      </c>
      <c r="L28" s="17">
        <v>2.5487637220571102</v>
      </c>
      <c r="M28" s="17">
        <v>2.2082432591290799</v>
      </c>
      <c r="N28" s="17" t="s">
        <v>44</v>
      </c>
      <c r="O28" s="17" t="s">
        <v>44</v>
      </c>
      <c r="P28" s="17">
        <v>4.8652592910571197</v>
      </c>
      <c r="Q28" s="17">
        <v>4.1958264885392698</v>
      </c>
      <c r="R28" s="17">
        <v>1.32147450546204</v>
      </c>
      <c r="S28" s="17">
        <v>1.8235055302841101</v>
      </c>
      <c r="T28" s="17">
        <v>0.74078772828851103</v>
      </c>
      <c r="U28" s="17">
        <v>0.120030650478685</v>
      </c>
      <c r="V28" s="17">
        <v>0.27075547981772302</v>
      </c>
      <c r="W28" s="17">
        <v>7.8103135935483001</v>
      </c>
      <c r="X28" s="17">
        <v>8.6300180446835206</v>
      </c>
      <c r="Y28" s="17">
        <v>0.67413701670967996</v>
      </c>
      <c r="Z28" s="17">
        <v>7.0100840934328499</v>
      </c>
      <c r="AA28" s="17">
        <v>0.64678894635678796</v>
      </c>
      <c r="AB28" s="17" t="s">
        <v>44</v>
      </c>
      <c r="AC28" s="17">
        <v>4.9039583172190202</v>
      </c>
    </row>
    <row r="29" spans="1:29" x14ac:dyDescent="0.2">
      <c r="A29" s="17">
        <f t="shared" si="0"/>
        <v>3.159817768758419</v>
      </c>
      <c r="B29" s="17">
        <v>25</v>
      </c>
      <c r="C29" s="17" t="s">
        <v>44</v>
      </c>
      <c r="D29" s="17">
        <v>5.5439387543158798</v>
      </c>
      <c r="E29" s="17" t="s">
        <v>44</v>
      </c>
      <c r="F29" s="17">
        <v>2.2863452274340399</v>
      </c>
      <c r="G29" s="17">
        <v>1.8928805398062001</v>
      </c>
      <c r="H29" s="17" t="s">
        <v>44</v>
      </c>
      <c r="I29" s="17">
        <v>1.4741150818523501</v>
      </c>
      <c r="J29" s="17">
        <v>3.68317762868912</v>
      </c>
      <c r="K29" s="17" t="s">
        <v>44</v>
      </c>
      <c r="L29" s="17">
        <v>6.4570717829807798</v>
      </c>
      <c r="M29" s="17" t="s">
        <v>44</v>
      </c>
      <c r="N29" s="17">
        <v>2.8675435870131998</v>
      </c>
      <c r="O29" s="17">
        <v>0.78701872007752005</v>
      </c>
      <c r="P29" s="17" t="s">
        <v>44</v>
      </c>
      <c r="Q29" s="17">
        <v>2.5054678858212398</v>
      </c>
      <c r="R29" s="17" t="s">
        <v>44</v>
      </c>
      <c r="S29" s="17">
        <v>1.5295801497828401</v>
      </c>
      <c r="T29" s="17" t="s">
        <v>44</v>
      </c>
      <c r="U29" s="17">
        <v>8.4081466436548595</v>
      </c>
      <c r="V29" s="17">
        <v>1.3284675161221</v>
      </c>
      <c r="W29" s="17">
        <v>3.0307328444840498</v>
      </c>
      <c r="X29" s="17">
        <v>3.2941175770264901</v>
      </c>
      <c r="Y29" s="17" t="s">
        <v>44</v>
      </c>
      <c r="Z29" s="17">
        <v>3.01985434307172</v>
      </c>
      <c r="AA29" s="17" t="s">
        <v>44</v>
      </c>
      <c r="AB29" s="17">
        <v>3.5030630333129902</v>
      </c>
      <c r="AC29" s="17">
        <v>2.1053807534477502</v>
      </c>
    </row>
    <row r="30" spans="1:29" x14ac:dyDescent="0.2">
      <c r="A30" s="17">
        <f t="shared" si="0"/>
        <v>7.4871022638004394</v>
      </c>
      <c r="B30" s="17">
        <v>26</v>
      </c>
      <c r="C30" s="17">
        <v>11.465548743064501</v>
      </c>
      <c r="D30" s="17" t="s">
        <v>44</v>
      </c>
      <c r="E30" s="17">
        <v>1.4940720906182201</v>
      </c>
      <c r="F30" s="17">
        <v>8.8586013094235199</v>
      </c>
      <c r="G30" s="17">
        <v>8.4446785585720292</v>
      </c>
      <c r="H30" s="17">
        <v>9.4745350864624207</v>
      </c>
      <c r="I30" s="17" t="s">
        <v>44</v>
      </c>
      <c r="J30" s="17" t="s">
        <v>44</v>
      </c>
      <c r="K30" s="17">
        <v>3.3386360147183001</v>
      </c>
      <c r="L30" s="17">
        <v>9.8284294667120804</v>
      </c>
      <c r="M30" s="17">
        <v>2.43669808023893</v>
      </c>
      <c r="N30" s="17">
        <v>13.677034647527</v>
      </c>
      <c r="O30" s="17">
        <v>9.6100380517931505</v>
      </c>
      <c r="P30" s="17">
        <v>3.9573361656761099</v>
      </c>
      <c r="Q30" s="17">
        <v>7.7930253663532199</v>
      </c>
      <c r="R30" s="17">
        <v>21.519990619482201</v>
      </c>
      <c r="S30" s="17">
        <v>10.091064213544501</v>
      </c>
      <c r="T30" s="17">
        <v>5.3438506060320101</v>
      </c>
      <c r="U30" s="17">
        <v>8.0489954020118102</v>
      </c>
      <c r="V30" s="17">
        <v>6.0086145866088101</v>
      </c>
      <c r="W30" s="17">
        <v>9.6955567505413605</v>
      </c>
      <c r="X30" s="17" t="s">
        <v>44</v>
      </c>
      <c r="Y30" s="17">
        <v>6.10125115303003</v>
      </c>
      <c r="Z30" s="17">
        <v>3.4286936282533</v>
      </c>
      <c r="AA30" s="17" t="s">
        <v>44</v>
      </c>
      <c r="AB30" s="17">
        <v>6.7909868947143002</v>
      </c>
      <c r="AC30" s="17">
        <v>1.2870588474959099</v>
      </c>
    </row>
    <row r="31" spans="1:29" x14ac:dyDescent="0.2">
      <c r="A31" s="17">
        <f t="shared" si="0"/>
        <v>4.2738731202479379</v>
      </c>
      <c r="B31" s="17">
        <v>27</v>
      </c>
      <c r="C31" s="17">
        <v>5.3376532286923597</v>
      </c>
      <c r="D31" s="17">
        <v>8.3322855158223401</v>
      </c>
      <c r="E31" s="17">
        <v>3.5816037157297398</v>
      </c>
      <c r="F31" s="17">
        <v>2.9050488749510501</v>
      </c>
      <c r="G31" s="17">
        <v>7.3578227565640404</v>
      </c>
      <c r="H31" s="17">
        <v>3.91823535312672</v>
      </c>
      <c r="I31" s="17">
        <v>3.0738239872732001</v>
      </c>
      <c r="J31" s="17">
        <v>3.1819050480237201</v>
      </c>
      <c r="K31" s="17" t="s">
        <v>44</v>
      </c>
      <c r="L31" s="17">
        <v>5.23179652863376</v>
      </c>
      <c r="M31" s="17">
        <v>2.4644633397417399</v>
      </c>
      <c r="N31" s="17">
        <v>3.61093503769112</v>
      </c>
      <c r="O31" s="17">
        <v>6.0765034914554503</v>
      </c>
      <c r="P31" s="17">
        <v>5.44360032068876</v>
      </c>
      <c r="Q31" s="17">
        <v>0.63971349398253397</v>
      </c>
      <c r="R31" s="17">
        <v>3.4385136794770701</v>
      </c>
      <c r="S31" s="17">
        <v>5.6099329496106796</v>
      </c>
      <c r="T31" s="17">
        <v>3.4807346906555101</v>
      </c>
      <c r="U31" s="17">
        <v>3.35121611595781</v>
      </c>
      <c r="V31" s="17">
        <v>3.7088062954439902</v>
      </c>
      <c r="W31" s="17">
        <v>8.1895276826905903</v>
      </c>
      <c r="X31" s="17">
        <v>8.4039559072629597</v>
      </c>
      <c r="Y31" s="17" t="s">
        <v>44</v>
      </c>
      <c r="Z31" s="17">
        <v>0.35724125378049298</v>
      </c>
      <c r="AA31" s="17">
        <v>2.4273881803049302</v>
      </c>
      <c r="AB31" s="17">
        <v>5.3904509299033503</v>
      </c>
      <c r="AC31" s="17">
        <v>2.39744973717896</v>
      </c>
    </row>
    <row r="32" spans="1:29" x14ac:dyDescent="0.2">
      <c r="A32" s="17">
        <f t="shared" si="0"/>
        <v>3.7191946634708168</v>
      </c>
      <c r="B32" s="17">
        <v>28</v>
      </c>
      <c r="C32" s="17">
        <v>3.8911539405610802</v>
      </c>
      <c r="D32" s="17">
        <v>9.5658444281118307</v>
      </c>
      <c r="E32" s="17">
        <v>0.82290787028707402</v>
      </c>
      <c r="F32" s="17">
        <v>3.4890573734779302</v>
      </c>
      <c r="G32" s="17" t="s">
        <v>44</v>
      </c>
      <c r="H32" s="17" t="s">
        <v>44</v>
      </c>
      <c r="I32" s="17">
        <v>5.02090332152477</v>
      </c>
      <c r="J32" s="17">
        <v>4.0596293497331999</v>
      </c>
      <c r="K32" s="17">
        <v>1.98085163804765</v>
      </c>
      <c r="L32" s="17">
        <v>1.74617656334663</v>
      </c>
      <c r="M32" s="17">
        <v>2.1483249115945999</v>
      </c>
      <c r="N32" s="17" t="s">
        <v>44</v>
      </c>
      <c r="O32" s="17">
        <v>1.1536100149388799</v>
      </c>
      <c r="P32" s="17">
        <v>2.2320526910247902</v>
      </c>
      <c r="Q32" s="17">
        <v>2.86840375609196</v>
      </c>
      <c r="R32" s="17">
        <v>2.0440275123635701</v>
      </c>
      <c r="S32" s="17">
        <v>3.3465882153108599</v>
      </c>
      <c r="T32" s="17">
        <v>1.96918598251114</v>
      </c>
      <c r="U32" s="17">
        <v>3.3026275849768201</v>
      </c>
      <c r="V32" s="17">
        <v>6.9792668409520697</v>
      </c>
      <c r="W32" s="17">
        <v>4.1439827142813499</v>
      </c>
      <c r="X32" s="17" t="s">
        <v>44</v>
      </c>
      <c r="Y32" s="17">
        <v>2.22257652541419</v>
      </c>
      <c r="Z32" s="17">
        <v>1.6905268588471301</v>
      </c>
      <c r="AA32" s="17" t="s">
        <v>44</v>
      </c>
      <c r="AB32" s="17">
        <v>9.1614618378636496</v>
      </c>
      <c r="AC32" s="17">
        <v>8.1550819421870493</v>
      </c>
    </row>
    <row r="33" spans="1:29" x14ac:dyDescent="0.2">
      <c r="A33" s="17">
        <f t="shared" si="0"/>
        <v>7.0610945576135853</v>
      </c>
      <c r="B33" s="17">
        <v>29</v>
      </c>
      <c r="C33" s="17">
        <v>12.667480627495699</v>
      </c>
      <c r="D33" s="17">
        <v>4.7337538348962704</v>
      </c>
      <c r="E33" s="17" t="s">
        <v>44</v>
      </c>
      <c r="F33" s="17">
        <v>13.5501683831154</v>
      </c>
      <c r="G33" s="17">
        <v>3.6621394047870699</v>
      </c>
      <c r="H33" s="17">
        <v>20.2171133046497</v>
      </c>
      <c r="I33" s="17">
        <v>2.4806731321110198</v>
      </c>
      <c r="J33" s="17">
        <v>13.8587538877292</v>
      </c>
      <c r="K33" s="17">
        <v>7.5123705115893502</v>
      </c>
      <c r="L33" s="17">
        <v>13.4432430310962</v>
      </c>
      <c r="M33" s="17" t="s">
        <v>44</v>
      </c>
      <c r="N33" s="17">
        <v>1.8858927795066001</v>
      </c>
      <c r="O33" s="17">
        <v>2.8641463620582601</v>
      </c>
      <c r="P33" s="17">
        <v>3.0943220344904399</v>
      </c>
      <c r="Q33" s="17" t="s">
        <v>44</v>
      </c>
      <c r="R33" s="17">
        <v>15.3563166570066</v>
      </c>
      <c r="S33" s="17">
        <v>8.0074249481180502</v>
      </c>
      <c r="T33" s="17">
        <v>3.2520815996461598</v>
      </c>
      <c r="U33" s="17">
        <v>8.6376929052469507</v>
      </c>
      <c r="V33" s="17">
        <v>6.2086604689787999</v>
      </c>
      <c r="W33" s="17">
        <v>8.3245270450532995</v>
      </c>
      <c r="X33" s="17">
        <v>6.0664376177155503</v>
      </c>
      <c r="Y33" s="17">
        <v>5.3319633004117897</v>
      </c>
      <c r="Z33" s="17">
        <v>0.60150797124725697</v>
      </c>
      <c r="AA33" s="17">
        <v>7.5928420475108798</v>
      </c>
      <c r="AB33" s="17">
        <v>3.2839401763085601</v>
      </c>
      <c r="AC33" s="17">
        <v>2.4392034218390202</v>
      </c>
    </row>
    <row r="34" spans="1:29" x14ac:dyDescent="0.2">
      <c r="A34" s="17">
        <f t="shared" si="0"/>
        <v>4.5419673489915162</v>
      </c>
      <c r="B34" s="17">
        <v>30</v>
      </c>
      <c r="C34" s="17">
        <v>6.1443385997387203</v>
      </c>
      <c r="D34" s="17">
        <v>4.2940308814319499</v>
      </c>
      <c r="E34" s="17">
        <v>5.4480941092447797</v>
      </c>
      <c r="F34" s="17">
        <v>2.0825918091931301</v>
      </c>
      <c r="G34" s="17">
        <v>4.9851148904963098</v>
      </c>
      <c r="H34" s="17" t="s">
        <v>44</v>
      </c>
      <c r="I34" s="17">
        <v>5.2525737553363596</v>
      </c>
      <c r="J34" s="17">
        <v>6.7927949891252304</v>
      </c>
      <c r="K34" s="17">
        <v>2.5762653177664401</v>
      </c>
      <c r="L34" s="17">
        <v>5.9792600801979097</v>
      </c>
      <c r="M34" s="17">
        <v>5.50453991525728</v>
      </c>
      <c r="N34" s="17">
        <v>2.7324484485671401</v>
      </c>
      <c r="O34" s="17">
        <v>7.7804874972171998</v>
      </c>
      <c r="P34" s="17">
        <v>6.28114117378367</v>
      </c>
      <c r="Q34" s="17">
        <v>7.4002164323263502</v>
      </c>
      <c r="R34" s="17">
        <v>6.3243631216932501</v>
      </c>
      <c r="S34" s="17">
        <v>6.8243876602171802</v>
      </c>
      <c r="T34" s="17">
        <v>5.1437474823771598</v>
      </c>
      <c r="U34" s="17">
        <v>2.8583436600428498</v>
      </c>
      <c r="V34" s="17">
        <v>4.7361377256933004</v>
      </c>
      <c r="W34" s="17">
        <v>1.7639829303748</v>
      </c>
      <c r="X34" s="17">
        <v>0.47799282841072699</v>
      </c>
      <c r="Y34" s="17" t="s">
        <v>44</v>
      </c>
      <c r="Z34" s="17">
        <v>5.1438029159830201</v>
      </c>
      <c r="AA34" s="17">
        <v>1.5388339338222301</v>
      </c>
      <c r="AB34" s="17">
        <v>1.8087637413233899</v>
      </c>
      <c r="AC34" s="17">
        <v>5.2773010759147398</v>
      </c>
    </row>
    <row r="35" spans="1:29" x14ac:dyDescent="0.2">
      <c r="A35" s="17">
        <f t="shared" si="0"/>
        <v>5.9280802838824282</v>
      </c>
      <c r="B35" s="17">
        <v>31</v>
      </c>
      <c r="C35" s="17">
        <v>1.56071018406239</v>
      </c>
      <c r="D35" s="17">
        <v>6.1855966040579302</v>
      </c>
      <c r="E35" s="17">
        <v>1.42505657492631</v>
      </c>
      <c r="F35" s="17">
        <v>2.66054433698491</v>
      </c>
      <c r="G35" s="17">
        <v>3.95153025291788</v>
      </c>
      <c r="H35" s="17">
        <v>7.18464240449409</v>
      </c>
      <c r="I35" s="17">
        <v>4.9519682264921903</v>
      </c>
      <c r="J35" s="17">
        <v>12.3037527484538</v>
      </c>
      <c r="K35" s="17">
        <v>7.7934491205412497</v>
      </c>
      <c r="L35" s="17">
        <v>8.3508817981783992</v>
      </c>
      <c r="M35" s="17" t="s">
        <v>44</v>
      </c>
      <c r="N35" s="17">
        <v>8.4298646232040806</v>
      </c>
      <c r="O35" s="17">
        <v>5.0732680763803302</v>
      </c>
      <c r="P35" s="17" t="s">
        <v>44</v>
      </c>
      <c r="Q35" s="17">
        <v>15.7921300853855</v>
      </c>
      <c r="R35" s="17">
        <v>5.4219489400573604</v>
      </c>
      <c r="S35" s="17" t="s">
        <v>44</v>
      </c>
      <c r="T35" s="17" t="s">
        <v>44</v>
      </c>
      <c r="U35" s="17">
        <v>1.6253391958326</v>
      </c>
      <c r="V35" s="17">
        <v>4.0773105888102599</v>
      </c>
      <c r="W35" s="17">
        <v>9.3936452344689894</v>
      </c>
      <c r="X35" s="17" t="s">
        <v>44</v>
      </c>
      <c r="Y35" s="17">
        <v>1.5696835610776501</v>
      </c>
      <c r="Z35" s="17">
        <v>5.1292869653670001</v>
      </c>
      <c r="AA35" s="17">
        <v>4.36520412737101</v>
      </c>
      <c r="AB35" s="17" t="s">
        <v>44</v>
      </c>
      <c r="AC35" s="17">
        <v>2.8765022126470301</v>
      </c>
    </row>
    <row r="36" spans="1:29" x14ac:dyDescent="0.2">
      <c r="A36" s="17">
        <f t="shared" si="0"/>
        <v>4.128401836559056</v>
      </c>
      <c r="B36" s="17">
        <v>32</v>
      </c>
      <c r="C36" s="17">
        <v>4.2518240418275202</v>
      </c>
      <c r="D36" s="17">
        <v>6.2085563555889003</v>
      </c>
      <c r="E36" s="17">
        <v>2.2072279310387399</v>
      </c>
      <c r="F36" s="17">
        <v>3.3124764257632502</v>
      </c>
      <c r="G36" s="17">
        <v>3.9434334643479301</v>
      </c>
      <c r="H36" s="17">
        <v>8.5913302258492497</v>
      </c>
      <c r="I36" s="17">
        <v>2.3867806590645002</v>
      </c>
      <c r="J36" s="17">
        <v>1.5090428119397301</v>
      </c>
      <c r="K36" s="17" t="s">
        <v>44</v>
      </c>
      <c r="L36" s="17">
        <v>6.74264640485017</v>
      </c>
      <c r="M36" s="17">
        <v>2.9772881868514598</v>
      </c>
      <c r="N36" s="17">
        <v>4.3006514983339299</v>
      </c>
      <c r="O36" s="17">
        <v>0.58422174659304904</v>
      </c>
      <c r="P36" s="17">
        <v>3.5818436207931201</v>
      </c>
      <c r="Q36" s="17">
        <v>6.2767622777048304</v>
      </c>
      <c r="R36" s="17">
        <v>7.2486884932348001</v>
      </c>
      <c r="S36" s="17">
        <v>1.8970052622140099</v>
      </c>
      <c r="T36" s="17">
        <v>6.4431656037421998</v>
      </c>
      <c r="U36" s="17">
        <v>4.3644218510767203</v>
      </c>
      <c r="V36" s="17">
        <v>8.4343012206350707</v>
      </c>
      <c r="W36" s="17">
        <v>3.2330710906820199</v>
      </c>
      <c r="X36" s="17">
        <v>2.7715807838045401</v>
      </c>
      <c r="Y36" s="17">
        <v>2.4684605943434699</v>
      </c>
      <c r="Z36" s="17">
        <v>2.8228441651470999</v>
      </c>
      <c r="AA36" s="17">
        <v>5.9155308131839304</v>
      </c>
      <c r="AB36" s="17">
        <v>2.0074010654652898</v>
      </c>
      <c r="AC36" s="17">
        <v>2.9813133617283798</v>
      </c>
    </row>
    <row r="37" spans="1:29" x14ac:dyDescent="0.2">
      <c r="A37" s="17">
        <f t="shared" si="0"/>
        <v>3.2077999976292344</v>
      </c>
      <c r="B37" s="17">
        <v>33</v>
      </c>
      <c r="C37" s="17" t="s">
        <v>44</v>
      </c>
      <c r="D37" s="17">
        <v>3.3994666054060798</v>
      </c>
      <c r="E37" s="17">
        <v>4.0236138300538302</v>
      </c>
      <c r="F37" s="17" t="s">
        <v>44</v>
      </c>
      <c r="G37" s="17">
        <v>3.9133509638826398</v>
      </c>
      <c r="H37" s="17">
        <v>9.2006324216615099</v>
      </c>
      <c r="I37" s="17">
        <v>0.73108777841329997</v>
      </c>
      <c r="J37" s="17">
        <v>1.9703131726065699</v>
      </c>
      <c r="K37" s="17">
        <v>1.63459188152618</v>
      </c>
      <c r="L37" s="17">
        <v>6.2590495727471698</v>
      </c>
      <c r="M37" s="17">
        <v>3.4097508199603501</v>
      </c>
      <c r="N37" s="17">
        <v>5.3731456760944702</v>
      </c>
      <c r="O37" s="17">
        <v>1.3672951954747099</v>
      </c>
      <c r="P37" s="17">
        <v>1.3486495050669101</v>
      </c>
      <c r="Q37" s="17">
        <v>1.2119107337803099</v>
      </c>
      <c r="R37" s="17">
        <v>2.9284857795539998</v>
      </c>
      <c r="S37" s="17">
        <v>1.6863922440926999</v>
      </c>
      <c r="T37" s="17">
        <v>4.4413093016161396</v>
      </c>
      <c r="U37" s="17">
        <v>2.93374451580081</v>
      </c>
      <c r="V37" s="17">
        <v>1.46934536929313</v>
      </c>
      <c r="W37" s="17">
        <v>6.5726146790793196</v>
      </c>
      <c r="X37" s="17">
        <v>2.6526521926556801</v>
      </c>
      <c r="Y37" s="17" t="s">
        <v>44</v>
      </c>
      <c r="Z37" s="17">
        <v>0.39588833900005199</v>
      </c>
      <c r="AA37" s="17">
        <v>7.36756013732691</v>
      </c>
      <c r="AB37" s="17">
        <v>2.1250317957804699</v>
      </c>
      <c r="AC37" s="17">
        <v>0.57131743222838705</v>
      </c>
    </row>
    <row r="38" spans="1:29" x14ac:dyDescent="0.2">
      <c r="A38" s="17">
        <f t="shared" si="0"/>
        <v>3.4285455107992706</v>
      </c>
      <c r="B38" s="17">
        <v>34</v>
      </c>
      <c r="C38" s="17" t="s">
        <v>44</v>
      </c>
      <c r="D38" s="17" t="s">
        <v>44</v>
      </c>
      <c r="E38" s="17" t="s">
        <v>44</v>
      </c>
      <c r="F38" s="17">
        <v>3.6752072030681702</v>
      </c>
      <c r="G38" s="17">
        <v>2.6761420134925702</v>
      </c>
      <c r="H38" s="17">
        <v>12.3368206548391</v>
      </c>
      <c r="I38" s="17">
        <v>0.36733378282179502</v>
      </c>
      <c r="J38" s="17">
        <v>2.2582864627930701</v>
      </c>
      <c r="K38" s="17">
        <v>1.25157550382209E-2</v>
      </c>
      <c r="L38" s="17">
        <v>2.5893643084606399</v>
      </c>
      <c r="M38" s="17">
        <v>6.62724048118422</v>
      </c>
      <c r="N38" s="17">
        <v>3.76098474283976</v>
      </c>
      <c r="O38" s="17">
        <v>0.45387047132013603</v>
      </c>
      <c r="P38" s="17">
        <v>4.8642563579435398</v>
      </c>
      <c r="Q38" s="17">
        <v>5.35291651965135</v>
      </c>
      <c r="R38" s="17" t="s">
        <v>44</v>
      </c>
      <c r="S38" s="17">
        <v>7.7827790306744404</v>
      </c>
      <c r="T38" s="17">
        <v>6.3365515870217397</v>
      </c>
      <c r="U38" s="17">
        <v>2.5017296418953401</v>
      </c>
      <c r="V38" s="17">
        <v>0.98013453072902401</v>
      </c>
      <c r="W38" s="17">
        <v>1.25511581705088</v>
      </c>
      <c r="X38" s="17">
        <v>2.5417841803233201</v>
      </c>
      <c r="Y38" s="17" t="s">
        <v>44</v>
      </c>
      <c r="Z38" s="17">
        <v>0.47449441876298198</v>
      </c>
      <c r="AA38" s="17">
        <v>2.7514398400480999</v>
      </c>
      <c r="AB38" s="17">
        <v>2.1481775753847701</v>
      </c>
      <c r="AC38" s="17">
        <v>3.6808558622407999</v>
      </c>
    </row>
    <row r="39" spans="1:29" x14ac:dyDescent="0.2">
      <c r="A39" s="17">
        <f t="shared" si="0"/>
        <v>4.0494243183061078</v>
      </c>
      <c r="B39" s="17">
        <v>35</v>
      </c>
      <c r="C39" s="17">
        <v>2.3948058516655801</v>
      </c>
      <c r="D39" s="17">
        <v>3.8332231053164998</v>
      </c>
      <c r="E39" s="17" t="s">
        <v>44</v>
      </c>
      <c r="F39" s="17" t="s">
        <v>44</v>
      </c>
      <c r="G39" s="17">
        <v>5.58407571961237</v>
      </c>
      <c r="H39" s="17" t="s">
        <v>44</v>
      </c>
      <c r="I39" s="17">
        <v>4.8008467546853</v>
      </c>
      <c r="J39" s="17">
        <v>5.3311782055931303E-2</v>
      </c>
      <c r="K39" s="17">
        <v>3.1551240847617601</v>
      </c>
      <c r="L39" s="17">
        <v>12.285265471017199</v>
      </c>
      <c r="M39" s="17">
        <v>0.80062642620402902</v>
      </c>
      <c r="N39" s="17">
        <v>4.7284697345470104</v>
      </c>
      <c r="O39" s="17">
        <v>4.3475729043624698</v>
      </c>
      <c r="P39" s="17">
        <v>7.7519076218799396</v>
      </c>
      <c r="Q39" s="17">
        <v>0.13212938898123899</v>
      </c>
      <c r="R39" s="17">
        <v>2.7848405254811199</v>
      </c>
      <c r="S39" s="17">
        <v>1.1489428809709299</v>
      </c>
      <c r="T39" s="17" t="s">
        <v>44</v>
      </c>
      <c r="U39" s="17">
        <v>8.0882642026070002</v>
      </c>
      <c r="V39" s="17">
        <v>4.2707557336278104</v>
      </c>
      <c r="W39" s="17">
        <v>7.3115221355733002</v>
      </c>
      <c r="X39" s="17">
        <v>1.43888667476496</v>
      </c>
      <c r="Y39" s="17">
        <v>0</v>
      </c>
      <c r="Z39" s="17" t="s">
        <v>44</v>
      </c>
      <c r="AA39" s="17">
        <v>7.6746591235570696</v>
      </c>
      <c r="AB39" s="17">
        <v>3.4027069125046401</v>
      </c>
      <c r="AC39" s="17">
        <v>1.4447795019176899</v>
      </c>
    </row>
    <row r="40" spans="1:29" x14ac:dyDescent="0.2">
      <c r="A40" s="17">
        <f t="shared" si="0"/>
        <v>5.0781884840080123</v>
      </c>
      <c r="B40" s="17">
        <v>36</v>
      </c>
      <c r="C40" s="17">
        <v>9.7072126300764001</v>
      </c>
      <c r="D40" s="17">
        <v>0.935495224459584</v>
      </c>
      <c r="E40" s="17">
        <v>3.8769770885396801</v>
      </c>
      <c r="F40" s="17">
        <v>13.483310727985801</v>
      </c>
      <c r="G40" s="17">
        <v>4.5870618557254303</v>
      </c>
      <c r="H40" s="17">
        <v>6.57444528352113</v>
      </c>
      <c r="I40" s="17">
        <v>6.0894867312133298</v>
      </c>
      <c r="J40" s="17">
        <v>7.4251105807916504</v>
      </c>
      <c r="K40" s="17">
        <v>1.7309389776927899</v>
      </c>
      <c r="L40" s="17">
        <v>6.2010392651720103</v>
      </c>
      <c r="M40" s="17">
        <v>3.3815718505813401</v>
      </c>
      <c r="N40" s="17">
        <v>4.76282698322788</v>
      </c>
      <c r="O40" s="17">
        <v>2.7083891638731101</v>
      </c>
      <c r="P40" s="17">
        <v>7.0108480408564402</v>
      </c>
      <c r="Q40" s="17">
        <v>5.9459806284564003</v>
      </c>
      <c r="R40" s="17">
        <v>3.6096194185758002</v>
      </c>
      <c r="S40" s="17">
        <v>6.1828001443825604</v>
      </c>
      <c r="T40" s="17">
        <v>4.6466052133901101</v>
      </c>
      <c r="U40" s="17">
        <v>3.9994633569335098</v>
      </c>
      <c r="V40" s="17" t="s">
        <v>44</v>
      </c>
      <c r="W40" s="17">
        <v>8.9080429649698303</v>
      </c>
      <c r="X40" s="17">
        <v>4.1911523673808597</v>
      </c>
      <c r="Y40" s="17" t="s">
        <v>44</v>
      </c>
      <c r="Z40" s="17">
        <v>0.127570458773902</v>
      </c>
      <c r="AA40" s="17">
        <v>5.0896156646639401</v>
      </c>
      <c r="AB40" s="17">
        <v>4.5390013078103904</v>
      </c>
      <c r="AC40" s="17">
        <v>5.86917031721483</v>
      </c>
    </row>
    <row r="41" spans="1:29" x14ac:dyDescent="0.2">
      <c r="A41" s="17">
        <f t="shared" si="0"/>
        <v>3.6378545406207725</v>
      </c>
      <c r="B41" s="17">
        <v>37</v>
      </c>
      <c r="C41" s="17">
        <v>2.46520724629351</v>
      </c>
      <c r="D41" s="17">
        <v>8.7218973423146604</v>
      </c>
      <c r="E41" s="17">
        <v>1.5484396758394501</v>
      </c>
      <c r="F41" s="17">
        <v>9.5918957240321401</v>
      </c>
      <c r="G41" s="17">
        <v>3.5114562605127602</v>
      </c>
      <c r="H41" s="17">
        <v>6.2038564851835796</v>
      </c>
      <c r="I41" s="17" t="s">
        <v>44</v>
      </c>
      <c r="J41" s="17">
        <v>2.1251388315408701</v>
      </c>
      <c r="K41" s="17">
        <v>1.3451986897661801</v>
      </c>
      <c r="L41" s="17">
        <v>2.5733183911103898</v>
      </c>
      <c r="M41" s="17">
        <v>3.5710645125108802</v>
      </c>
      <c r="N41" s="17" t="s">
        <v>44</v>
      </c>
      <c r="O41" s="17">
        <v>2.07217612029552</v>
      </c>
      <c r="P41" s="17">
        <v>3.3369277995048301</v>
      </c>
      <c r="Q41" s="17">
        <v>1.4314286971738599</v>
      </c>
      <c r="R41" s="17">
        <v>14.106204047870699</v>
      </c>
      <c r="S41" s="17">
        <v>0.81876202210785598</v>
      </c>
      <c r="T41" s="17">
        <v>2.88323852444312</v>
      </c>
      <c r="U41" s="17">
        <v>7.0251332331460699</v>
      </c>
      <c r="V41" s="17" t="s">
        <v>44</v>
      </c>
      <c r="W41" s="17">
        <v>3.2193453883374099</v>
      </c>
      <c r="X41" s="17">
        <v>3.5853813285285101</v>
      </c>
      <c r="Y41" s="17">
        <v>0.49983601298736602</v>
      </c>
      <c r="Z41" s="17">
        <v>1.29625968309887</v>
      </c>
      <c r="AA41" s="17">
        <v>1.4621066142413499</v>
      </c>
      <c r="AB41" s="17">
        <v>1.45407915499314</v>
      </c>
      <c r="AC41" s="17">
        <v>1.2875098947382699</v>
      </c>
    </row>
    <row r="42" spans="1:29" x14ac:dyDescent="0.2">
      <c r="A42" s="17">
        <f t="shared" si="0"/>
        <v>3.139612545836477</v>
      </c>
      <c r="B42" s="17">
        <v>38</v>
      </c>
      <c r="C42" s="17">
        <v>3.2417123665372798</v>
      </c>
      <c r="D42" s="17">
        <v>5.28343753441919</v>
      </c>
      <c r="E42" s="17" t="s">
        <v>44</v>
      </c>
      <c r="F42" s="17">
        <v>4.4984258686708101</v>
      </c>
      <c r="G42" s="17">
        <v>0.55040693324433598</v>
      </c>
      <c r="H42" s="17">
        <v>3.9991646291239999</v>
      </c>
      <c r="I42" s="17">
        <v>1.5296568808545901</v>
      </c>
      <c r="J42" s="17">
        <v>4.11336291133507</v>
      </c>
      <c r="K42" s="17">
        <v>0.18923560143809801</v>
      </c>
      <c r="L42" s="17">
        <v>1.3584074957433701</v>
      </c>
      <c r="M42" s="17" t="s">
        <v>44</v>
      </c>
      <c r="N42" s="17">
        <v>4.03583273980004</v>
      </c>
      <c r="O42" s="17">
        <v>2.5194088670941501</v>
      </c>
      <c r="P42" s="17">
        <v>11.630228290177699</v>
      </c>
      <c r="Q42" s="17">
        <v>3.0126603780106298</v>
      </c>
      <c r="R42" s="17" t="s">
        <v>44</v>
      </c>
      <c r="S42" s="17">
        <v>6.4913694381563101</v>
      </c>
      <c r="T42" s="17">
        <v>1.8158947647075601</v>
      </c>
      <c r="U42" s="17">
        <v>1.3652563999449701</v>
      </c>
      <c r="V42" s="17">
        <v>1.4504466518366499</v>
      </c>
      <c r="W42" s="17">
        <v>2.8340604370296498</v>
      </c>
      <c r="X42" s="17">
        <v>3.4810110182248399</v>
      </c>
      <c r="Y42" s="17">
        <v>0.31825796900558001</v>
      </c>
      <c r="Z42" s="17">
        <v>2.3004667216110199</v>
      </c>
      <c r="AA42" s="17">
        <v>1.56123885683888</v>
      </c>
      <c r="AB42" s="17">
        <v>2.6480027470357599</v>
      </c>
      <c r="AC42" s="17">
        <v>5.2248554199357704</v>
      </c>
    </row>
    <row r="43" spans="1:29" x14ac:dyDescent="0.2">
      <c r="A43" s="17">
        <f t="shared" si="0"/>
        <v>6.7321863677778966</v>
      </c>
      <c r="B43" s="17">
        <v>39</v>
      </c>
      <c r="C43" s="17">
        <v>5.9656457792383497</v>
      </c>
      <c r="D43" s="17">
        <v>6.1844845945155402</v>
      </c>
      <c r="E43" s="17">
        <v>6.4014126686635198</v>
      </c>
      <c r="F43" s="17">
        <v>2.61125470169091</v>
      </c>
      <c r="G43" s="17">
        <v>0.99158638168920099</v>
      </c>
      <c r="H43" s="17">
        <v>9.1281295563684495</v>
      </c>
      <c r="I43" s="17">
        <v>6.2795804762260898</v>
      </c>
      <c r="J43" s="17">
        <v>14.107910079578801</v>
      </c>
      <c r="K43" s="17">
        <v>1.2097001895827799</v>
      </c>
      <c r="L43" s="17" t="s">
        <v>44</v>
      </c>
      <c r="M43" s="17">
        <v>3.7910439261983502</v>
      </c>
      <c r="N43" s="17">
        <v>7.0787967923335602</v>
      </c>
      <c r="O43" s="17">
        <v>2.3465772673677598</v>
      </c>
      <c r="P43" s="17">
        <v>4.4533703228167703</v>
      </c>
      <c r="Q43" s="17">
        <v>3.9583228272883302</v>
      </c>
      <c r="R43" s="17">
        <v>15.6368115310447</v>
      </c>
      <c r="S43" s="17">
        <v>0.99762172337237498</v>
      </c>
      <c r="T43" s="17">
        <v>9.7880970315894302</v>
      </c>
      <c r="U43" s="17" t="s">
        <v>44</v>
      </c>
      <c r="V43" s="17">
        <v>8.3163703806582898</v>
      </c>
      <c r="W43" s="17">
        <v>10.9219194580929</v>
      </c>
      <c r="X43" s="17">
        <v>9.7004176820986903</v>
      </c>
      <c r="Y43" s="17">
        <v>2.7360270080824201</v>
      </c>
      <c r="Z43" s="17">
        <v>12.7300964639493</v>
      </c>
      <c r="AA43" s="17">
        <v>5.6293707942850197</v>
      </c>
      <c r="AB43" s="17">
        <v>12.6688671758368</v>
      </c>
      <c r="AC43" s="17">
        <v>3.9047037933395301</v>
      </c>
    </row>
    <row r="44" spans="1:29" x14ac:dyDescent="0.2">
      <c r="A44" s="17">
        <f t="shared" si="0"/>
        <v>4.74284520466695</v>
      </c>
      <c r="B44" s="17">
        <v>40</v>
      </c>
      <c r="C44" s="17">
        <v>2.85033684207961</v>
      </c>
      <c r="D44" s="17">
        <v>5.3987820369960202</v>
      </c>
      <c r="E44" s="17">
        <v>0.93815390376727603</v>
      </c>
      <c r="F44" s="17">
        <v>5.1243891828522496</v>
      </c>
      <c r="G44" s="17">
        <v>1.28872846381393</v>
      </c>
      <c r="H44" s="17" t="s">
        <v>44</v>
      </c>
      <c r="I44" s="17">
        <v>4.7421713577287896</v>
      </c>
      <c r="J44" s="17" t="s">
        <v>44</v>
      </c>
      <c r="K44" s="17">
        <v>0.61771508380011197</v>
      </c>
      <c r="L44" s="17">
        <v>2.85376731402962</v>
      </c>
      <c r="M44" s="17">
        <v>6.2480693493130302</v>
      </c>
      <c r="N44" s="17">
        <v>6.47065843737282</v>
      </c>
      <c r="O44" s="17">
        <v>0.17561618778362301</v>
      </c>
      <c r="P44" s="17">
        <v>7.1460996287271703</v>
      </c>
      <c r="Q44" s="17">
        <v>11.4957698938607</v>
      </c>
      <c r="R44" s="17">
        <v>3.2063777600245702</v>
      </c>
      <c r="S44" s="17">
        <v>1.412334356578</v>
      </c>
      <c r="T44" s="17">
        <v>0.51778822513623302</v>
      </c>
      <c r="U44" s="17">
        <v>15.048173284282001</v>
      </c>
      <c r="V44" s="17">
        <v>0.27757282665419603</v>
      </c>
      <c r="W44" s="17">
        <v>3.7284589053552302</v>
      </c>
      <c r="X44" s="17">
        <v>3.66180248111448</v>
      </c>
      <c r="Y44" s="17">
        <v>1.46581292477951</v>
      </c>
      <c r="Z44" s="17">
        <v>8.0810146484872707</v>
      </c>
      <c r="AA44" s="17" t="s">
        <v>44</v>
      </c>
      <c r="AB44" s="17">
        <v>11.052153467883601</v>
      </c>
      <c r="AC44" s="17">
        <v>8.1340299869994208</v>
      </c>
    </row>
    <row r="45" spans="1:29" x14ac:dyDescent="0.2">
      <c r="A45" s="17">
        <f t="shared" si="0"/>
        <v>5.2498077540512504</v>
      </c>
      <c r="B45" s="17">
        <v>41</v>
      </c>
      <c r="C45" s="17" t="s">
        <v>44</v>
      </c>
      <c r="D45" s="17">
        <v>4.3395401611893503</v>
      </c>
      <c r="E45" s="17">
        <v>2.19530277360326</v>
      </c>
      <c r="F45" s="17">
        <v>2.4736054434238999</v>
      </c>
      <c r="G45" s="17">
        <v>4.1056299294655503</v>
      </c>
      <c r="H45" s="17" t="s">
        <v>44</v>
      </c>
      <c r="I45" s="17">
        <v>8.9279784764365608</v>
      </c>
      <c r="J45" s="17" t="s">
        <v>44</v>
      </c>
      <c r="K45" s="17">
        <v>5.88194999769956</v>
      </c>
      <c r="L45" s="17">
        <v>2.6161963259147401</v>
      </c>
      <c r="M45" s="17">
        <v>3.80723208914883</v>
      </c>
      <c r="N45" s="17">
        <v>4.6730182873267996</v>
      </c>
      <c r="O45" s="17">
        <v>0.42982518778515599</v>
      </c>
      <c r="P45" s="17">
        <v>8.3867886575037591</v>
      </c>
      <c r="Q45" s="17">
        <v>3.8556081928232899</v>
      </c>
      <c r="R45" s="17">
        <v>8.9882777388473905</v>
      </c>
      <c r="S45" s="17">
        <v>3.8202669002829799</v>
      </c>
      <c r="T45" s="17" t="s">
        <v>44</v>
      </c>
      <c r="U45" s="17">
        <v>12.4774914919312</v>
      </c>
      <c r="V45" s="17">
        <v>12.8154686948346</v>
      </c>
      <c r="W45" s="17">
        <v>5.1329159241811304</v>
      </c>
      <c r="X45" s="17">
        <v>7.5346597598173801</v>
      </c>
      <c r="Y45" s="17" t="s">
        <v>44</v>
      </c>
      <c r="Z45" s="17">
        <v>2.65417829194016</v>
      </c>
      <c r="AA45" s="17">
        <v>3.3306119018628499</v>
      </c>
      <c r="AB45" s="17">
        <v>3.79996565787624</v>
      </c>
      <c r="AC45" s="17">
        <v>3.2492587052328501</v>
      </c>
    </row>
    <row r="46" spans="1:29" x14ac:dyDescent="0.2">
      <c r="A46" s="17">
        <f t="shared" si="0"/>
        <v>4.2393792600878983</v>
      </c>
      <c r="B46" s="17">
        <v>42</v>
      </c>
      <c r="C46" s="17" t="s">
        <v>44</v>
      </c>
      <c r="D46" s="17">
        <v>4.5986757525988802</v>
      </c>
      <c r="E46" s="17" t="s">
        <v>44</v>
      </c>
      <c r="F46" s="17">
        <v>4.8270787939833504</v>
      </c>
      <c r="G46" s="17" t="s">
        <v>44</v>
      </c>
      <c r="H46" s="17">
        <v>5.3073905861575401</v>
      </c>
      <c r="I46" s="17">
        <v>5.3589720599119604</v>
      </c>
      <c r="J46" s="17" t="s">
        <v>44</v>
      </c>
      <c r="K46" s="17">
        <v>5.6483538941240203</v>
      </c>
      <c r="L46" s="17">
        <v>5.1756847349813198</v>
      </c>
      <c r="M46" s="17" t="s">
        <v>44</v>
      </c>
      <c r="N46" s="17">
        <v>2.9695798076175</v>
      </c>
      <c r="O46" s="17">
        <v>5.16823718119237</v>
      </c>
      <c r="P46" s="17" t="s">
        <v>44</v>
      </c>
      <c r="Q46" s="17" t="s">
        <v>44</v>
      </c>
      <c r="R46" s="17" t="s">
        <v>44</v>
      </c>
      <c r="S46" s="17" t="s">
        <v>44</v>
      </c>
      <c r="T46" s="17">
        <v>3.65411736459584</v>
      </c>
      <c r="U46" s="17">
        <v>1.3217003128434099</v>
      </c>
      <c r="V46" s="17">
        <v>1.91521242200243</v>
      </c>
      <c r="W46" s="17">
        <v>7.1084550386249798</v>
      </c>
      <c r="X46" s="17">
        <v>2.7627818258110302</v>
      </c>
      <c r="Y46" s="17">
        <v>4.3065034435434999</v>
      </c>
      <c r="Z46" s="17">
        <v>1.8287585960762101</v>
      </c>
      <c r="AA46" s="17" t="s">
        <v>44</v>
      </c>
      <c r="AB46" s="17">
        <v>5.3782429985667397</v>
      </c>
      <c r="AC46" s="17">
        <v>4.7397026088631797</v>
      </c>
    </row>
    <row r="47" spans="1:29" x14ac:dyDescent="0.2">
      <c r="A47" s="17">
        <f t="shared" si="0"/>
        <v>5.9224218094144456</v>
      </c>
      <c r="B47" s="17">
        <v>43</v>
      </c>
      <c r="C47" s="17" t="s">
        <v>44</v>
      </c>
      <c r="D47" s="17" t="s">
        <v>44</v>
      </c>
      <c r="E47" s="17" t="s">
        <v>44</v>
      </c>
      <c r="F47" s="17">
        <v>2.2817583515760602</v>
      </c>
      <c r="G47" s="17">
        <v>3.65660670007561</v>
      </c>
      <c r="H47" s="17" t="s">
        <v>44</v>
      </c>
      <c r="I47" s="17" t="s">
        <v>44</v>
      </c>
      <c r="J47" s="17">
        <v>2.3827994359692499</v>
      </c>
      <c r="K47" s="17" t="s">
        <v>44</v>
      </c>
      <c r="L47" s="17">
        <v>4.70257365012377</v>
      </c>
      <c r="M47" s="17">
        <v>9.3235507556857105</v>
      </c>
      <c r="N47" s="17">
        <v>5.2277698712562604</v>
      </c>
      <c r="O47" s="17" t="s">
        <v>44</v>
      </c>
      <c r="P47" s="17" t="s">
        <v>44</v>
      </c>
      <c r="Q47" s="17">
        <v>10.935612022198001</v>
      </c>
      <c r="R47" s="17">
        <v>5.7263701032265502</v>
      </c>
      <c r="S47" s="17">
        <v>8.05130821732463</v>
      </c>
      <c r="T47" s="17">
        <v>4.4973196366909001</v>
      </c>
      <c r="U47" s="17" t="s">
        <v>44</v>
      </c>
      <c r="V47" s="17" t="s">
        <v>44</v>
      </c>
      <c r="W47" s="17" t="s">
        <v>44</v>
      </c>
      <c r="X47" s="17" t="s">
        <v>44</v>
      </c>
      <c r="Y47" s="17" t="s">
        <v>44</v>
      </c>
      <c r="Z47" s="17">
        <v>0.591181976798825</v>
      </c>
      <c r="AA47" s="17">
        <v>11.3837533082664</v>
      </c>
      <c r="AB47" s="17">
        <v>10.8225588731264</v>
      </c>
      <c r="AC47" s="17">
        <v>3.3307424294838799</v>
      </c>
    </row>
    <row r="48" spans="1:29" x14ac:dyDescent="0.2">
      <c r="A48" s="17">
        <f t="shared" si="0"/>
        <v>5.6493529420004789</v>
      </c>
      <c r="B48" s="17">
        <v>44</v>
      </c>
      <c r="C48" s="17" t="s">
        <v>44</v>
      </c>
      <c r="D48" s="17">
        <v>1.2138413389940701</v>
      </c>
      <c r="E48" s="17" t="s">
        <v>44</v>
      </c>
      <c r="F48" s="17">
        <v>9.9168041964255504</v>
      </c>
      <c r="G48" s="17">
        <v>4.32754219779798</v>
      </c>
      <c r="H48" s="17">
        <v>11.8444558217856</v>
      </c>
      <c r="I48" s="17">
        <v>3.6072129738821799</v>
      </c>
      <c r="J48" s="17">
        <v>6.2864339524986503</v>
      </c>
      <c r="K48" s="17">
        <v>1.63280132642183</v>
      </c>
      <c r="L48" s="17">
        <v>6.0566528863276501</v>
      </c>
      <c r="M48" s="17">
        <v>7.6962332234922801</v>
      </c>
      <c r="N48" s="17">
        <v>9.7157420716425893</v>
      </c>
      <c r="O48" s="17">
        <v>4.1426371225720704</v>
      </c>
      <c r="P48" s="17">
        <v>8.6720064479900092</v>
      </c>
      <c r="Q48" s="17">
        <v>4.2334393421556298</v>
      </c>
      <c r="R48" s="17">
        <v>11.2938946356728</v>
      </c>
      <c r="S48" s="17">
        <v>6.4147686867255498</v>
      </c>
      <c r="T48" s="17">
        <v>5.2050305069281704</v>
      </c>
      <c r="U48" s="17">
        <v>7.8336010332945998</v>
      </c>
      <c r="V48" s="17">
        <v>3.83130400274595</v>
      </c>
      <c r="W48" s="17">
        <v>4.7017433286794201</v>
      </c>
      <c r="X48" s="17">
        <v>1.0076023347226599</v>
      </c>
      <c r="Y48" s="17">
        <v>0</v>
      </c>
      <c r="Z48" s="17">
        <v>1.37465068816338</v>
      </c>
      <c r="AA48" s="17">
        <v>2.2136963517022101</v>
      </c>
      <c r="AB48" s="17">
        <v>5.9698973539498201</v>
      </c>
      <c r="AC48" s="17">
        <v>12.0418317254413</v>
      </c>
    </row>
    <row r="49" spans="1:29" x14ac:dyDescent="0.2">
      <c r="A49" s="17">
        <f t="shared" si="0"/>
        <v>3.4623483668253887</v>
      </c>
      <c r="B49" s="17">
        <v>45</v>
      </c>
      <c r="C49" s="17" t="s">
        <v>44</v>
      </c>
      <c r="D49" s="17">
        <v>6.1397364039864799</v>
      </c>
      <c r="E49" s="17">
        <v>0.53268368219291995</v>
      </c>
      <c r="F49" s="17">
        <v>4.2249643283743596</v>
      </c>
      <c r="G49" s="17">
        <v>2.23624996615326</v>
      </c>
      <c r="H49" s="17" t="s">
        <v>44</v>
      </c>
      <c r="I49" s="17">
        <v>1.9263860577668599</v>
      </c>
      <c r="J49" s="17">
        <v>2.8458436018725801</v>
      </c>
      <c r="K49" s="17" t="s">
        <v>44</v>
      </c>
      <c r="L49" s="17">
        <v>1.0650395799993699</v>
      </c>
      <c r="M49" s="17">
        <v>4.7378583791756501</v>
      </c>
      <c r="N49" s="17">
        <v>1.82922849455743</v>
      </c>
      <c r="O49" s="17">
        <v>2.56285829816732</v>
      </c>
      <c r="P49" s="17">
        <v>4.6740109036166997</v>
      </c>
      <c r="Q49" s="17">
        <v>3.4925756451219501</v>
      </c>
      <c r="R49" s="17">
        <v>3.1801154228062201</v>
      </c>
      <c r="S49" s="17">
        <v>5.8047815577546702</v>
      </c>
      <c r="T49" s="17">
        <v>2.4195435115316402</v>
      </c>
      <c r="U49" s="17">
        <v>4.0537822312135701</v>
      </c>
      <c r="V49" s="17">
        <v>4.8697297326702103</v>
      </c>
      <c r="W49" s="17">
        <v>3.19001705124845</v>
      </c>
      <c r="X49" s="17" t="s">
        <v>44</v>
      </c>
      <c r="Y49" s="17" t="s">
        <v>44</v>
      </c>
      <c r="Z49" s="17">
        <v>1.0363691909867301</v>
      </c>
      <c r="AA49" s="17">
        <v>4.6073461568091698</v>
      </c>
      <c r="AB49" s="17">
        <v>0.375947174361212</v>
      </c>
      <c r="AC49" s="17">
        <v>10.366596699791801</v>
      </c>
    </row>
    <row r="51" spans="1:29" x14ac:dyDescent="0.2">
      <c r="C51" s="17">
        <f>AVERAGE(C5:C49)</f>
        <v>6.2261235325610631</v>
      </c>
      <c r="D51" s="17">
        <f t="shared" ref="D51:V51" si="1">AVERAGE(D5:D49)</f>
        <v>5.899964288559203</v>
      </c>
      <c r="E51" s="17">
        <f t="shared" si="1"/>
        <v>3.6919402593430806</v>
      </c>
      <c r="F51" s="17">
        <f t="shared" si="1"/>
        <v>5.1286599650458786</v>
      </c>
      <c r="G51" s="17">
        <f t="shared" si="1"/>
        <v>3.882328277913611</v>
      </c>
      <c r="H51" s="17">
        <f t="shared" si="1"/>
        <v>6.6546659217945336</v>
      </c>
      <c r="I51" s="17">
        <f t="shared" si="1"/>
        <v>4.0297233536595245</v>
      </c>
      <c r="J51" s="17">
        <f t="shared" si="1"/>
        <v>5.6332246517874385</v>
      </c>
      <c r="K51" s="17">
        <f t="shared" si="1"/>
        <v>2.9782281704520228</v>
      </c>
      <c r="L51" s="17">
        <f t="shared" si="1"/>
        <v>4.9417839502299996</v>
      </c>
      <c r="M51" s="17">
        <f t="shared" si="1"/>
        <v>4.0292190628913698</v>
      </c>
      <c r="N51" s="17">
        <f t="shared" si="1"/>
        <v>4.6056302686653776</v>
      </c>
      <c r="O51" s="17">
        <f t="shared" si="1"/>
        <v>3.6048566487090303</v>
      </c>
      <c r="P51" s="17">
        <f t="shared" si="1"/>
        <v>5.6880858947278607</v>
      </c>
      <c r="Q51" s="17">
        <f t="shared" si="1"/>
        <v>5.423133343015178</v>
      </c>
      <c r="R51" s="17">
        <f t="shared" si="1"/>
        <v>6.1134888127856355</v>
      </c>
      <c r="S51" s="17">
        <f t="shared" si="1"/>
        <v>4.3826038634339541</v>
      </c>
      <c r="T51" s="17">
        <f t="shared" si="1"/>
        <v>4.5762681939992653</v>
      </c>
      <c r="U51" s="17">
        <f t="shared" si="1"/>
        <v>5.3184056991186548</v>
      </c>
      <c r="V51" s="17">
        <f t="shared" si="1"/>
        <v>4.5050220916168149</v>
      </c>
    </row>
  </sheetData>
  <phoneticPr fontId="1" type="noConversion"/>
  <conditionalFormatting sqref="A4:A49">
    <cfRule type="aboveAverage" dxfId="4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02B3-D250-4036-B1CB-CD52B8D7B468}">
  <dimension ref="A1:AA49"/>
  <sheetViews>
    <sheetView topLeftCell="A2" workbookViewId="0">
      <selection activeCell="D5" sqref="D5:W49"/>
    </sheetView>
  </sheetViews>
  <sheetFormatPr defaultColWidth="8.625" defaultRowHeight="11.25" x14ac:dyDescent="0.2"/>
  <cols>
    <col min="1" max="1" width="8.625" style="17"/>
    <col min="2" max="2" width="8.625" style="17" customWidth="1"/>
    <col min="3" max="16384" width="8.625" style="17"/>
  </cols>
  <sheetData>
    <row r="1" spans="1:27" s="9" customFormat="1" x14ac:dyDescent="0.2">
      <c r="A1" s="9" t="s">
        <v>46</v>
      </c>
      <c r="B1" s="10">
        <v>2</v>
      </c>
      <c r="C1" s="10">
        <v>11</v>
      </c>
      <c r="D1" s="10">
        <v>12</v>
      </c>
      <c r="E1" s="10">
        <v>18</v>
      </c>
      <c r="F1" s="10">
        <v>15</v>
      </c>
      <c r="G1" s="10">
        <v>3</v>
      </c>
      <c r="H1" s="10">
        <v>20</v>
      </c>
      <c r="I1" s="10">
        <v>19</v>
      </c>
      <c r="J1" s="10">
        <v>7</v>
      </c>
      <c r="K1" s="10">
        <v>8</v>
      </c>
      <c r="L1" s="10">
        <v>1</v>
      </c>
      <c r="M1" s="10">
        <v>16</v>
      </c>
      <c r="N1" s="10">
        <v>9</v>
      </c>
      <c r="O1" s="10">
        <v>4</v>
      </c>
      <c r="P1" s="10">
        <v>5</v>
      </c>
      <c r="Q1" s="10">
        <v>13</v>
      </c>
      <c r="R1" s="10">
        <v>17</v>
      </c>
      <c r="S1" s="10">
        <v>14</v>
      </c>
      <c r="T1" s="10">
        <v>10</v>
      </c>
      <c r="U1" s="10">
        <v>6</v>
      </c>
    </row>
    <row r="2" spans="1:27" s="9" customFormat="1" x14ac:dyDescent="0.2">
      <c r="A2" s="9" t="s">
        <v>47</v>
      </c>
      <c r="B2" s="10">
        <v>1</v>
      </c>
      <c r="C2" s="11">
        <v>2</v>
      </c>
      <c r="D2" s="11">
        <v>3</v>
      </c>
      <c r="E2" s="12">
        <v>4</v>
      </c>
      <c r="F2" s="13">
        <v>5</v>
      </c>
      <c r="G2" s="14">
        <v>6</v>
      </c>
      <c r="H2" s="10">
        <v>7</v>
      </c>
      <c r="I2" s="12">
        <v>8</v>
      </c>
      <c r="J2" s="15">
        <v>9</v>
      </c>
      <c r="K2" s="15">
        <v>10</v>
      </c>
      <c r="L2" s="16">
        <v>11</v>
      </c>
      <c r="M2" s="13">
        <v>12</v>
      </c>
      <c r="N2" s="15">
        <v>13</v>
      </c>
      <c r="O2" s="14">
        <v>14</v>
      </c>
      <c r="P2" s="14">
        <v>15</v>
      </c>
      <c r="Q2" s="11">
        <v>16</v>
      </c>
      <c r="R2" s="13">
        <v>17</v>
      </c>
      <c r="S2" s="11">
        <v>18</v>
      </c>
      <c r="T2" s="15">
        <v>19</v>
      </c>
      <c r="U2" s="14">
        <v>20</v>
      </c>
      <c r="V2" s="9">
        <v>21</v>
      </c>
      <c r="W2" s="9">
        <v>22</v>
      </c>
      <c r="X2" s="9">
        <v>23</v>
      </c>
      <c r="Y2" s="9">
        <v>24</v>
      </c>
      <c r="Z2" s="9">
        <v>25</v>
      </c>
      <c r="AA2" s="9">
        <v>26</v>
      </c>
    </row>
    <row r="3" spans="1:27" s="9" customFormat="1" x14ac:dyDescent="0.2">
      <c r="B3" s="10" t="s">
        <v>0</v>
      </c>
      <c r="C3" s="11" t="s">
        <v>2</v>
      </c>
      <c r="D3" s="11" t="s">
        <v>4</v>
      </c>
      <c r="E3" s="12" t="s">
        <v>6</v>
      </c>
      <c r="F3" s="13" t="s">
        <v>8</v>
      </c>
      <c r="G3" s="14" t="s">
        <v>10</v>
      </c>
      <c r="H3" s="10" t="s">
        <v>12</v>
      </c>
      <c r="I3" s="12" t="s">
        <v>14</v>
      </c>
      <c r="J3" s="15" t="s">
        <v>16</v>
      </c>
      <c r="K3" s="15" t="s">
        <v>18</v>
      </c>
      <c r="L3" s="16" t="s">
        <v>20</v>
      </c>
      <c r="M3" s="13" t="s">
        <v>22</v>
      </c>
      <c r="N3" s="15" t="s">
        <v>24</v>
      </c>
      <c r="O3" s="14" t="s">
        <v>26</v>
      </c>
      <c r="P3" s="14" t="s">
        <v>28</v>
      </c>
      <c r="Q3" s="11" t="s">
        <v>30</v>
      </c>
      <c r="R3" s="13" t="s">
        <v>32</v>
      </c>
      <c r="S3" s="11" t="s">
        <v>34</v>
      </c>
      <c r="T3" s="15" t="s">
        <v>36</v>
      </c>
      <c r="U3" s="14" t="s">
        <v>38</v>
      </c>
    </row>
    <row r="4" spans="1:27" s="9" customFormat="1" ht="22.5" x14ac:dyDescent="0.2">
      <c r="A4" s="17" t="s">
        <v>45</v>
      </c>
      <c r="B4" s="10" t="s">
        <v>1</v>
      </c>
      <c r="C4" s="11" t="s">
        <v>3</v>
      </c>
      <c r="D4" s="11" t="s">
        <v>5</v>
      </c>
      <c r="E4" s="12" t="s">
        <v>7</v>
      </c>
      <c r="F4" s="13" t="s">
        <v>9</v>
      </c>
      <c r="G4" s="14" t="s">
        <v>11</v>
      </c>
      <c r="H4" s="10" t="s">
        <v>13</v>
      </c>
      <c r="I4" s="12" t="s">
        <v>15</v>
      </c>
      <c r="J4" s="15" t="s">
        <v>17</v>
      </c>
      <c r="K4" s="15" t="s">
        <v>19</v>
      </c>
      <c r="L4" s="16" t="s">
        <v>21</v>
      </c>
      <c r="M4" s="13" t="s">
        <v>23</v>
      </c>
      <c r="N4" s="15" t="s">
        <v>25</v>
      </c>
      <c r="O4" s="14" t="s">
        <v>27</v>
      </c>
      <c r="P4" s="14" t="s">
        <v>29</v>
      </c>
      <c r="Q4" s="11" t="s">
        <v>31</v>
      </c>
      <c r="R4" s="13" t="s">
        <v>33</v>
      </c>
      <c r="S4" s="11" t="s">
        <v>35</v>
      </c>
      <c r="T4" s="15" t="s">
        <v>37</v>
      </c>
      <c r="U4" s="14" t="s">
        <v>39</v>
      </c>
      <c r="V4" s="9" t="s">
        <v>42</v>
      </c>
      <c r="W4" s="9" t="s">
        <v>42</v>
      </c>
      <c r="X4" s="9" t="s">
        <v>42</v>
      </c>
      <c r="Y4" s="9" t="s">
        <v>42</v>
      </c>
      <c r="Z4" s="9" t="s">
        <v>42</v>
      </c>
      <c r="AA4" s="9" t="s">
        <v>42</v>
      </c>
    </row>
    <row r="5" spans="1:27" x14ac:dyDescent="0.2">
      <c r="A5" s="17">
        <v>1</v>
      </c>
      <c r="B5" s="17">
        <v>-1</v>
      </c>
      <c r="C5" s="17">
        <v>0</v>
      </c>
      <c r="D5" s="17">
        <v>1</v>
      </c>
      <c r="E5" s="17">
        <v>2</v>
      </c>
      <c r="F5" s="17">
        <v>1.5</v>
      </c>
      <c r="G5" s="17">
        <v>1</v>
      </c>
      <c r="H5" s="17">
        <v>2</v>
      </c>
      <c r="I5" s="17">
        <v>1.5</v>
      </c>
      <c r="J5" s="17">
        <v>1</v>
      </c>
      <c r="K5" s="17">
        <v>-0.5</v>
      </c>
      <c r="L5" s="17">
        <v>1</v>
      </c>
      <c r="M5" s="17">
        <v>2</v>
      </c>
      <c r="N5" s="17">
        <v>1.5</v>
      </c>
      <c r="O5" s="17">
        <v>0</v>
      </c>
      <c r="P5" s="17">
        <v>1.5</v>
      </c>
      <c r="Q5" s="17">
        <v>0.5</v>
      </c>
      <c r="R5" s="17">
        <v>2</v>
      </c>
      <c r="S5" s="17">
        <v>1.5</v>
      </c>
      <c r="T5" s="17">
        <v>2</v>
      </c>
      <c r="U5" s="17">
        <v>2</v>
      </c>
      <c r="V5" s="17">
        <v>0</v>
      </c>
      <c r="W5" s="17">
        <v>1</v>
      </c>
      <c r="X5" s="17">
        <v>1</v>
      </c>
      <c r="Y5" s="17">
        <v>1</v>
      </c>
      <c r="Z5" s="17">
        <v>1</v>
      </c>
      <c r="AA5" s="17">
        <v>1</v>
      </c>
    </row>
    <row r="6" spans="1:27" x14ac:dyDescent="0.2">
      <c r="A6" s="17">
        <v>2</v>
      </c>
      <c r="B6" s="17">
        <v>-2</v>
      </c>
      <c r="C6" s="17">
        <v>-1.5</v>
      </c>
      <c r="D6" s="17">
        <v>1.5</v>
      </c>
      <c r="E6" s="17">
        <v>3</v>
      </c>
      <c r="F6" s="17">
        <v>2</v>
      </c>
      <c r="G6" s="17">
        <v>2</v>
      </c>
      <c r="H6" s="17">
        <v>2</v>
      </c>
      <c r="I6" s="17">
        <v>2.5</v>
      </c>
      <c r="J6" s="17">
        <v>1</v>
      </c>
      <c r="K6" s="17">
        <v>1</v>
      </c>
      <c r="L6" s="17">
        <v>2.5</v>
      </c>
      <c r="M6" s="17">
        <v>2</v>
      </c>
      <c r="N6" s="17">
        <v>2</v>
      </c>
      <c r="O6" s="17">
        <v>0</v>
      </c>
      <c r="P6" s="17">
        <v>3</v>
      </c>
      <c r="Q6" s="17">
        <v>0</v>
      </c>
      <c r="R6" s="17">
        <v>2.5</v>
      </c>
      <c r="S6" s="17">
        <v>2</v>
      </c>
      <c r="T6" s="17">
        <v>0.5</v>
      </c>
      <c r="U6" s="17">
        <v>3</v>
      </c>
      <c r="V6" s="17">
        <v>2</v>
      </c>
      <c r="W6" s="17">
        <v>0.5</v>
      </c>
      <c r="X6" s="17">
        <v>2</v>
      </c>
      <c r="Y6" s="17">
        <v>2</v>
      </c>
      <c r="Z6" s="17">
        <v>-1.5</v>
      </c>
      <c r="AA6" s="17">
        <v>2.5</v>
      </c>
    </row>
    <row r="7" spans="1:27" x14ac:dyDescent="0.2">
      <c r="A7" s="17">
        <v>3</v>
      </c>
      <c r="B7" s="17">
        <v>3</v>
      </c>
      <c r="C7" s="17">
        <v>3</v>
      </c>
      <c r="D7" s="17">
        <v>3</v>
      </c>
      <c r="E7" s="17">
        <v>3</v>
      </c>
      <c r="F7" s="17">
        <v>3</v>
      </c>
      <c r="G7" s="17">
        <v>3</v>
      </c>
      <c r="H7" s="17">
        <v>3</v>
      </c>
      <c r="I7" s="17">
        <v>3</v>
      </c>
      <c r="J7" s="17">
        <v>3</v>
      </c>
      <c r="K7" s="17">
        <v>3</v>
      </c>
      <c r="L7" s="17">
        <v>3</v>
      </c>
      <c r="M7" s="17">
        <v>3</v>
      </c>
      <c r="N7" s="17">
        <v>3</v>
      </c>
      <c r="O7" s="17">
        <v>3</v>
      </c>
      <c r="P7" s="17">
        <v>3</v>
      </c>
      <c r="Q7" s="17">
        <v>3</v>
      </c>
      <c r="R7" s="17">
        <v>3</v>
      </c>
      <c r="S7" s="17">
        <v>3</v>
      </c>
      <c r="T7" s="17">
        <v>3</v>
      </c>
      <c r="U7" s="17">
        <v>3</v>
      </c>
      <c r="V7" s="17">
        <v>3</v>
      </c>
      <c r="W7" s="17">
        <v>3</v>
      </c>
      <c r="X7" s="17">
        <v>3</v>
      </c>
      <c r="Y7" s="17">
        <v>3</v>
      </c>
      <c r="Z7" s="17">
        <v>3</v>
      </c>
      <c r="AA7" s="17">
        <v>3</v>
      </c>
    </row>
    <row r="8" spans="1:27" x14ac:dyDescent="0.2">
      <c r="A8" s="17">
        <v>4</v>
      </c>
      <c r="B8" s="17">
        <v>-0.5</v>
      </c>
      <c r="C8" s="17">
        <v>0</v>
      </c>
      <c r="D8" s="17">
        <v>0</v>
      </c>
      <c r="E8" s="17">
        <v>1.5</v>
      </c>
      <c r="F8" s="17">
        <v>1</v>
      </c>
      <c r="G8" s="17">
        <v>1</v>
      </c>
      <c r="H8" s="17">
        <v>0</v>
      </c>
      <c r="I8" s="17">
        <v>0.5</v>
      </c>
      <c r="J8" s="17">
        <v>0.5</v>
      </c>
      <c r="K8" s="17">
        <v>0.5</v>
      </c>
      <c r="L8" s="17">
        <v>1.5</v>
      </c>
      <c r="M8" s="17">
        <v>0</v>
      </c>
      <c r="N8" s="17">
        <v>1</v>
      </c>
      <c r="O8" s="17">
        <v>0</v>
      </c>
      <c r="P8" s="17">
        <v>2.5</v>
      </c>
      <c r="Q8" s="17">
        <v>1.5</v>
      </c>
      <c r="R8" s="17">
        <v>0.5</v>
      </c>
      <c r="S8" s="17">
        <v>1.5</v>
      </c>
      <c r="T8" s="17">
        <v>1</v>
      </c>
      <c r="U8" s="17">
        <v>2</v>
      </c>
      <c r="V8" s="17">
        <v>0.5</v>
      </c>
      <c r="W8" s="17">
        <v>-1.5</v>
      </c>
      <c r="X8" s="17">
        <v>1</v>
      </c>
      <c r="Y8" s="17">
        <v>1</v>
      </c>
      <c r="Z8" s="17">
        <v>1</v>
      </c>
      <c r="AA8" s="17">
        <v>1</v>
      </c>
    </row>
    <row r="9" spans="1:27" x14ac:dyDescent="0.2">
      <c r="A9" s="17">
        <v>5</v>
      </c>
      <c r="B9" s="17">
        <v>1</v>
      </c>
      <c r="C9" s="17">
        <v>0</v>
      </c>
      <c r="D9" s="17">
        <v>0</v>
      </c>
      <c r="E9" s="17">
        <v>0</v>
      </c>
      <c r="F9" s="17">
        <v>1</v>
      </c>
      <c r="G9" s="17">
        <v>1</v>
      </c>
      <c r="H9" s="17">
        <v>2</v>
      </c>
      <c r="I9" s="17">
        <v>1.5</v>
      </c>
      <c r="J9" s="17">
        <v>-0.5</v>
      </c>
      <c r="K9" s="17">
        <v>-2</v>
      </c>
      <c r="L9" s="17">
        <v>-1.5</v>
      </c>
      <c r="M9" s="17">
        <v>1</v>
      </c>
      <c r="N9" s="17">
        <v>2</v>
      </c>
      <c r="O9" s="17">
        <v>1</v>
      </c>
      <c r="P9" s="17">
        <v>1.5</v>
      </c>
      <c r="Q9" s="17">
        <v>0</v>
      </c>
      <c r="R9" s="17">
        <v>1</v>
      </c>
      <c r="S9" s="17">
        <v>1</v>
      </c>
      <c r="T9" s="17">
        <v>1.5</v>
      </c>
      <c r="U9" s="17">
        <v>2</v>
      </c>
      <c r="V9" s="17">
        <v>1</v>
      </c>
      <c r="W9" s="17">
        <v>-1.5</v>
      </c>
      <c r="X9" s="17">
        <v>1</v>
      </c>
      <c r="Y9" s="17">
        <v>-0.5</v>
      </c>
      <c r="Z9" s="17">
        <v>1</v>
      </c>
      <c r="AA9" s="17">
        <v>0.5</v>
      </c>
    </row>
    <row r="10" spans="1:27" x14ac:dyDescent="0.2">
      <c r="A10" s="17">
        <v>6</v>
      </c>
      <c r="B10" s="17">
        <v>1.5</v>
      </c>
      <c r="C10" s="17">
        <v>2</v>
      </c>
      <c r="D10" s="17">
        <v>2</v>
      </c>
      <c r="E10" s="17">
        <v>2</v>
      </c>
      <c r="F10" s="17">
        <v>2</v>
      </c>
      <c r="G10" s="17">
        <v>2</v>
      </c>
      <c r="H10" s="17">
        <v>2</v>
      </c>
      <c r="I10" s="17">
        <v>2</v>
      </c>
      <c r="J10" s="17">
        <v>2</v>
      </c>
      <c r="K10" s="17">
        <v>2</v>
      </c>
      <c r="L10" s="17">
        <v>2</v>
      </c>
      <c r="M10" s="17">
        <v>2</v>
      </c>
      <c r="N10" s="17">
        <v>2</v>
      </c>
      <c r="O10" s="17">
        <v>2</v>
      </c>
      <c r="P10" s="17">
        <v>2</v>
      </c>
      <c r="Q10" s="17">
        <v>2</v>
      </c>
      <c r="R10" s="17">
        <v>2</v>
      </c>
      <c r="S10" s="17">
        <v>2</v>
      </c>
      <c r="T10" s="17">
        <v>2</v>
      </c>
      <c r="U10" s="17">
        <v>2</v>
      </c>
      <c r="V10" s="17">
        <v>1.5</v>
      </c>
      <c r="W10" s="17">
        <v>1</v>
      </c>
      <c r="X10" s="17">
        <v>1.5</v>
      </c>
      <c r="Y10" s="17">
        <v>2</v>
      </c>
      <c r="Z10" s="17">
        <v>1.5</v>
      </c>
      <c r="AA10" s="17">
        <v>1.5</v>
      </c>
    </row>
    <row r="11" spans="1:27" x14ac:dyDescent="0.2">
      <c r="A11" s="17">
        <v>7</v>
      </c>
      <c r="B11" s="17">
        <v>0.5</v>
      </c>
      <c r="C11" s="17">
        <v>2</v>
      </c>
      <c r="D11" s="17">
        <v>2</v>
      </c>
      <c r="E11" s="17">
        <v>2</v>
      </c>
      <c r="F11" s="17">
        <v>2</v>
      </c>
      <c r="G11" s="17">
        <v>1</v>
      </c>
      <c r="H11" s="17">
        <v>3</v>
      </c>
      <c r="I11" s="17">
        <v>2</v>
      </c>
      <c r="J11" s="17">
        <v>2</v>
      </c>
      <c r="K11" s="17">
        <v>2</v>
      </c>
      <c r="L11" s="17">
        <v>2</v>
      </c>
      <c r="M11" s="17">
        <v>2</v>
      </c>
      <c r="N11" s="17">
        <v>2</v>
      </c>
      <c r="O11" s="17">
        <v>2</v>
      </c>
      <c r="P11" s="17">
        <v>2</v>
      </c>
      <c r="Q11" s="17">
        <v>1.5</v>
      </c>
      <c r="R11" s="17">
        <v>2</v>
      </c>
      <c r="S11" s="17">
        <v>2</v>
      </c>
      <c r="T11" s="17">
        <v>2</v>
      </c>
      <c r="U11" s="17">
        <v>2</v>
      </c>
      <c r="V11" s="17">
        <v>1.5</v>
      </c>
      <c r="W11" s="17">
        <v>0</v>
      </c>
      <c r="X11" s="17">
        <v>0.5</v>
      </c>
      <c r="Y11" s="17">
        <v>0.5</v>
      </c>
      <c r="Z11" s="17">
        <v>0</v>
      </c>
      <c r="AA11" s="17">
        <v>0</v>
      </c>
    </row>
    <row r="12" spans="1:27" x14ac:dyDescent="0.2">
      <c r="A12" s="17">
        <v>8</v>
      </c>
      <c r="B12" s="17">
        <v>1.5</v>
      </c>
      <c r="C12" s="17">
        <v>1.5</v>
      </c>
      <c r="D12" s="17">
        <v>2</v>
      </c>
      <c r="E12" s="17">
        <v>1.5</v>
      </c>
      <c r="F12" s="17">
        <v>1.5</v>
      </c>
      <c r="G12" s="17">
        <v>1.5</v>
      </c>
      <c r="H12" s="17">
        <v>2</v>
      </c>
      <c r="I12" s="17">
        <v>1</v>
      </c>
      <c r="J12" s="17">
        <v>1.5</v>
      </c>
      <c r="K12" s="17">
        <v>1</v>
      </c>
      <c r="L12" s="17">
        <v>2</v>
      </c>
      <c r="M12" s="17">
        <v>2</v>
      </c>
      <c r="N12" s="17">
        <v>2</v>
      </c>
      <c r="O12" s="17">
        <v>2</v>
      </c>
      <c r="P12" s="17">
        <v>2.5</v>
      </c>
      <c r="Q12" s="17">
        <v>2</v>
      </c>
      <c r="R12" s="17">
        <v>1.5</v>
      </c>
      <c r="S12" s="17">
        <v>1.5</v>
      </c>
      <c r="T12" s="17">
        <v>2</v>
      </c>
      <c r="U12" s="17">
        <v>2</v>
      </c>
      <c r="V12" s="17">
        <v>1.5</v>
      </c>
      <c r="W12" s="17">
        <v>1</v>
      </c>
      <c r="X12" s="17">
        <v>1.5</v>
      </c>
      <c r="Y12" s="17">
        <v>1.5</v>
      </c>
      <c r="Z12" s="17">
        <v>1</v>
      </c>
      <c r="AA12" s="17">
        <v>1.5</v>
      </c>
    </row>
    <row r="13" spans="1:27" x14ac:dyDescent="0.2">
      <c r="A13" s="17">
        <v>9</v>
      </c>
      <c r="B13" s="17">
        <v>-1</v>
      </c>
      <c r="C13" s="17">
        <v>-0.5</v>
      </c>
      <c r="D13" s="17">
        <v>-1</v>
      </c>
      <c r="E13" s="17">
        <v>-0.5</v>
      </c>
      <c r="F13" s="17">
        <v>-1</v>
      </c>
      <c r="G13" s="17">
        <v>-0.5</v>
      </c>
      <c r="H13" s="17">
        <v>0</v>
      </c>
      <c r="I13" s="17">
        <v>0.5</v>
      </c>
      <c r="J13" s="17">
        <v>0</v>
      </c>
      <c r="K13" s="17">
        <v>-1</v>
      </c>
      <c r="L13" s="17">
        <v>-1</v>
      </c>
      <c r="M13" s="17">
        <v>-0.5</v>
      </c>
      <c r="N13" s="17">
        <v>0.5</v>
      </c>
      <c r="O13" s="17">
        <v>-1</v>
      </c>
      <c r="P13" s="17">
        <v>-0.5</v>
      </c>
      <c r="Q13" s="17">
        <v>-1</v>
      </c>
      <c r="R13" s="17">
        <v>0</v>
      </c>
      <c r="S13" s="17">
        <v>-1</v>
      </c>
      <c r="T13" s="17">
        <v>-1</v>
      </c>
      <c r="U13" s="17">
        <v>-0.5</v>
      </c>
      <c r="V13" s="17">
        <v>-0.5</v>
      </c>
      <c r="W13" s="17">
        <v>-1</v>
      </c>
      <c r="X13" s="17">
        <v>-1</v>
      </c>
      <c r="Y13" s="17">
        <v>-1</v>
      </c>
      <c r="Z13" s="17">
        <v>-1</v>
      </c>
      <c r="AA13" s="17">
        <v>-1</v>
      </c>
    </row>
    <row r="14" spans="1:27" x14ac:dyDescent="0.2">
      <c r="A14" s="17">
        <v>10</v>
      </c>
      <c r="B14" s="17">
        <v>1</v>
      </c>
      <c r="C14" s="17">
        <v>2.5</v>
      </c>
      <c r="D14" s="17">
        <v>2</v>
      </c>
      <c r="E14" s="17">
        <v>2</v>
      </c>
      <c r="F14" s="17">
        <v>2.5</v>
      </c>
      <c r="G14" s="17">
        <v>2</v>
      </c>
      <c r="H14" s="17">
        <v>2</v>
      </c>
      <c r="I14" s="17">
        <v>2</v>
      </c>
      <c r="J14" s="17">
        <v>0</v>
      </c>
      <c r="K14" s="17">
        <v>1</v>
      </c>
      <c r="L14" s="17">
        <v>3</v>
      </c>
      <c r="M14" s="17">
        <v>2</v>
      </c>
      <c r="N14" s="17">
        <v>2.5</v>
      </c>
      <c r="O14" s="17">
        <v>2</v>
      </c>
      <c r="P14" s="17">
        <v>3</v>
      </c>
      <c r="Q14" s="17">
        <v>3</v>
      </c>
      <c r="R14" s="17">
        <v>3</v>
      </c>
      <c r="S14" s="17">
        <v>2.5</v>
      </c>
      <c r="T14" s="17">
        <v>2.5</v>
      </c>
      <c r="U14" s="17">
        <v>2.5</v>
      </c>
      <c r="V14" s="17">
        <v>2</v>
      </c>
      <c r="W14" s="17">
        <v>2.5</v>
      </c>
      <c r="X14" s="17">
        <v>2</v>
      </c>
      <c r="Y14" s="17">
        <v>2</v>
      </c>
      <c r="Z14" s="17">
        <v>2.5</v>
      </c>
      <c r="AA14" s="17">
        <v>2.5</v>
      </c>
    </row>
    <row r="15" spans="1:27" x14ac:dyDescent="0.2">
      <c r="A15" s="17">
        <v>11</v>
      </c>
      <c r="B15" s="17">
        <v>-1</v>
      </c>
      <c r="C15" s="17">
        <v>2</v>
      </c>
      <c r="D15" s="17">
        <v>2</v>
      </c>
      <c r="E15" s="17">
        <v>2</v>
      </c>
      <c r="F15" s="17">
        <v>2</v>
      </c>
      <c r="G15" s="17">
        <v>-1</v>
      </c>
      <c r="H15" s="17">
        <v>2</v>
      </c>
      <c r="I15" s="17">
        <v>1</v>
      </c>
      <c r="J15" s="17">
        <v>2</v>
      </c>
      <c r="K15" s="17">
        <v>2</v>
      </c>
      <c r="L15" s="17">
        <v>2</v>
      </c>
      <c r="M15" s="17">
        <v>1.5</v>
      </c>
      <c r="N15" s="17">
        <v>2</v>
      </c>
      <c r="O15" s="17">
        <v>2</v>
      </c>
      <c r="P15" s="17">
        <v>2</v>
      </c>
      <c r="Q15" s="17">
        <v>2</v>
      </c>
      <c r="R15" s="17">
        <v>2.5</v>
      </c>
      <c r="S15" s="17">
        <v>1.5</v>
      </c>
      <c r="T15" s="17">
        <v>2</v>
      </c>
      <c r="U15" s="17">
        <v>2</v>
      </c>
      <c r="V15" s="17">
        <v>2</v>
      </c>
      <c r="W15" s="17">
        <v>2</v>
      </c>
      <c r="X15" s="17">
        <v>2</v>
      </c>
      <c r="Y15" s="17">
        <v>0.5</v>
      </c>
      <c r="Z15" s="17">
        <v>1.5</v>
      </c>
      <c r="AA15" s="17">
        <v>2</v>
      </c>
    </row>
    <row r="16" spans="1:27" x14ac:dyDescent="0.2">
      <c r="A16" s="17">
        <v>12</v>
      </c>
      <c r="B16" s="17">
        <v>1</v>
      </c>
      <c r="C16" s="17">
        <v>1</v>
      </c>
      <c r="D16" s="17">
        <v>1.5</v>
      </c>
      <c r="E16" s="17">
        <v>1.5</v>
      </c>
      <c r="F16" s="17">
        <v>2</v>
      </c>
      <c r="G16" s="17">
        <v>-1</v>
      </c>
      <c r="H16" s="17">
        <v>2</v>
      </c>
      <c r="I16" s="17">
        <v>2</v>
      </c>
      <c r="J16" s="17">
        <v>1</v>
      </c>
      <c r="K16" s="17">
        <v>2</v>
      </c>
      <c r="L16" s="17">
        <v>2</v>
      </c>
      <c r="M16" s="17">
        <v>2</v>
      </c>
      <c r="N16" s="17">
        <v>2</v>
      </c>
      <c r="O16" s="17">
        <v>2</v>
      </c>
      <c r="P16" s="17">
        <v>3</v>
      </c>
      <c r="Q16" s="17">
        <v>2</v>
      </c>
      <c r="R16" s="17">
        <v>1.5</v>
      </c>
      <c r="S16" s="17">
        <v>1.5</v>
      </c>
      <c r="T16" s="17">
        <v>2</v>
      </c>
      <c r="U16" s="17">
        <v>2</v>
      </c>
      <c r="V16" s="17">
        <v>0.5</v>
      </c>
      <c r="W16" s="17">
        <v>0</v>
      </c>
      <c r="X16" s="17">
        <v>0</v>
      </c>
      <c r="Y16" s="17">
        <v>0</v>
      </c>
      <c r="Z16" s="17">
        <v>-0.5</v>
      </c>
      <c r="AA16" s="17">
        <v>0.5</v>
      </c>
    </row>
    <row r="17" spans="1:27" x14ac:dyDescent="0.2">
      <c r="A17" s="17">
        <v>13</v>
      </c>
      <c r="B17" s="17">
        <v>-1.5</v>
      </c>
      <c r="C17" s="17">
        <v>0</v>
      </c>
      <c r="D17" s="17">
        <v>-0.5</v>
      </c>
      <c r="E17" s="17">
        <v>1.5</v>
      </c>
      <c r="F17" s="17">
        <v>0.5</v>
      </c>
      <c r="G17" s="17">
        <v>-1.5</v>
      </c>
      <c r="H17" s="17">
        <v>1.5</v>
      </c>
      <c r="I17" s="17">
        <v>2</v>
      </c>
      <c r="J17" s="17">
        <v>1.5</v>
      </c>
      <c r="K17" s="17">
        <v>0.5</v>
      </c>
      <c r="L17" s="17">
        <v>2.5</v>
      </c>
      <c r="M17" s="17">
        <v>1.5</v>
      </c>
      <c r="N17" s="17">
        <v>1.5</v>
      </c>
      <c r="O17" s="17">
        <v>0</v>
      </c>
      <c r="P17" s="17">
        <v>2</v>
      </c>
      <c r="Q17" s="17">
        <v>1</v>
      </c>
      <c r="R17" s="17">
        <v>1</v>
      </c>
      <c r="S17" s="17">
        <v>1.5</v>
      </c>
      <c r="T17" s="17">
        <v>1.5</v>
      </c>
      <c r="U17" s="17">
        <v>1</v>
      </c>
      <c r="V17" s="17">
        <v>1</v>
      </c>
      <c r="W17" s="17">
        <v>0</v>
      </c>
      <c r="X17" s="17">
        <v>1.5</v>
      </c>
      <c r="Y17" s="17">
        <v>1</v>
      </c>
      <c r="Z17" s="17">
        <v>-1</v>
      </c>
      <c r="AA17" s="17">
        <v>1</v>
      </c>
    </row>
    <row r="18" spans="1:27" x14ac:dyDescent="0.2">
      <c r="A18" s="17">
        <v>14</v>
      </c>
      <c r="B18" s="17">
        <v>2.5</v>
      </c>
      <c r="C18" s="17">
        <v>1.5</v>
      </c>
      <c r="D18" s="17">
        <v>2.5</v>
      </c>
      <c r="E18" s="17">
        <v>3</v>
      </c>
      <c r="F18" s="17">
        <v>3</v>
      </c>
      <c r="G18" s="17">
        <v>1</v>
      </c>
      <c r="H18" s="17">
        <v>3</v>
      </c>
      <c r="I18" s="17">
        <v>3</v>
      </c>
      <c r="J18" s="17">
        <v>2</v>
      </c>
      <c r="K18" s="17">
        <v>2.5</v>
      </c>
      <c r="L18" s="17">
        <v>3</v>
      </c>
      <c r="M18" s="17">
        <v>3</v>
      </c>
      <c r="N18" s="17">
        <v>3</v>
      </c>
      <c r="O18" s="17">
        <v>2</v>
      </c>
      <c r="P18" s="17">
        <v>3</v>
      </c>
      <c r="Q18" s="17">
        <v>2.5</v>
      </c>
      <c r="R18" s="17">
        <v>2</v>
      </c>
      <c r="S18" s="17">
        <v>2</v>
      </c>
      <c r="T18" s="17">
        <v>3</v>
      </c>
      <c r="U18" s="17">
        <v>3</v>
      </c>
      <c r="V18" s="17">
        <v>2.5</v>
      </c>
      <c r="W18" s="17">
        <v>2</v>
      </c>
      <c r="X18" s="17">
        <v>2</v>
      </c>
      <c r="Y18" s="17">
        <v>1.5</v>
      </c>
      <c r="Z18" s="17">
        <v>2.5</v>
      </c>
      <c r="AA18" s="17">
        <v>3</v>
      </c>
    </row>
    <row r="19" spans="1:27" x14ac:dyDescent="0.2">
      <c r="A19" s="17">
        <v>15</v>
      </c>
      <c r="B19" s="17">
        <v>1</v>
      </c>
      <c r="C19" s="17">
        <v>2</v>
      </c>
      <c r="D19" s="17">
        <v>2.5</v>
      </c>
      <c r="E19" s="17">
        <v>2.5</v>
      </c>
      <c r="F19" s="17">
        <v>3</v>
      </c>
      <c r="G19" s="17">
        <v>2</v>
      </c>
      <c r="H19" s="17">
        <v>3</v>
      </c>
      <c r="I19" s="17">
        <v>3</v>
      </c>
      <c r="J19" s="17">
        <v>1</v>
      </c>
      <c r="K19" s="17">
        <v>2</v>
      </c>
      <c r="L19" s="17">
        <v>2.5</v>
      </c>
      <c r="M19" s="17">
        <v>3</v>
      </c>
      <c r="N19" s="17">
        <v>2.5</v>
      </c>
      <c r="O19" s="17">
        <v>3</v>
      </c>
      <c r="P19" s="17">
        <v>2.5</v>
      </c>
      <c r="Q19" s="17">
        <v>3</v>
      </c>
      <c r="R19" s="17">
        <v>3</v>
      </c>
      <c r="S19" s="17">
        <v>2.5</v>
      </c>
      <c r="T19" s="17">
        <v>2</v>
      </c>
      <c r="U19" s="17">
        <v>3</v>
      </c>
      <c r="V19" s="17">
        <v>-1</v>
      </c>
      <c r="W19" s="17">
        <v>0.5</v>
      </c>
      <c r="X19" s="17">
        <v>0</v>
      </c>
      <c r="Y19" s="17">
        <v>0.5</v>
      </c>
      <c r="Z19" s="17">
        <v>1</v>
      </c>
      <c r="AA19" s="17">
        <v>0.5</v>
      </c>
    </row>
    <row r="20" spans="1:27" x14ac:dyDescent="0.2">
      <c r="A20" s="17">
        <v>16</v>
      </c>
      <c r="B20" s="17">
        <v>2</v>
      </c>
      <c r="C20" s="17">
        <v>2.5</v>
      </c>
      <c r="D20" s="17">
        <v>2.5</v>
      </c>
      <c r="E20" s="17">
        <v>2</v>
      </c>
      <c r="F20" s="17">
        <v>3</v>
      </c>
      <c r="G20" s="17">
        <v>2</v>
      </c>
      <c r="H20" s="17">
        <v>2.5</v>
      </c>
      <c r="I20" s="17">
        <v>2</v>
      </c>
      <c r="J20" s="17">
        <v>2</v>
      </c>
      <c r="K20" s="17">
        <v>1</v>
      </c>
      <c r="L20" s="17">
        <v>2</v>
      </c>
      <c r="M20" s="17">
        <v>2</v>
      </c>
      <c r="N20" s="17">
        <v>2</v>
      </c>
      <c r="O20" s="17">
        <v>2.5</v>
      </c>
      <c r="P20" s="17">
        <v>3</v>
      </c>
      <c r="Q20" s="17">
        <v>3</v>
      </c>
      <c r="R20" s="17">
        <v>2.5</v>
      </c>
      <c r="S20" s="17">
        <v>2</v>
      </c>
      <c r="T20" s="17">
        <v>1.5</v>
      </c>
      <c r="U20" s="17">
        <v>2.5</v>
      </c>
      <c r="V20" s="17">
        <v>2.5</v>
      </c>
      <c r="W20" s="17">
        <v>2.5</v>
      </c>
      <c r="X20" s="17">
        <v>2.5</v>
      </c>
      <c r="Y20" s="17">
        <v>2</v>
      </c>
      <c r="Z20" s="17">
        <v>2.5</v>
      </c>
      <c r="AA20" s="17">
        <v>2</v>
      </c>
    </row>
    <row r="21" spans="1:27" x14ac:dyDescent="0.2">
      <c r="A21" s="17">
        <v>17</v>
      </c>
      <c r="B21" s="17">
        <v>1.5</v>
      </c>
      <c r="C21" s="17">
        <v>2</v>
      </c>
      <c r="D21" s="17">
        <v>1</v>
      </c>
      <c r="E21" s="17">
        <v>1.5</v>
      </c>
      <c r="F21" s="17">
        <v>1.5</v>
      </c>
      <c r="G21" s="17">
        <v>0.5</v>
      </c>
      <c r="H21" s="17">
        <v>1.5</v>
      </c>
      <c r="I21" s="17">
        <v>1</v>
      </c>
      <c r="J21" s="17">
        <v>0</v>
      </c>
      <c r="K21" s="17">
        <v>1</v>
      </c>
      <c r="L21" s="17">
        <v>0.5</v>
      </c>
      <c r="M21" s="17">
        <v>1</v>
      </c>
      <c r="N21" s="17">
        <v>1</v>
      </c>
      <c r="O21" s="17">
        <v>1</v>
      </c>
      <c r="P21" s="17">
        <v>1.5</v>
      </c>
      <c r="Q21" s="17">
        <v>1</v>
      </c>
      <c r="R21" s="17">
        <v>1.5</v>
      </c>
      <c r="S21" s="17">
        <v>1</v>
      </c>
      <c r="T21" s="17">
        <v>1</v>
      </c>
      <c r="U21" s="17">
        <v>0.5</v>
      </c>
      <c r="V21" s="17">
        <v>1.5</v>
      </c>
      <c r="W21" s="17">
        <v>1.5</v>
      </c>
      <c r="X21" s="17">
        <v>0.5</v>
      </c>
      <c r="Y21" s="17">
        <v>0.5</v>
      </c>
      <c r="Z21" s="17">
        <v>1.5</v>
      </c>
      <c r="AA21" s="17">
        <v>1</v>
      </c>
    </row>
    <row r="22" spans="1:27" x14ac:dyDescent="0.2">
      <c r="A22" s="17">
        <v>18</v>
      </c>
      <c r="B22" s="17">
        <v>0</v>
      </c>
      <c r="C22" s="17">
        <v>1.5</v>
      </c>
      <c r="D22" s="17">
        <v>1</v>
      </c>
      <c r="E22" s="17">
        <v>1</v>
      </c>
      <c r="F22" s="17">
        <v>1.5</v>
      </c>
      <c r="G22" s="17">
        <v>-3</v>
      </c>
      <c r="H22" s="17">
        <v>1.5</v>
      </c>
      <c r="I22" s="17">
        <v>1.5</v>
      </c>
      <c r="J22" s="17">
        <v>1.5</v>
      </c>
      <c r="K22" s="17">
        <v>0.5</v>
      </c>
      <c r="L22" s="17">
        <v>-2.5</v>
      </c>
      <c r="M22" s="17">
        <v>1</v>
      </c>
      <c r="N22" s="17">
        <v>0</v>
      </c>
      <c r="O22" s="17">
        <v>1.5</v>
      </c>
      <c r="P22" s="17">
        <v>1</v>
      </c>
      <c r="Q22" s="17">
        <v>1</v>
      </c>
      <c r="R22" s="17">
        <v>1.5</v>
      </c>
      <c r="S22" s="17">
        <v>0.5</v>
      </c>
      <c r="T22" s="17">
        <v>1</v>
      </c>
      <c r="U22" s="17">
        <v>1</v>
      </c>
      <c r="V22" s="17">
        <v>0.5</v>
      </c>
      <c r="W22" s="17">
        <v>0</v>
      </c>
      <c r="X22" s="17">
        <v>-0.5</v>
      </c>
      <c r="Y22" s="17">
        <v>1</v>
      </c>
      <c r="Z22" s="17">
        <v>1</v>
      </c>
      <c r="AA22" s="17">
        <v>1</v>
      </c>
    </row>
    <row r="23" spans="1:27" x14ac:dyDescent="0.2">
      <c r="A23" s="17">
        <v>19</v>
      </c>
      <c r="B23" s="17">
        <v>1</v>
      </c>
      <c r="C23" s="17">
        <v>3</v>
      </c>
      <c r="D23" s="17">
        <v>2.5</v>
      </c>
      <c r="E23" s="17">
        <v>2.5</v>
      </c>
      <c r="F23" s="17">
        <v>3</v>
      </c>
      <c r="G23" s="17">
        <v>0.5</v>
      </c>
      <c r="H23" s="17">
        <v>2</v>
      </c>
      <c r="I23" s="17">
        <v>3</v>
      </c>
      <c r="J23" s="17">
        <v>2</v>
      </c>
      <c r="K23" s="17">
        <v>1.5</v>
      </c>
      <c r="L23" s="17">
        <v>3</v>
      </c>
      <c r="M23" s="17">
        <v>3</v>
      </c>
      <c r="N23" s="17">
        <v>2.5</v>
      </c>
      <c r="O23" s="17">
        <v>2</v>
      </c>
      <c r="P23" s="17">
        <v>2.5</v>
      </c>
      <c r="Q23" s="17">
        <v>2.5</v>
      </c>
      <c r="R23" s="17">
        <v>2.5</v>
      </c>
      <c r="S23" s="17">
        <v>2.5</v>
      </c>
      <c r="T23" s="17">
        <v>2.5</v>
      </c>
      <c r="U23" s="17">
        <v>2.5</v>
      </c>
      <c r="V23" s="17">
        <v>2.5</v>
      </c>
      <c r="W23" s="17">
        <v>2.5</v>
      </c>
      <c r="X23" s="17">
        <v>3</v>
      </c>
      <c r="Y23" s="17">
        <v>2</v>
      </c>
      <c r="Z23" s="17">
        <v>1.5</v>
      </c>
      <c r="AA23" s="17">
        <v>2</v>
      </c>
    </row>
    <row r="24" spans="1:27" x14ac:dyDescent="0.2">
      <c r="A24" s="17">
        <v>20</v>
      </c>
      <c r="B24" s="17">
        <v>-1</v>
      </c>
      <c r="C24" s="17">
        <v>1</v>
      </c>
      <c r="D24" s="17">
        <v>1</v>
      </c>
      <c r="E24" s="17">
        <v>2</v>
      </c>
      <c r="F24" s="17">
        <v>1.5</v>
      </c>
      <c r="G24" s="17">
        <v>1</v>
      </c>
      <c r="H24" s="17">
        <v>2</v>
      </c>
      <c r="I24" s="17">
        <v>2</v>
      </c>
      <c r="J24" s="17">
        <v>0</v>
      </c>
      <c r="K24" s="17">
        <v>1.5</v>
      </c>
      <c r="L24" s="17">
        <v>1.5</v>
      </c>
      <c r="M24" s="17">
        <v>1</v>
      </c>
      <c r="N24" s="17">
        <v>1</v>
      </c>
      <c r="O24" s="17">
        <v>-0.5</v>
      </c>
      <c r="P24" s="17">
        <v>1</v>
      </c>
      <c r="Q24" s="17">
        <v>1</v>
      </c>
      <c r="R24" s="17">
        <v>1.5</v>
      </c>
      <c r="S24" s="17">
        <v>0</v>
      </c>
      <c r="T24" s="17">
        <v>1.5</v>
      </c>
      <c r="U24" s="17">
        <v>1.5</v>
      </c>
      <c r="V24" s="17">
        <v>1.5</v>
      </c>
      <c r="W24" s="17">
        <v>1.5</v>
      </c>
      <c r="X24" s="17">
        <v>2</v>
      </c>
      <c r="Y24" s="17">
        <v>1</v>
      </c>
      <c r="Z24" s="17">
        <v>1</v>
      </c>
      <c r="AA24" s="17">
        <v>1.5</v>
      </c>
    </row>
    <row r="25" spans="1:27" x14ac:dyDescent="0.2">
      <c r="A25" s="17">
        <v>21</v>
      </c>
      <c r="B25" s="17">
        <v>0.5</v>
      </c>
      <c r="C25" s="17">
        <v>2</v>
      </c>
      <c r="D25" s="17">
        <v>0.5</v>
      </c>
      <c r="E25" s="17">
        <v>2</v>
      </c>
      <c r="F25" s="17">
        <v>2.5</v>
      </c>
      <c r="G25" s="17">
        <v>0.5</v>
      </c>
      <c r="H25" s="17">
        <v>3</v>
      </c>
      <c r="I25" s="17">
        <v>2</v>
      </c>
      <c r="J25" s="17">
        <v>1</v>
      </c>
      <c r="K25" s="17">
        <v>2.5</v>
      </c>
      <c r="L25" s="17">
        <v>2</v>
      </c>
      <c r="M25" s="17">
        <v>2</v>
      </c>
      <c r="N25" s="17">
        <v>2</v>
      </c>
      <c r="O25" s="17">
        <v>2</v>
      </c>
      <c r="P25" s="17">
        <v>3</v>
      </c>
      <c r="Q25" s="17">
        <v>2.5</v>
      </c>
      <c r="R25" s="17">
        <v>2.5</v>
      </c>
      <c r="S25" s="17">
        <v>2.5</v>
      </c>
      <c r="T25" s="17">
        <v>3</v>
      </c>
      <c r="U25" s="17">
        <v>2.5</v>
      </c>
      <c r="V25" s="17">
        <v>0</v>
      </c>
      <c r="W25" s="17">
        <v>0</v>
      </c>
      <c r="X25" s="17">
        <v>2.5</v>
      </c>
      <c r="Y25" s="17">
        <v>0</v>
      </c>
      <c r="Z25" s="17">
        <v>1</v>
      </c>
      <c r="AA25" s="17">
        <v>1.5</v>
      </c>
    </row>
    <row r="26" spans="1:27" x14ac:dyDescent="0.2">
      <c r="A26" s="17">
        <v>22</v>
      </c>
      <c r="B26" s="17">
        <v>-1</v>
      </c>
      <c r="C26" s="17">
        <v>0</v>
      </c>
      <c r="D26" s="17">
        <v>1.5</v>
      </c>
      <c r="E26" s="17">
        <v>2.5</v>
      </c>
      <c r="F26" s="17">
        <v>3</v>
      </c>
      <c r="G26" s="17">
        <v>1</v>
      </c>
      <c r="H26" s="17">
        <v>3</v>
      </c>
      <c r="I26" s="17">
        <v>2</v>
      </c>
      <c r="J26" s="17">
        <v>2</v>
      </c>
      <c r="K26" s="17">
        <v>1.5</v>
      </c>
      <c r="L26" s="17">
        <v>2.5</v>
      </c>
      <c r="M26" s="17">
        <v>2.5</v>
      </c>
      <c r="N26" s="17">
        <v>2</v>
      </c>
      <c r="O26" s="17">
        <v>0</v>
      </c>
      <c r="P26" s="17">
        <v>2.5</v>
      </c>
      <c r="Q26" s="17">
        <v>2</v>
      </c>
      <c r="R26" s="17">
        <v>3</v>
      </c>
      <c r="S26" s="17">
        <v>2</v>
      </c>
      <c r="T26" s="17">
        <v>2</v>
      </c>
      <c r="U26" s="17">
        <v>2.5</v>
      </c>
      <c r="V26" s="17">
        <v>2</v>
      </c>
      <c r="W26" s="17">
        <v>2</v>
      </c>
      <c r="X26" s="17">
        <v>1</v>
      </c>
      <c r="Y26" s="17">
        <v>0</v>
      </c>
      <c r="Z26" s="17">
        <v>3</v>
      </c>
      <c r="AA26" s="17">
        <v>3</v>
      </c>
    </row>
    <row r="27" spans="1:27" x14ac:dyDescent="0.2">
      <c r="A27" s="17">
        <v>23</v>
      </c>
      <c r="B27" s="17">
        <v>2</v>
      </c>
      <c r="C27" s="17">
        <v>2</v>
      </c>
      <c r="D27" s="17">
        <v>2</v>
      </c>
      <c r="E27" s="17">
        <v>2</v>
      </c>
      <c r="F27" s="17">
        <v>2</v>
      </c>
      <c r="G27" s="17">
        <v>2</v>
      </c>
      <c r="H27" s="17">
        <v>2</v>
      </c>
      <c r="I27" s="17">
        <v>2</v>
      </c>
      <c r="J27" s="17">
        <v>2</v>
      </c>
      <c r="K27" s="17">
        <v>2</v>
      </c>
      <c r="L27" s="17">
        <v>2</v>
      </c>
      <c r="M27" s="17">
        <v>2</v>
      </c>
      <c r="N27" s="17">
        <v>2</v>
      </c>
      <c r="O27" s="17">
        <v>2</v>
      </c>
      <c r="P27" s="17">
        <v>2</v>
      </c>
      <c r="Q27" s="17">
        <v>2</v>
      </c>
      <c r="R27" s="17">
        <v>2</v>
      </c>
      <c r="S27" s="17">
        <v>2</v>
      </c>
      <c r="T27" s="17">
        <v>2</v>
      </c>
      <c r="U27" s="17">
        <v>2</v>
      </c>
      <c r="V27" s="17">
        <v>1.5</v>
      </c>
      <c r="W27" s="17">
        <v>2</v>
      </c>
      <c r="X27" s="17">
        <v>2</v>
      </c>
      <c r="Y27" s="17">
        <v>2</v>
      </c>
      <c r="Z27" s="17">
        <v>2</v>
      </c>
      <c r="AA27" s="17">
        <v>2</v>
      </c>
    </row>
    <row r="28" spans="1:27" x14ac:dyDescent="0.2">
      <c r="A28" s="17">
        <v>24</v>
      </c>
      <c r="B28" s="17">
        <v>0.5</v>
      </c>
      <c r="C28" s="17">
        <v>2</v>
      </c>
      <c r="D28" s="17">
        <v>3</v>
      </c>
      <c r="E28" s="17">
        <v>1</v>
      </c>
      <c r="F28" s="17">
        <v>2</v>
      </c>
      <c r="G28" s="17">
        <v>-1.5</v>
      </c>
      <c r="H28" s="17">
        <v>1</v>
      </c>
      <c r="I28" s="17">
        <v>2</v>
      </c>
      <c r="J28" s="17">
        <v>1</v>
      </c>
      <c r="K28" s="17">
        <v>1</v>
      </c>
      <c r="L28" s="17">
        <v>2</v>
      </c>
      <c r="M28" s="17">
        <v>1</v>
      </c>
      <c r="N28" s="17">
        <v>1</v>
      </c>
      <c r="O28" s="17">
        <v>0.5</v>
      </c>
      <c r="P28" s="17">
        <v>2</v>
      </c>
      <c r="Q28" s="17">
        <v>0.5</v>
      </c>
      <c r="R28" s="17">
        <v>2</v>
      </c>
      <c r="S28" s="17">
        <v>2</v>
      </c>
      <c r="T28" s="17">
        <v>2.5</v>
      </c>
      <c r="U28" s="17">
        <v>1.5</v>
      </c>
      <c r="V28" s="17">
        <v>1</v>
      </c>
      <c r="W28" s="17">
        <v>0.5</v>
      </c>
      <c r="X28" s="17">
        <v>1</v>
      </c>
      <c r="Y28" s="17">
        <v>1.5</v>
      </c>
      <c r="Z28" s="17">
        <v>0.5</v>
      </c>
      <c r="AA28" s="17">
        <v>-1.5</v>
      </c>
    </row>
    <row r="29" spans="1:27" x14ac:dyDescent="0.2">
      <c r="A29" s="17">
        <v>25</v>
      </c>
      <c r="B29" s="17">
        <v>3</v>
      </c>
      <c r="C29" s="17">
        <v>3</v>
      </c>
      <c r="D29" s="17">
        <v>3</v>
      </c>
      <c r="E29" s="17">
        <v>3</v>
      </c>
      <c r="F29" s="17">
        <v>3</v>
      </c>
      <c r="G29" s="17">
        <v>3</v>
      </c>
      <c r="H29" s="17">
        <v>3</v>
      </c>
      <c r="I29" s="17">
        <v>3</v>
      </c>
      <c r="J29" s="17">
        <v>3</v>
      </c>
      <c r="K29" s="17">
        <v>3</v>
      </c>
      <c r="L29" s="17">
        <v>3</v>
      </c>
      <c r="M29" s="17">
        <v>3</v>
      </c>
      <c r="N29" s="17">
        <v>3</v>
      </c>
      <c r="O29" s="17">
        <v>3</v>
      </c>
      <c r="P29" s="17">
        <v>3</v>
      </c>
      <c r="Q29" s="17">
        <v>3</v>
      </c>
      <c r="R29" s="17">
        <v>3</v>
      </c>
      <c r="S29" s="17">
        <v>3</v>
      </c>
      <c r="T29" s="17">
        <v>3</v>
      </c>
      <c r="U29" s="17">
        <v>3</v>
      </c>
      <c r="V29" s="17">
        <v>3</v>
      </c>
      <c r="W29" s="17">
        <v>3</v>
      </c>
      <c r="X29" s="17">
        <v>3</v>
      </c>
      <c r="Y29" s="17">
        <v>3</v>
      </c>
      <c r="Z29" s="17">
        <v>3</v>
      </c>
      <c r="AA29" s="17">
        <v>3</v>
      </c>
    </row>
    <row r="30" spans="1:27" x14ac:dyDescent="0.2">
      <c r="A30" s="17">
        <v>26</v>
      </c>
      <c r="B30" s="17">
        <v>-1</v>
      </c>
      <c r="C30" s="17">
        <v>2</v>
      </c>
      <c r="D30" s="17">
        <v>0.5</v>
      </c>
      <c r="E30" s="17">
        <v>2</v>
      </c>
      <c r="F30" s="17">
        <v>2</v>
      </c>
      <c r="G30" s="17">
        <v>2</v>
      </c>
      <c r="H30" s="17">
        <v>2.5</v>
      </c>
      <c r="I30" s="17">
        <v>3</v>
      </c>
      <c r="J30" s="17">
        <v>-0.5</v>
      </c>
      <c r="K30" s="17">
        <v>1</v>
      </c>
      <c r="L30" s="17">
        <v>2</v>
      </c>
      <c r="M30" s="17">
        <v>2.5</v>
      </c>
      <c r="N30" s="17">
        <v>1.5</v>
      </c>
      <c r="O30" s="17">
        <v>1</v>
      </c>
      <c r="P30" s="17">
        <v>1.5</v>
      </c>
      <c r="Q30" s="17">
        <v>-1.5</v>
      </c>
      <c r="R30" s="17">
        <v>2</v>
      </c>
      <c r="S30" s="17">
        <v>1</v>
      </c>
      <c r="T30" s="17">
        <v>2</v>
      </c>
      <c r="U30" s="17">
        <v>3</v>
      </c>
      <c r="V30" s="17">
        <v>1.5</v>
      </c>
      <c r="W30" s="17">
        <v>2</v>
      </c>
      <c r="X30" s="17">
        <v>2</v>
      </c>
      <c r="Y30" s="17">
        <v>0</v>
      </c>
      <c r="Z30" s="17">
        <v>-1</v>
      </c>
      <c r="AA30" s="17">
        <v>1.5</v>
      </c>
    </row>
    <row r="31" spans="1:27" x14ac:dyDescent="0.2">
      <c r="A31" s="17">
        <v>27</v>
      </c>
      <c r="B31" s="17">
        <v>1.5</v>
      </c>
      <c r="C31" s="17">
        <v>0.5</v>
      </c>
      <c r="D31" s="17">
        <v>2.5</v>
      </c>
      <c r="E31" s="17">
        <v>1.5</v>
      </c>
      <c r="F31" s="17">
        <v>3</v>
      </c>
      <c r="G31" s="17">
        <v>2.5</v>
      </c>
      <c r="H31" s="17">
        <v>1.5</v>
      </c>
      <c r="I31" s="17">
        <v>2</v>
      </c>
      <c r="J31" s="17">
        <v>0.5</v>
      </c>
      <c r="K31" s="17">
        <v>1.5</v>
      </c>
      <c r="L31" s="17">
        <v>3</v>
      </c>
      <c r="M31" s="17">
        <v>2</v>
      </c>
      <c r="N31" s="17">
        <v>3</v>
      </c>
      <c r="O31" s="17">
        <v>1</v>
      </c>
      <c r="P31" s="17">
        <v>3</v>
      </c>
      <c r="Q31" s="17">
        <v>3</v>
      </c>
      <c r="R31" s="17">
        <v>2.5</v>
      </c>
      <c r="S31" s="17">
        <v>3</v>
      </c>
      <c r="T31" s="17">
        <v>1.5</v>
      </c>
      <c r="U31" s="17">
        <v>3</v>
      </c>
      <c r="V31" s="17">
        <v>3</v>
      </c>
      <c r="W31" s="17">
        <v>2.5</v>
      </c>
      <c r="X31" s="17">
        <v>2.5</v>
      </c>
      <c r="Y31" s="17">
        <v>2.5</v>
      </c>
      <c r="Z31" s="17">
        <v>2.5</v>
      </c>
      <c r="AA31" s="17">
        <v>2.5</v>
      </c>
    </row>
    <row r="32" spans="1:27" x14ac:dyDescent="0.2">
      <c r="A32" s="17">
        <v>28</v>
      </c>
      <c r="B32" s="17">
        <v>1</v>
      </c>
      <c r="C32" s="17">
        <v>1</v>
      </c>
      <c r="D32" s="17">
        <v>1.5</v>
      </c>
      <c r="E32" s="17">
        <v>2</v>
      </c>
      <c r="F32" s="17">
        <v>2</v>
      </c>
      <c r="G32" s="17">
        <v>1.5</v>
      </c>
      <c r="H32" s="17">
        <v>3</v>
      </c>
      <c r="I32" s="17">
        <v>2</v>
      </c>
      <c r="J32" s="17">
        <v>1.5</v>
      </c>
      <c r="K32" s="17">
        <v>2</v>
      </c>
      <c r="L32" s="17">
        <v>2</v>
      </c>
      <c r="M32" s="17">
        <v>1.5</v>
      </c>
      <c r="N32" s="17">
        <v>2</v>
      </c>
      <c r="O32" s="17">
        <v>2</v>
      </c>
      <c r="P32" s="17">
        <v>2.5</v>
      </c>
      <c r="Q32" s="17">
        <v>2</v>
      </c>
      <c r="R32" s="17">
        <v>3</v>
      </c>
      <c r="S32" s="17">
        <v>2</v>
      </c>
      <c r="T32" s="17">
        <v>2</v>
      </c>
      <c r="U32" s="17">
        <v>3</v>
      </c>
      <c r="V32" s="17">
        <v>1.5</v>
      </c>
      <c r="W32" s="17">
        <v>1</v>
      </c>
      <c r="X32" s="17">
        <v>2</v>
      </c>
      <c r="Y32" s="17">
        <v>2</v>
      </c>
      <c r="Z32" s="17">
        <v>2</v>
      </c>
      <c r="AA32" s="17">
        <v>3</v>
      </c>
    </row>
    <row r="33" spans="1:27" x14ac:dyDescent="0.2">
      <c r="A33" s="17">
        <v>29</v>
      </c>
      <c r="B33" s="17">
        <v>0.5</v>
      </c>
      <c r="C33" s="17">
        <v>3</v>
      </c>
      <c r="D33" s="17">
        <v>2</v>
      </c>
      <c r="E33" s="17">
        <v>3</v>
      </c>
      <c r="F33" s="17">
        <v>3</v>
      </c>
      <c r="G33" s="17">
        <v>-1.5</v>
      </c>
      <c r="H33" s="17">
        <v>3</v>
      </c>
      <c r="I33" s="17">
        <v>3</v>
      </c>
      <c r="J33" s="17">
        <v>2.5</v>
      </c>
      <c r="K33" s="17">
        <v>3</v>
      </c>
      <c r="L33" s="17">
        <v>3</v>
      </c>
      <c r="M33" s="17">
        <v>3</v>
      </c>
      <c r="N33" s="17">
        <v>3</v>
      </c>
      <c r="O33" s="17">
        <v>1.5</v>
      </c>
      <c r="P33" s="17">
        <v>3</v>
      </c>
      <c r="Q33" s="17">
        <v>0.5</v>
      </c>
      <c r="R33" s="17">
        <v>3</v>
      </c>
      <c r="S33" s="17">
        <v>3</v>
      </c>
      <c r="T33" s="17">
        <v>3</v>
      </c>
      <c r="U33" s="17">
        <v>3</v>
      </c>
      <c r="V33" s="17">
        <v>2.5</v>
      </c>
      <c r="W33" s="17">
        <v>3</v>
      </c>
      <c r="X33" s="17">
        <v>3</v>
      </c>
      <c r="Y33" s="17">
        <v>1.5</v>
      </c>
      <c r="Z33" s="17">
        <v>3</v>
      </c>
      <c r="AA33" s="17">
        <v>3</v>
      </c>
    </row>
    <row r="34" spans="1:27" x14ac:dyDescent="0.2">
      <c r="A34" s="17">
        <v>30</v>
      </c>
      <c r="B34" s="17">
        <v>2.5</v>
      </c>
      <c r="C34" s="17">
        <v>2.5</v>
      </c>
      <c r="D34" s="17">
        <v>2.5</v>
      </c>
      <c r="E34" s="17">
        <v>3</v>
      </c>
      <c r="F34" s="17">
        <v>3</v>
      </c>
      <c r="G34" s="17">
        <v>3</v>
      </c>
      <c r="H34" s="17">
        <v>2.5</v>
      </c>
      <c r="I34" s="17">
        <v>2</v>
      </c>
      <c r="J34" s="17">
        <v>2</v>
      </c>
      <c r="K34" s="17">
        <v>3</v>
      </c>
      <c r="L34" s="17">
        <v>2</v>
      </c>
      <c r="M34" s="17">
        <v>3</v>
      </c>
      <c r="N34" s="17">
        <v>2.5</v>
      </c>
      <c r="O34" s="17">
        <v>3</v>
      </c>
      <c r="P34" s="17">
        <v>2</v>
      </c>
      <c r="Q34" s="17">
        <v>2</v>
      </c>
      <c r="R34" s="17">
        <v>2</v>
      </c>
      <c r="S34" s="17">
        <v>2.5</v>
      </c>
      <c r="T34" s="17">
        <v>2</v>
      </c>
      <c r="U34" s="17">
        <v>2</v>
      </c>
      <c r="V34" s="17">
        <v>3</v>
      </c>
      <c r="W34" s="17">
        <v>2.5</v>
      </c>
      <c r="X34" s="17">
        <v>2</v>
      </c>
      <c r="Y34" s="17">
        <v>2</v>
      </c>
      <c r="Z34" s="17">
        <v>2.5</v>
      </c>
      <c r="AA34" s="17">
        <v>3</v>
      </c>
    </row>
    <row r="35" spans="1:27" x14ac:dyDescent="0.2">
      <c r="A35" s="17">
        <v>31</v>
      </c>
      <c r="B35" s="17">
        <v>0.5</v>
      </c>
      <c r="C35" s="17">
        <v>1.5</v>
      </c>
      <c r="D35" s="17">
        <v>2</v>
      </c>
      <c r="E35" s="17">
        <v>2</v>
      </c>
      <c r="F35" s="17">
        <v>2.5</v>
      </c>
      <c r="G35" s="17">
        <v>0.5</v>
      </c>
      <c r="H35" s="17">
        <v>2</v>
      </c>
      <c r="I35" s="17">
        <v>2</v>
      </c>
      <c r="J35" s="17">
        <v>2</v>
      </c>
      <c r="K35" s="17">
        <v>2</v>
      </c>
      <c r="L35" s="17">
        <v>2</v>
      </c>
      <c r="M35" s="17">
        <v>2</v>
      </c>
      <c r="N35" s="17">
        <v>2</v>
      </c>
      <c r="O35" s="17">
        <v>2</v>
      </c>
      <c r="P35" s="17">
        <v>1.5</v>
      </c>
      <c r="Q35" s="17">
        <v>2</v>
      </c>
      <c r="R35" s="17">
        <v>2</v>
      </c>
      <c r="S35" s="17">
        <v>1.5</v>
      </c>
      <c r="T35" s="17">
        <v>2</v>
      </c>
      <c r="U35" s="17">
        <v>2</v>
      </c>
      <c r="V35" s="17">
        <v>2</v>
      </c>
      <c r="W35" s="17">
        <v>2</v>
      </c>
      <c r="X35" s="17">
        <v>2</v>
      </c>
      <c r="Y35" s="17">
        <v>2</v>
      </c>
      <c r="Z35" s="17">
        <v>2</v>
      </c>
      <c r="AA35" s="17">
        <v>2</v>
      </c>
    </row>
    <row r="36" spans="1:27" x14ac:dyDescent="0.2">
      <c r="A36" s="17">
        <v>32</v>
      </c>
      <c r="B36" s="17">
        <v>0.5</v>
      </c>
      <c r="C36" s="17">
        <v>3</v>
      </c>
      <c r="D36" s="17">
        <v>2</v>
      </c>
      <c r="E36" s="17">
        <v>2</v>
      </c>
      <c r="F36" s="17">
        <v>2</v>
      </c>
      <c r="G36" s="17">
        <v>1</v>
      </c>
      <c r="H36" s="17">
        <v>2</v>
      </c>
      <c r="I36" s="17">
        <v>2</v>
      </c>
      <c r="J36" s="17">
        <v>2</v>
      </c>
      <c r="K36" s="17">
        <v>2</v>
      </c>
      <c r="L36" s="17">
        <v>-1</v>
      </c>
      <c r="M36" s="17">
        <v>2</v>
      </c>
      <c r="N36" s="17">
        <v>3</v>
      </c>
      <c r="O36" s="17">
        <v>1</v>
      </c>
      <c r="P36" s="17">
        <v>2</v>
      </c>
      <c r="Q36" s="17">
        <v>2</v>
      </c>
      <c r="R36" s="17">
        <v>2.5</v>
      </c>
      <c r="S36" s="17">
        <v>2</v>
      </c>
      <c r="T36" s="17">
        <v>1.5</v>
      </c>
      <c r="U36" s="17">
        <v>2</v>
      </c>
      <c r="V36" s="17">
        <v>0</v>
      </c>
      <c r="W36" s="17">
        <v>0.5</v>
      </c>
      <c r="X36" s="17">
        <v>0</v>
      </c>
      <c r="Y36" s="17">
        <v>1.5</v>
      </c>
      <c r="Z36" s="17">
        <v>1</v>
      </c>
      <c r="AA36" s="17">
        <v>1</v>
      </c>
    </row>
    <row r="37" spans="1:27" x14ac:dyDescent="0.2">
      <c r="A37" s="17">
        <v>33</v>
      </c>
      <c r="B37" s="17">
        <v>2</v>
      </c>
      <c r="C37" s="17">
        <v>2</v>
      </c>
      <c r="D37" s="17">
        <v>3</v>
      </c>
      <c r="E37" s="17">
        <v>3</v>
      </c>
      <c r="F37" s="17">
        <v>3</v>
      </c>
      <c r="G37" s="17">
        <v>2</v>
      </c>
      <c r="H37" s="17">
        <v>3</v>
      </c>
      <c r="I37" s="17">
        <v>3</v>
      </c>
      <c r="J37" s="17">
        <v>1</v>
      </c>
      <c r="K37" s="17">
        <v>3</v>
      </c>
      <c r="L37" s="17">
        <v>3</v>
      </c>
      <c r="M37" s="17">
        <v>3</v>
      </c>
      <c r="N37" s="17">
        <v>3</v>
      </c>
      <c r="O37" s="17">
        <v>3</v>
      </c>
      <c r="P37" s="17">
        <v>3</v>
      </c>
      <c r="Q37" s="17">
        <v>3</v>
      </c>
      <c r="R37" s="17">
        <v>3</v>
      </c>
      <c r="S37" s="17">
        <v>3</v>
      </c>
      <c r="T37" s="17">
        <v>3</v>
      </c>
      <c r="U37" s="17">
        <v>3</v>
      </c>
      <c r="V37" s="17">
        <v>3</v>
      </c>
      <c r="W37" s="17">
        <v>3</v>
      </c>
      <c r="X37" s="17">
        <v>3</v>
      </c>
      <c r="Y37" s="17">
        <v>3</v>
      </c>
      <c r="Z37" s="17">
        <v>3</v>
      </c>
      <c r="AA37" s="17">
        <v>3</v>
      </c>
    </row>
    <row r="38" spans="1:27" x14ac:dyDescent="0.2">
      <c r="A38" s="17">
        <v>34</v>
      </c>
      <c r="B38" s="17">
        <v>0</v>
      </c>
      <c r="C38" s="17">
        <v>2</v>
      </c>
      <c r="D38" s="17">
        <v>1.5</v>
      </c>
      <c r="E38" s="17">
        <v>2</v>
      </c>
      <c r="F38" s="17">
        <v>2.5</v>
      </c>
      <c r="G38" s="17">
        <v>2</v>
      </c>
      <c r="H38" s="17">
        <v>2</v>
      </c>
      <c r="I38" s="17">
        <v>2</v>
      </c>
      <c r="J38" s="17">
        <v>1.5</v>
      </c>
      <c r="K38" s="17">
        <v>2</v>
      </c>
      <c r="L38" s="17">
        <v>2.5</v>
      </c>
      <c r="M38" s="17">
        <v>2</v>
      </c>
      <c r="N38" s="17">
        <v>2</v>
      </c>
      <c r="O38" s="17">
        <v>1</v>
      </c>
      <c r="P38" s="17">
        <v>3</v>
      </c>
      <c r="Q38" s="17">
        <v>1</v>
      </c>
      <c r="R38" s="17">
        <v>2.5</v>
      </c>
      <c r="S38" s="17">
        <v>2.5</v>
      </c>
      <c r="T38" s="17">
        <v>2</v>
      </c>
      <c r="U38" s="17">
        <v>2.5</v>
      </c>
      <c r="V38" s="17">
        <v>1.5</v>
      </c>
      <c r="W38" s="17">
        <v>1.5</v>
      </c>
      <c r="X38" s="17">
        <v>1.5</v>
      </c>
      <c r="Y38" s="17">
        <v>1.5</v>
      </c>
      <c r="Z38" s="17">
        <v>-0.5</v>
      </c>
      <c r="AA38" s="17">
        <v>0</v>
      </c>
    </row>
    <row r="39" spans="1:27" x14ac:dyDescent="0.2">
      <c r="A39" s="17">
        <v>35</v>
      </c>
      <c r="B39" s="17">
        <v>-0.5</v>
      </c>
      <c r="C39" s="17">
        <v>-1</v>
      </c>
      <c r="D39" s="17">
        <v>2</v>
      </c>
      <c r="E39" s="17">
        <v>2</v>
      </c>
      <c r="F39" s="17">
        <v>2.5</v>
      </c>
      <c r="G39" s="17">
        <v>0.5</v>
      </c>
      <c r="H39" s="17">
        <v>3</v>
      </c>
      <c r="I39" s="17">
        <v>1</v>
      </c>
      <c r="J39" s="17">
        <v>0</v>
      </c>
      <c r="K39" s="17">
        <v>1</v>
      </c>
      <c r="L39" s="17">
        <v>1.5</v>
      </c>
      <c r="M39" s="17">
        <v>1</v>
      </c>
      <c r="N39" s="17">
        <v>2</v>
      </c>
      <c r="O39" s="17">
        <v>1.5</v>
      </c>
      <c r="P39" s="17">
        <v>1.5</v>
      </c>
      <c r="Q39" s="17">
        <v>1</v>
      </c>
      <c r="R39" s="17">
        <v>2.5</v>
      </c>
      <c r="S39" s="17">
        <v>2</v>
      </c>
      <c r="T39" s="17">
        <v>1.5</v>
      </c>
      <c r="U39" s="17">
        <v>1.5</v>
      </c>
      <c r="V39" s="17">
        <v>0.5</v>
      </c>
      <c r="W39" s="17">
        <v>1.5</v>
      </c>
      <c r="X39" s="17">
        <v>1.5</v>
      </c>
      <c r="Y39" s="17">
        <v>1.5</v>
      </c>
      <c r="Z39" s="17">
        <v>0</v>
      </c>
      <c r="AA39" s="17">
        <v>0</v>
      </c>
    </row>
    <row r="40" spans="1:27" x14ac:dyDescent="0.2">
      <c r="A40" s="17">
        <v>36</v>
      </c>
      <c r="B40" s="17">
        <v>2</v>
      </c>
      <c r="C40" s="17">
        <v>1.5</v>
      </c>
      <c r="D40" s="17">
        <v>1.5</v>
      </c>
      <c r="E40" s="17">
        <v>3</v>
      </c>
      <c r="F40" s="17">
        <v>1.5</v>
      </c>
      <c r="G40" s="17">
        <v>1.5</v>
      </c>
      <c r="H40" s="17">
        <v>2</v>
      </c>
      <c r="I40" s="17">
        <v>2</v>
      </c>
      <c r="J40" s="17">
        <v>1.5</v>
      </c>
      <c r="K40" s="17">
        <v>0</v>
      </c>
      <c r="L40" s="17">
        <v>2.5</v>
      </c>
      <c r="M40" s="17">
        <v>1.5</v>
      </c>
      <c r="N40" s="17">
        <v>2</v>
      </c>
      <c r="O40" s="17">
        <v>2</v>
      </c>
      <c r="P40" s="17">
        <v>0.5</v>
      </c>
      <c r="Q40" s="17">
        <v>2</v>
      </c>
      <c r="R40" s="17">
        <v>2</v>
      </c>
      <c r="S40" s="17">
        <v>0</v>
      </c>
      <c r="T40" s="17">
        <v>0</v>
      </c>
      <c r="U40" s="17">
        <v>2</v>
      </c>
      <c r="V40" s="17">
        <v>1.5</v>
      </c>
      <c r="W40" s="17">
        <v>1.5</v>
      </c>
      <c r="X40" s="17">
        <v>1.5</v>
      </c>
      <c r="Y40" s="17">
        <v>2</v>
      </c>
      <c r="Z40" s="17">
        <v>0.5</v>
      </c>
      <c r="AA40" s="17">
        <v>2.5</v>
      </c>
    </row>
    <row r="41" spans="1:27" x14ac:dyDescent="0.2">
      <c r="A41" s="17">
        <v>37</v>
      </c>
      <c r="B41" s="17">
        <v>1</v>
      </c>
      <c r="C41" s="17">
        <v>1.5</v>
      </c>
      <c r="D41" s="17">
        <v>2.5</v>
      </c>
      <c r="E41" s="17">
        <v>3</v>
      </c>
      <c r="F41" s="17">
        <v>3</v>
      </c>
      <c r="G41" s="17">
        <v>1.5</v>
      </c>
      <c r="H41" s="17">
        <v>2.5</v>
      </c>
      <c r="I41" s="17">
        <v>3</v>
      </c>
      <c r="J41" s="17">
        <v>1.5</v>
      </c>
      <c r="K41" s="17">
        <v>2</v>
      </c>
      <c r="L41" s="17">
        <v>3</v>
      </c>
      <c r="M41" s="17">
        <v>2.5</v>
      </c>
      <c r="N41" s="17">
        <v>2.5</v>
      </c>
      <c r="O41" s="17">
        <v>1.5</v>
      </c>
      <c r="P41" s="17">
        <v>2.5</v>
      </c>
      <c r="Q41" s="17">
        <v>2</v>
      </c>
      <c r="R41" s="17">
        <v>2.5</v>
      </c>
      <c r="S41" s="17">
        <v>3</v>
      </c>
      <c r="T41" s="17">
        <v>3</v>
      </c>
      <c r="U41" s="17">
        <v>3</v>
      </c>
      <c r="V41" s="17">
        <v>0</v>
      </c>
      <c r="W41" s="17">
        <v>0</v>
      </c>
      <c r="X41" s="17">
        <v>0.5</v>
      </c>
      <c r="Y41" s="17">
        <v>1</v>
      </c>
      <c r="Z41" s="17">
        <v>1</v>
      </c>
      <c r="AA41" s="17">
        <v>2</v>
      </c>
    </row>
    <row r="42" spans="1:27" x14ac:dyDescent="0.2">
      <c r="A42" s="17">
        <v>38</v>
      </c>
      <c r="B42" s="17">
        <v>1.5</v>
      </c>
      <c r="C42" s="17">
        <v>2.5</v>
      </c>
      <c r="D42" s="17">
        <v>2.5</v>
      </c>
      <c r="E42" s="17">
        <v>3</v>
      </c>
      <c r="F42" s="17">
        <v>3</v>
      </c>
      <c r="G42" s="17">
        <v>1.5</v>
      </c>
      <c r="H42" s="17">
        <v>3</v>
      </c>
      <c r="I42" s="17">
        <v>2</v>
      </c>
      <c r="J42" s="17">
        <v>3</v>
      </c>
      <c r="K42" s="17">
        <v>2.5</v>
      </c>
      <c r="L42" s="17">
        <v>3</v>
      </c>
      <c r="M42" s="17">
        <v>2.5</v>
      </c>
      <c r="N42" s="17">
        <v>3</v>
      </c>
      <c r="O42" s="17">
        <v>3</v>
      </c>
      <c r="P42" s="17">
        <v>2.5</v>
      </c>
      <c r="Q42" s="17">
        <v>2</v>
      </c>
      <c r="R42" s="17">
        <v>3</v>
      </c>
      <c r="S42" s="17">
        <v>2</v>
      </c>
      <c r="T42" s="17">
        <v>3</v>
      </c>
      <c r="U42" s="17">
        <v>2.5</v>
      </c>
      <c r="V42" s="17">
        <v>2.5</v>
      </c>
      <c r="W42" s="17">
        <v>3</v>
      </c>
      <c r="X42" s="17">
        <v>3</v>
      </c>
      <c r="Y42" s="17">
        <v>2.5</v>
      </c>
      <c r="Z42" s="17">
        <v>1.5</v>
      </c>
      <c r="AA42" s="17">
        <v>2.5</v>
      </c>
    </row>
    <row r="43" spans="1:27" x14ac:dyDescent="0.2">
      <c r="A43" s="17">
        <v>39</v>
      </c>
      <c r="B43" s="17">
        <v>2</v>
      </c>
      <c r="C43" s="17">
        <v>3</v>
      </c>
      <c r="D43" s="17">
        <v>3</v>
      </c>
      <c r="E43" s="17">
        <v>2.5</v>
      </c>
      <c r="F43" s="17">
        <v>3</v>
      </c>
      <c r="G43" s="17">
        <v>3</v>
      </c>
      <c r="H43" s="17">
        <v>3</v>
      </c>
      <c r="I43" s="17">
        <v>3</v>
      </c>
      <c r="J43" s="17">
        <v>2.5</v>
      </c>
      <c r="K43" s="17">
        <v>2</v>
      </c>
      <c r="L43" s="17">
        <v>3</v>
      </c>
      <c r="M43" s="17">
        <v>3</v>
      </c>
      <c r="N43" s="17">
        <v>3</v>
      </c>
      <c r="O43" s="17">
        <v>1.5</v>
      </c>
      <c r="P43" s="17">
        <v>3</v>
      </c>
      <c r="Q43" s="17">
        <v>3</v>
      </c>
      <c r="R43" s="17">
        <v>3</v>
      </c>
      <c r="S43" s="17">
        <v>2.5</v>
      </c>
      <c r="T43" s="17">
        <v>3</v>
      </c>
      <c r="U43" s="17">
        <v>3</v>
      </c>
      <c r="V43" s="17">
        <v>2.5</v>
      </c>
      <c r="W43" s="17">
        <v>2.5</v>
      </c>
      <c r="X43" s="17">
        <v>3</v>
      </c>
      <c r="Y43" s="17">
        <v>3</v>
      </c>
      <c r="Z43" s="17">
        <v>2.5</v>
      </c>
      <c r="AA43" s="17">
        <v>2.5</v>
      </c>
    </row>
    <row r="44" spans="1:27" x14ac:dyDescent="0.2">
      <c r="A44" s="17">
        <v>40</v>
      </c>
      <c r="B44" s="17">
        <v>1.5</v>
      </c>
      <c r="C44" s="17">
        <v>1</v>
      </c>
      <c r="D44" s="17">
        <v>0.5</v>
      </c>
      <c r="E44" s="17">
        <v>1</v>
      </c>
      <c r="F44" s="17">
        <v>1.5</v>
      </c>
      <c r="G44" s="17">
        <v>1</v>
      </c>
      <c r="H44" s="17">
        <v>1</v>
      </c>
      <c r="I44" s="17">
        <v>2.5</v>
      </c>
      <c r="J44" s="17">
        <v>1</v>
      </c>
      <c r="K44" s="17">
        <v>1</v>
      </c>
      <c r="L44" s="17">
        <v>1.5</v>
      </c>
      <c r="M44" s="17">
        <v>1.5</v>
      </c>
      <c r="N44" s="17">
        <v>2</v>
      </c>
      <c r="O44" s="17">
        <v>1.5</v>
      </c>
      <c r="P44" s="17">
        <v>3</v>
      </c>
      <c r="Q44" s="17">
        <v>1</v>
      </c>
      <c r="R44" s="17">
        <v>2.5</v>
      </c>
      <c r="S44" s="17">
        <v>1</v>
      </c>
      <c r="T44" s="17">
        <v>1.5</v>
      </c>
      <c r="U44" s="17">
        <v>1</v>
      </c>
      <c r="V44" s="17">
        <v>1</v>
      </c>
      <c r="W44" s="17">
        <v>1</v>
      </c>
      <c r="X44" s="17">
        <v>1</v>
      </c>
      <c r="Y44" s="17">
        <v>1.5</v>
      </c>
      <c r="Z44" s="17">
        <v>1</v>
      </c>
      <c r="AA44" s="17">
        <v>1</v>
      </c>
    </row>
    <row r="45" spans="1:27" x14ac:dyDescent="0.2">
      <c r="A45" s="17">
        <v>41</v>
      </c>
      <c r="B45" s="17">
        <v>2</v>
      </c>
      <c r="C45" s="17">
        <v>1.5</v>
      </c>
      <c r="D45" s="17">
        <v>0.5</v>
      </c>
      <c r="E45" s="17">
        <v>1</v>
      </c>
      <c r="F45" s="17">
        <v>2.5</v>
      </c>
      <c r="G45" s="17">
        <v>-2.5</v>
      </c>
      <c r="H45" s="17">
        <v>3</v>
      </c>
      <c r="I45" s="17">
        <v>2.5</v>
      </c>
      <c r="J45" s="17">
        <v>2.5</v>
      </c>
      <c r="K45" s="17">
        <v>3</v>
      </c>
      <c r="L45" s="17">
        <v>2.5</v>
      </c>
      <c r="M45" s="17">
        <v>1.5</v>
      </c>
      <c r="N45" s="17">
        <v>3</v>
      </c>
      <c r="O45" s="17">
        <v>2</v>
      </c>
      <c r="P45" s="17">
        <v>2</v>
      </c>
      <c r="Q45" s="17">
        <v>-1</v>
      </c>
      <c r="R45" s="17">
        <v>3</v>
      </c>
      <c r="S45" s="17">
        <v>3</v>
      </c>
      <c r="T45" s="17">
        <v>3</v>
      </c>
      <c r="U45" s="17">
        <v>3</v>
      </c>
      <c r="V45" s="17">
        <v>2</v>
      </c>
      <c r="W45" s="17">
        <v>3</v>
      </c>
      <c r="X45" s="17">
        <v>2</v>
      </c>
      <c r="Y45" s="17">
        <v>-1</v>
      </c>
      <c r="Z45" s="17">
        <v>1.5</v>
      </c>
      <c r="AA45" s="17">
        <v>2</v>
      </c>
    </row>
    <row r="46" spans="1:27" x14ac:dyDescent="0.2">
      <c r="A46" s="17">
        <v>42</v>
      </c>
      <c r="B46" s="17">
        <v>-1</v>
      </c>
      <c r="C46" s="17">
        <v>2.5</v>
      </c>
      <c r="D46" s="17">
        <v>2.5</v>
      </c>
      <c r="E46" s="17">
        <v>1.5</v>
      </c>
      <c r="F46" s="17">
        <v>1</v>
      </c>
      <c r="G46" s="17">
        <v>3</v>
      </c>
      <c r="H46" s="17">
        <v>3</v>
      </c>
      <c r="I46" s="17">
        <v>1</v>
      </c>
      <c r="J46" s="17">
        <v>2.5</v>
      </c>
      <c r="K46" s="17">
        <v>1.5</v>
      </c>
      <c r="L46" s="17">
        <v>3</v>
      </c>
      <c r="M46" s="17">
        <v>3</v>
      </c>
      <c r="N46" s="17">
        <v>3</v>
      </c>
      <c r="O46" s="17">
        <v>2.5</v>
      </c>
      <c r="P46" s="17">
        <v>3</v>
      </c>
      <c r="Q46" s="17">
        <v>2.5</v>
      </c>
      <c r="R46" s="17">
        <v>3</v>
      </c>
      <c r="S46" s="17">
        <v>3</v>
      </c>
      <c r="T46" s="17">
        <v>1</v>
      </c>
      <c r="U46" s="17">
        <v>3</v>
      </c>
      <c r="V46" s="17">
        <v>3</v>
      </c>
      <c r="W46" s="17">
        <v>3</v>
      </c>
      <c r="X46" s="17">
        <v>2.5</v>
      </c>
      <c r="Y46" s="17">
        <v>2.5</v>
      </c>
      <c r="Z46" s="17">
        <v>2</v>
      </c>
      <c r="AA46" s="17">
        <v>2</v>
      </c>
    </row>
    <row r="47" spans="1:27" x14ac:dyDescent="0.2">
      <c r="A47" s="17">
        <v>43</v>
      </c>
      <c r="B47" s="17">
        <v>-1.5</v>
      </c>
      <c r="C47" s="17">
        <v>1</v>
      </c>
      <c r="D47" s="17">
        <v>-0.5</v>
      </c>
      <c r="E47" s="17">
        <v>2</v>
      </c>
      <c r="F47" s="17">
        <v>1.5</v>
      </c>
      <c r="G47" s="17">
        <v>1</v>
      </c>
      <c r="H47" s="17">
        <v>2</v>
      </c>
      <c r="I47" s="17">
        <v>1</v>
      </c>
      <c r="J47" s="17">
        <v>-1</v>
      </c>
      <c r="K47" s="17">
        <v>1</v>
      </c>
      <c r="L47" s="17">
        <v>0.5</v>
      </c>
      <c r="M47" s="17">
        <v>1.5</v>
      </c>
      <c r="N47" s="17">
        <v>1.5</v>
      </c>
      <c r="O47" s="17">
        <v>1</v>
      </c>
      <c r="P47" s="17">
        <v>1.5</v>
      </c>
      <c r="Q47" s="17">
        <v>1.5</v>
      </c>
      <c r="R47" s="17">
        <v>1.5</v>
      </c>
      <c r="S47" s="17">
        <v>2</v>
      </c>
      <c r="T47" s="17">
        <v>1.5</v>
      </c>
      <c r="U47" s="17">
        <v>2</v>
      </c>
      <c r="V47" s="17">
        <v>-0.5</v>
      </c>
      <c r="W47" s="17">
        <v>0</v>
      </c>
      <c r="X47" s="17">
        <v>0</v>
      </c>
      <c r="Y47" s="17">
        <v>0.5</v>
      </c>
      <c r="Z47" s="17">
        <v>-0.5</v>
      </c>
      <c r="AA47" s="17">
        <v>1</v>
      </c>
    </row>
    <row r="48" spans="1:27" x14ac:dyDescent="0.2">
      <c r="A48" s="17">
        <v>44</v>
      </c>
      <c r="B48" s="17">
        <v>-3</v>
      </c>
      <c r="C48" s="17">
        <v>-1.5</v>
      </c>
      <c r="D48" s="17">
        <v>0.5</v>
      </c>
      <c r="E48" s="17">
        <v>2.5</v>
      </c>
      <c r="F48" s="17">
        <v>3</v>
      </c>
      <c r="G48" s="17">
        <v>-2.5</v>
      </c>
      <c r="H48" s="17">
        <v>0</v>
      </c>
      <c r="I48" s="17">
        <v>2</v>
      </c>
      <c r="J48" s="17">
        <v>2.5</v>
      </c>
      <c r="K48" s="17">
        <v>3</v>
      </c>
      <c r="L48" s="17">
        <v>3</v>
      </c>
      <c r="M48" s="17">
        <v>3</v>
      </c>
      <c r="N48" s="17">
        <v>-1.5</v>
      </c>
      <c r="O48" s="17">
        <v>2</v>
      </c>
      <c r="P48" s="17">
        <v>3</v>
      </c>
      <c r="Q48" s="17">
        <v>2</v>
      </c>
      <c r="R48" s="17">
        <v>2.5</v>
      </c>
      <c r="S48" s="17">
        <v>3</v>
      </c>
      <c r="T48" s="17">
        <v>0</v>
      </c>
      <c r="U48" s="17">
        <v>2</v>
      </c>
      <c r="V48" s="17">
        <v>-2</v>
      </c>
      <c r="W48" s="17">
        <v>-2</v>
      </c>
      <c r="X48" s="17">
        <v>-1</v>
      </c>
      <c r="Y48" s="17">
        <v>-2.5</v>
      </c>
      <c r="Z48" s="17">
        <v>-2</v>
      </c>
      <c r="AA48" s="17">
        <v>-2.5</v>
      </c>
    </row>
    <row r="49" spans="1:27" x14ac:dyDescent="0.2">
      <c r="A49" s="17">
        <v>45</v>
      </c>
      <c r="B49" s="17">
        <v>-1</v>
      </c>
      <c r="C49" s="17">
        <v>1</v>
      </c>
      <c r="D49" s="17">
        <v>2</v>
      </c>
      <c r="E49" s="17">
        <v>1.5</v>
      </c>
      <c r="F49" s="17">
        <v>1.5</v>
      </c>
      <c r="G49" s="17">
        <v>0.5</v>
      </c>
      <c r="H49" s="17">
        <v>1.5</v>
      </c>
      <c r="I49" s="17">
        <v>2</v>
      </c>
      <c r="J49" s="17">
        <v>2</v>
      </c>
      <c r="K49" s="17">
        <v>1</v>
      </c>
      <c r="L49" s="17">
        <v>1.5</v>
      </c>
      <c r="M49" s="17">
        <v>1</v>
      </c>
      <c r="N49" s="17">
        <v>1.5</v>
      </c>
      <c r="O49" s="17">
        <v>1.5</v>
      </c>
      <c r="P49" s="17">
        <v>1.5</v>
      </c>
      <c r="Q49" s="17">
        <v>1</v>
      </c>
      <c r="R49" s="17">
        <v>2</v>
      </c>
      <c r="S49" s="17">
        <v>2</v>
      </c>
      <c r="T49" s="17">
        <v>2.5</v>
      </c>
      <c r="U49" s="17">
        <v>2</v>
      </c>
      <c r="V49" s="17">
        <v>1</v>
      </c>
      <c r="W49" s="17">
        <v>1</v>
      </c>
      <c r="X49" s="17">
        <v>2</v>
      </c>
      <c r="Y49" s="17">
        <v>1</v>
      </c>
      <c r="Z49" s="17">
        <v>2</v>
      </c>
      <c r="AA49" s="17">
        <v>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0B4A-9F80-4CBF-8D63-F95EECD1CD49}">
  <dimension ref="A1:AB49"/>
  <sheetViews>
    <sheetView workbookViewId="0">
      <selection activeCell="D5" sqref="D5:W49"/>
    </sheetView>
  </sheetViews>
  <sheetFormatPr defaultColWidth="8.625" defaultRowHeight="11.25" x14ac:dyDescent="0.2"/>
  <cols>
    <col min="1" max="1" width="8.625" style="17"/>
    <col min="2" max="2" width="8.625" style="17" customWidth="1"/>
    <col min="3" max="16384" width="8.625" style="17"/>
  </cols>
  <sheetData>
    <row r="1" spans="1:28" s="9" customFormat="1" x14ac:dyDescent="0.2">
      <c r="A1" s="9" t="s">
        <v>46</v>
      </c>
      <c r="B1" s="10">
        <v>2</v>
      </c>
      <c r="C1" s="10">
        <v>11</v>
      </c>
      <c r="D1" s="10">
        <v>12</v>
      </c>
      <c r="E1" s="10">
        <v>18</v>
      </c>
      <c r="F1" s="10">
        <v>15</v>
      </c>
      <c r="G1" s="10">
        <v>3</v>
      </c>
      <c r="H1" s="10">
        <v>20</v>
      </c>
      <c r="I1" s="10">
        <v>19</v>
      </c>
      <c r="J1" s="10">
        <v>7</v>
      </c>
      <c r="K1" s="10">
        <v>8</v>
      </c>
      <c r="L1" s="10">
        <v>1</v>
      </c>
      <c r="M1" s="10">
        <v>16</v>
      </c>
      <c r="N1" s="10">
        <v>9</v>
      </c>
      <c r="O1" s="10">
        <v>4</v>
      </c>
      <c r="P1" s="10">
        <v>5</v>
      </c>
      <c r="Q1" s="10">
        <v>13</v>
      </c>
      <c r="R1" s="10">
        <v>17</v>
      </c>
      <c r="S1" s="10">
        <v>14</v>
      </c>
      <c r="T1" s="10">
        <v>10</v>
      </c>
      <c r="U1" s="10">
        <v>6</v>
      </c>
      <c r="V1" s="10"/>
      <c r="W1" s="10"/>
      <c r="X1" s="10"/>
      <c r="Y1" s="10"/>
      <c r="Z1" s="10"/>
      <c r="AA1" s="10"/>
      <c r="AB1" s="10"/>
    </row>
    <row r="2" spans="1:28" s="9" customFormat="1" x14ac:dyDescent="0.2">
      <c r="A2" s="9" t="s">
        <v>47</v>
      </c>
      <c r="B2" s="10">
        <v>1</v>
      </c>
      <c r="C2" s="11">
        <v>2</v>
      </c>
      <c r="D2" s="11">
        <v>3</v>
      </c>
      <c r="E2" s="12">
        <v>4</v>
      </c>
      <c r="F2" s="13">
        <v>5</v>
      </c>
      <c r="G2" s="14">
        <v>6</v>
      </c>
      <c r="H2" s="10">
        <v>7</v>
      </c>
      <c r="I2" s="12">
        <v>8</v>
      </c>
      <c r="J2" s="15">
        <v>9</v>
      </c>
      <c r="K2" s="15">
        <v>10</v>
      </c>
      <c r="L2" s="16">
        <v>11</v>
      </c>
      <c r="M2" s="13">
        <v>12</v>
      </c>
      <c r="N2" s="15">
        <v>13</v>
      </c>
      <c r="O2" s="14">
        <v>14</v>
      </c>
      <c r="P2" s="14">
        <v>15</v>
      </c>
      <c r="Q2" s="11">
        <v>16</v>
      </c>
      <c r="R2" s="13">
        <v>17</v>
      </c>
      <c r="S2" s="11">
        <v>18</v>
      </c>
      <c r="T2" s="15">
        <v>19</v>
      </c>
      <c r="U2" s="14">
        <v>20</v>
      </c>
      <c r="V2" s="10">
        <v>21</v>
      </c>
      <c r="W2" s="10">
        <v>22</v>
      </c>
      <c r="X2" s="10">
        <v>23</v>
      </c>
      <c r="Y2" s="10">
        <v>24</v>
      </c>
      <c r="Z2" s="10">
        <v>25</v>
      </c>
      <c r="AA2" s="10">
        <v>26</v>
      </c>
      <c r="AB2" s="10">
        <v>27</v>
      </c>
    </row>
    <row r="3" spans="1:28" s="9" customFormat="1" x14ac:dyDescent="0.2">
      <c r="B3" s="10" t="s">
        <v>0</v>
      </c>
      <c r="C3" s="11" t="s">
        <v>2</v>
      </c>
      <c r="D3" s="11" t="s">
        <v>4</v>
      </c>
      <c r="E3" s="12" t="s">
        <v>6</v>
      </c>
      <c r="F3" s="13" t="s">
        <v>8</v>
      </c>
      <c r="G3" s="14" t="s">
        <v>10</v>
      </c>
      <c r="H3" s="10" t="s">
        <v>12</v>
      </c>
      <c r="I3" s="12" t="s">
        <v>14</v>
      </c>
      <c r="J3" s="15" t="s">
        <v>16</v>
      </c>
      <c r="K3" s="15" t="s">
        <v>18</v>
      </c>
      <c r="L3" s="16" t="s">
        <v>20</v>
      </c>
      <c r="M3" s="13" t="s">
        <v>22</v>
      </c>
      <c r="N3" s="15" t="s">
        <v>24</v>
      </c>
      <c r="O3" s="14" t="s">
        <v>26</v>
      </c>
      <c r="P3" s="14" t="s">
        <v>28</v>
      </c>
      <c r="Q3" s="11" t="s">
        <v>30</v>
      </c>
      <c r="R3" s="13" t="s">
        <v>32</v>
      </c>
      <c r="S3" s="11" t="s">
        <v>34</v>
      </c>
      <c r="T3" s="15" t="s">
        <v>36</v>
      </c>
      <c r="U3" s="14" t="s">
        <v>38</v>
      </c>
      <c r="V3" s="10"/>
      <c r="W3" s="10"/>
      <c r="X3" s="10"/>
      <c r="Y3" s="10"/>
      <c r="Z3" s="10"/>
      <c r="AA3" s="10"/>
      <c r="AB3" s="10"/>
    </row>
    <row r="4" spans="1:28" s="9" customFormat="1" ht="22.5" x14ac:dyDescent="0.2">
      <c r="A4" s="17" t="s">
        <v>45</v>
      </c>
      <c r="B4" s="10" t="s">
        <v>1</v>
      </c>
      <c r="C4" s="11" t="s">
        <v>3</v>
      </c>
      <c r="D4" s="11" t="s">
        <v>5</v>
      </c>
      <c r="E4" s="12" t="s">
        <v>7</v>
      </c>
      <c r="F4" s="13" t="s">
        <v>9</v>
      </c>
      <c r="G4" s="14" t="s">
        <v>11</v>
      </c>
      <c r="H4" s="10" t="s">
        <v>13</v>
      </c>
      <c r="I4" s="12" t="s">
        <v>15</v>
      </c>
      <c r="J4" s="15" t="s">
        <v>17</v>
      </c>
      <c r="K4" s="15" t="s">
        <v>19</v>
      </c>
      <c r="L4" s="16" t="s">
        <v>21</v>
      </c>
      <c r="M4" s="13" t="s">
        <v>23</v>
      </c>
      <c r="N4" s="15" t="s">
        <v>25</v>
      </c>
      <c r="O4" s="14" t="s">
        <v>27</v>
      </c>
      <c r="P4" s="14" t="s">
        <v>29</v>
      </c>
      <c r="Q4" s="11" t="s">
        <v>31</v>
      </c>
      <c r="R4" s="13" t="s">
        <v>33</v>
      </c>
      <c r="S4" s="11" t="s">
        <v>35</v>
      </c>
      <c r="T4" s="15" t="s">
        <v>37</v>
      </c>
      <c r="U4" s="14" t="s">
        <v>39</v>
      </c>
      <c r="V4" s="10" t="s">
        <v>42</v>
      </c>
      <c r="W4" s="10" t="s">
        <v>42</v>
      </c>
      <c r="X4" s="10" t="s">
        <v>42</v>
      </c>
      <c r="Y4" s="10" t="s">
        <v>48</v>
      </c>
      <c r="Z4" s="10" t="s">
        <v>49</v>
      </c>
      <c r="AA4" s="10" t="s">
        <v>50</v>
      </c>
      <c r="AB4" s="10" t="s">
        <v>51</v>
      </c>
    </row>
    <row r="5" spans="1:28" x14ac:dyDescent="0.2">
      <c r="A5" s="17">
        <v>1</v>
      </c>
      <c r="B5" s="17">
        <v>0</v>
      </c>
      <c r="C5" s="17">
        <v>1</v>
      </c>
      <c r="D5" s="17">
        <v>1</v>
      </c>
      <c r="E5" s="17">
        <v>2</v>
      </c>
      <c r="F5" s="17">
        <v>2</v>
      </c>
      <c r="G5" s="17">
        <v>2</v>
      </c>
      <c r="H5" s="17">
        <v>1.5</v>
      </c>
      <c r="I5" s="17">
        <v>2</v>
      </c>
      <c r="J5" s="17">
        <v>0.5</v>
      </c>
      <c r="K5" s="17">
        <v>1.5</v>
      </c>
      <c r="L5" s="17">
        <v>2</v>
      </c>
      <c r="M5" s="17">
        <v>2</v>
      </c>
      <c r="N5" s="17">
        <v>1</v>
      </c>
      <c r="O5" s="17">
        <v>1</v>
      </c>
      <c r="P5" s="17">
        <v>1.5</v>
      </c>
      <c r="Q5" s="17">
        <v>1</v>
      </c>
      <c r="R5" s="17">
        <v>1.5</v>
      </c>
      <c r="S5" s="17">
        <v>2</v>
      </c>
      <c r="T5" s="17">
        <v>1.5</v>
      </c>
      <c r="U5" s="17">
        <v>2</v>
      </c>
      <c r="V5" s="17">
        <v>2</v>
      </c>
      <c r="W5" s="17">
        <v>1.5</v>
      </c>
      <c r="X5" s="17">
        <v>1</v>
      </c>
      <c r="Y5" s="17">
        <v>2</v>
      </c>
      <c r="Z5" s="17">
        <v>2</v>
      </c>
      <c r="AA5" s="17">
        <v>2</v>
      </c>
      <c r="AB5" s="17">
        <v>2</v>
      </c>
    </row>
    <row r="6" spans="1:28" x14ac:dyDescent="0.2">
      <c r="A6" s="17">
        <v>2</v>
      </c>
      <c r="B6" s="17">
        <v>1.5</v>
      </c>
      <c r="C6" s="17">
        <v>1</v>
      </c>
      <c r="D6" s="17">
        <v>1</v>
      </c>
      <c r="E6" s="17">
        <v>2.5</v>
      </c>
      <c r="F6" s="17">
        <v>3</v>
      </c>
      <c r="G6" s="17">
        <v>2</v>
      </c>
      <c r="H6" s="17">
        <v>2.5</v>
      </c>
      <c r="I6" s="17">
        <v>1.5</v>
      </c>
      <c r="J6" s="17">
        <v>0</v>
      </c>
      <c r="K6" s="17">
        <v>0.5</v>
      </c>
      <c r="L6" s="17">
        <v>2.5</v>
      </c>
      <c r="M6" s="17">
        <v>3</v>
      </c>
      <c r="N6" s="17">
        <v>1.5</v>
      </c>
      <c r="O6" s="17">
        <v>2</v>
      </c>
      <c r="P6" s="17">
        <v>3</v>
      </c>
      <c r="Q6" s="17">
        <v>0.5</v>
      </c>
      <c r="R6" s="17">
        <v>2.5</v>
      </c>
      <c r="S6" s="17">
        <v>3</v>
      </c>
      <c r="T6" s="17">
        <v>1.5</v>
      </c>
      <c r="U6" s="17">
        <v>2</v>
      </c>
      <c r="V6" s="17">
        <v>2</v>
      </c>
      <c r="W6" s="17">
        <v>0</v>
      </c>
      <c r="X6" s="17">
        <v>1</v>
      </c>
      <c r="Y6" s="17">
        <v>2</v>
      </c>
      <c r="Z6" s="17">
        <v>1.5</v>
      </c>
      <c r="AA6" s="17">
        <v>1.5</v>
      </c>
      <c r="AB6" s="17">
        <v>1</v>
      </c>
    </row>
    <row r="7" spans="1:28" x14ac:dyDescent="0.2">
      <c r="A7" s="17">
        <v>3</v>
      </c>
      <c r="B7" s="17">
        <v>1.5</v>
      </c>
      <c r="C7" s="17">
        <v>3</v>
      </c>
      <c r="D7" s="17">
        <v>2</v>
      </c>
      <c r="E7" s="17">
        <v>3</v>
      </c>
      <c r="F7" s="17">
        <v>3</v>
      </c>
      <c r="G7" s="17">
        <v>3</v>
      </c>
      <c r="H7" s="17">
        <v>3</v>
      </c>
      <c r="I7" s="17">
        <v>3</v>
      </c>
      <c r="J7" s="17">
        <v>3</v>
      </c>
      <c r="K7" s="17">
        <v>3</v>
      </c>
      <c r="L7" s="17">
        <v>3</v>
      </c>
      <c r="M7" s="17">
        <v>3</v>
      </c>
      <c r="N7" s="17">
        <v>2.5</v>
      </c>
      <c r="O7" s="17">
        <v>3</v>
      </c>
      <c r="P7" s="17">
        <v>3</v>
      </c>
      <c r="Q7" s="17">
        <v>3</v>
      </c>
      <c r="R7" s="17">
        <v>3</v>
      </c>
      <c r="S7" s="17">
        <v>3</v>
      </c>
      <c r="T7" s="17">
        <v>2</v>
      </c>
      <c r="U7" s="17">
        <v>3</v>
      </c>
      <c r="V7" s="17">
        <v>2.5</v>
      </c>
      <c r="W7" s="17">
        <v>3</v>
      </c>
      <c r="X7" s="17">
        <v>3</v>
      </c>
      <c r="Y7" s="17">
        <v>3</v>
      </c>
      <c r="Z7" s="17">
        <v>3</v>
      </c>
      <c r="AA7" s="17">
        <v>3</v>
      </c>
      <c r="AB7" s="17">
        <v>3</v>
      </c>
    </row>
    <row r="8" spans="1:28" x14ac:dyDescent="0.2">
      <c r="A8" s="17">
        <v>4</v>
      </c>
      <c r="B8" s="17">
        <v>0.5</v>
      </c>
      <c r="C8" s="17">
        <v>1.5</v>
      </c>
      <c r="D8" s="17">
        <v>1.5</v>
      </c>
      <c r="E8" s="17">
        <v>0</v>
      </c>
      <c r="F8" s="17">
        <v>2</v>
      </c>
      <c r="G8" s="17">
        <v>1</v>
      </c>
      <c r="H8" s="17">
        <v>2</v>
      </c>
      <c r="I8" s="17">
        <v>1</v>
      </c>
      <c r="J8" s="17">
        <v>0</v>
      </c>
      <c r="K8" s="17">
        <v>2</v>
      </c>
      <c r="L8" s="17">
        <v>1.5</v>
      </c>
      <c r="M8" s="17">
        <v>2</v>
      </c>
      <c r="N8" s="17">
        <v>2</v>
      </c>
      <c r="O8" s="17">
        <v>2</v>
      </c>
      <c r="P8" s="17">
        <v>2</v>
      </c>
      <c r="Q8" s="17">
        <v>1.5</v>
      </c>
      <c r="R8" s="17">
        <v>0.5</v>
      </c>
      <c r="S8" s="17">
        <v>3</v>
      </c>
      <c r="T8" s="17">
        <v>1.5</v>
      </c>
      <c r="U8" s="17">
        <v>2</v>
      </c>
      <c r="V8" s="17">
        <v>1</v>
      </c>
      <c r="W8" s="17">
        <v>1.5</v>
      </c>
      <c r="X8" s="17">
        <v>0.5</v>
      </c>
      <c r="Y8" s="17">
        <v>1</v>
      </c>
      <c r="Z8" s="17">
        <v>2</v>
      </c>
      <c r="AA8" s="17">
        <v>1.5</v>
      </c>
      <c r="AB8" s="17">
        <v>1.5</v>
      </c>
    </row>
    <row r="9" spans="1:28" x14ac:dyDescent="0.2">
      <c r="A9" s="17">
        <v>5</v>
      </c>
      <c r="B9" s="17">
        <v>0</v>
      </c>
      <c r="C9" s="17">
        <v>1.5</v>
      </c>
      <c r="D9" s="17">
        <v>-1</v>
      </c>
      <c r="E9" s="17">
        <v>1</v>
      </c>
      <c r="F9" s="17">
        <v>1.5</v>
      </c>
      <c r="G9" s="17">
        <v>0</v>
      </c>
      <c r="H9" s="17">
        <v>1</v>
      </c>
      <c r="I9" s="17">
        <v>1.5</v>
      </c>
      <c r="J9" s="17">
        <v>-2.5</v>
      </c>
      <c r="K9" s="17">
        <v>-2</v>
      </c>
      <c r="L9" s="17">
        <v>-1.5</v>
      </c>
      <c r="M9" s="17">
        <v>1</v>
      </c>
      <c r="N9" s="17">
        <v>2</v>
      </c>
      <c r="O9" s="17">
        <v>1</v>
      </c>
      <c r="P9" s="17">
        <v>1.5</v>
      </c>
      <c r="Q9" s="17">
        <v>1</v>
      </c>
      <c r="R9" s="17">
        <v>1</v>
      </c>
      <c r="S9" s="17">
        <v>-1.5</v>
      </c>
      <c r="T9" s="17">
        <v>1.5</v>
      </c>
      <c r="U9" s="17">
        <v>0.5</v>
      </c>
      <c r="V9" s="17">
        <v>1.5</v>
      </c>
      <c r="W9" s="17">
        <v>1</v>
      </c>
      <c r="X9" s="17">
        <v>0</v>
      </c>
      <c r="Y9" s="17">
        <v>1</v>
      </c>
      <c r="Z9" s="17">
        <v>1</v>
      </c>
      <c r="AA9" s="17">
        <v>1</v>
      </c>
      <c r="AB9" s="17">
        <v>1</v>
      </c>
    </row>
    <row r="10" spans="1:28" x14ac:dyDescent="0.2">
      <c r="A10" s="17">
        <v>6</v>
      </c>
      <c r="B10" s="17">
        <v>2</v>
      </c>
      <c r="C10" s="17">
        <v>2</v>
      </c>
      <c r="D10" s="17">
        <v>2</v>
      </c>
      <c r="E10" s="17">
        <v>2</v>
      </c>
      <c r="F10" s="17">
        <v>2</v>
      </c>
      <c r="G10" s="17">
        <v>2</v>
      </c>
      <c r="H10" s="17">
        <v>2</v>
      </c>
      <c r="I10" s="17">
        <v>2</v>
      </c>
      <c r="J10" s="17">
        <v>2</v>
      </c>
      <c r="K10" s="17">
        <v>2</v>
      </c>
      <c r="L10" s="17">
        <v>2</v>
      </c>
      <c r="M10" s="17">
        <v>2</v>
      </c>
      <c r="N10" s="17">
        <v>2</v>
      </c>
      <c r="O10" s="17">
        <v>2</v>
      </c>
      <c r="P10" s="17">
        <v>2</v>
      </c>
      <c r="Q10" s="17">
        <v>2</v>
      </c>
      <c r="R10" s="17">
        <v>2</v>
      </c>
      <c r="S10" s="17">
        <v>2</v>
      </c>
      <c r="T10" s="17">
        <v>2</v>
      </c>
      <c r="U10" s="17">
        <v>2.5</v>
      </c>
      <c r="V10" s="17">
        <v>2</v>
      </c>
      <c r="W10" s="17">
        <v>2</v>
      </c>
      <c r="X10" s="17">
        <v>2</v>
      </c>
      <c r="Y10" s="17">
        <v>2</v>
      </c>
      <c r="Z10" s="17">
        <v>2</v>
      </c>
      <c r="AA10" s="17">
        <v>2</v>
      </c>
      <c r="AB10" s="17">
        <v>2</v>
      </c>
    </row>
    <row r="11" spans="1:28" x14ac:dyDescent="0.2">
      <c r="A11" s="17">
        <v>7</v>
      </c>
      <c r="B11" s="17">
        <v>1</v>
      </c>
      <c r="C11" s="17">
        <v>2</v>
      </c>
      <c r="D11" s="17">
        <v>1</v>
      </c>
      <c r="E11" s="17">
        <v>2.5</v>
      </c>
      <c r="F11" s="17">
        <v>2</v>
      </c>
      <c r="G11" s="17">
        <v>1.5</v>
      </c>
      <c r="H11" s="17">
        <v>3</v>
      </c>
      <c r="I11" s="17">
        <v>2</v>
      </c>
      <c r="J11" s="17">
        <v>1.5</v>
      </c>
      <c r="K11" s="17">
        <v>2</v>
      </c>
      <c r="L11" s="17">
        <v>2</v>
      </c>
      <c r="M11" s="17">
        <v>2</v>
      </c>
      <c r="N11" s="17">
        <v>2</v>
      </c>
      <c r="O11" s="17">
        <v>2</v>
      </c>
      <c r="P11" s="17">
        <v>2</v>
      </c>
      <c r="Q11" s="17">
        <v>1.5</v>
      </c>
      <c r="R11" s="17">
        <v>2</v>
      </c>
      <c r="S11" s="17">
        <v>1.5</v>
      </c>
      <c r="T11" s="17">
        <v>1.5</v>
      </c>
      <c r="U11" s="17">
        <v>2</v>
      </c>
      <c r="V11" s="17">
        <v>1</v>
      </c>
      <c r="W11" s="17">
        <v>1.5</v>
      </c>
      <c r="X11" s="17">
        <v>1</v>
      </c>
      <c r="Y11" s="17">
        <v>2</v>
      </c>
      <c r="Z11" s="17">
        <v>2</v>
      </c>
      <c r="AA11" s="17">
        <v>2</v>
      </c>
      <c r="AB11" s="17">
        <v>2</v>
      </c>
    </row>
    <row r="12" spans="1:28" x14ac:dyDescent="0.2">
      <c r="A12" s="17">
        <v>8</v>
      </c>
      <c r="B12" s="17">
        <v>1.5</v>
      </c>
      <c r="C12" s="17">
        <v>1.5</v>
      </c>
      <c r="D12" s="17">
        <v>2</v>
      </c>
      <c r="E12" s="17">
        <v>2</v>
      </c>
      <c r="F12" s="17">
        <v>1.5</v>
      </c>
      <c r="G12" s="17">
        <v>2</v>
      </c>
      <c r="H12" s="17">
        <v>2</v>
      </c>
      <c r="I12" s="17">
        <v>1.5</v>
      </c>
      <c r="J12" s="17">
        <v>1.5</v>
      </c>
      <c r="K12" s="17">
        <v>1.5</v>
      </c>
      <c r="L12" s="17">
        <v>2</v>
      </c>
      <c r="M12" s="17">
        <v>3</v>
      </c>
      <c r="N12" s="17">
        <v>1.5</v>
      </c>
      <c r="O12" s="17">
        <v>1.5</v>
      </c>
      <c r="P12" s="17">
        <v>2</v>
      </c>
      <c r="Q12" s="17">
        <v>2.5</v>
      </c>
      <c r="R12" s="17">
        <v>2</v>
      </c>
      <c r="S12" s="17">
        <v>2</v>
      </c>
      <c r="T12" s="17">
        <v>1.5</v>
      </c>
      <c r="U12" s="17">
        <v>1.5</v>
      </c>
      <c r="V12" s="17">
        <v>1.5</v>
      </c>
      <c r="W12" s="17">
        <v>1.5</v>
      </c>
      <c r="X12" s="17">
        <v>1</v>
      </c>
      <c r="Y12" s="17">
        <v>2</v>
      </c>
      <c r="Z12" s="17">
        <v>1.5</v>
      </c>
      <c r="AA12" s="17">
        <v>2</v>
      </c>
      <c r="AB12" s="17">
        <v>1.5</v>
      </c>
    </row>
    <row r="13" spans="1:28" x14ac:dyDescent="0.2">
      <c r="A13" s="17">
        <v>9</v>
      </c>
      <c r="B13" s="17">
        <v>-0.5</v>
      </c>
      <c r="C13" s="17">
        <v>-0.5</v>
      </c>
      <c r="D13" s="17">
        <v>-1</v>
      </c>
      <c r="E13" s="17">
        <v>-0.5</v>
      </c>
      <c r="F13" s="17">
        <v>0</v>
      </c>
      <c r="G13" s="17">
        <v>-0.5</v>
      </c>
      <c r="H13" s="17">
        <v>0</v>
      </c>
      <c r="I13" s="17">
        <v>1</v>
      </c>
      <c r="J13" s="17">
        <v>0</v>
      </c>
      <c r="K13" s="17">
        <v>0</v>
      </c>
      <c r="L13" s="17">
        <v>-1</v>
      </c>
      <c r="M13" s="17">
        <v>0</v>
      </c>
      <c r="N13" s="17">
        <v>0.5</v>
      </c>
      <c r="O13" s="17">
        <v>0</v>
      </c>
      <c r="P13" s="17">
        <v>-0.5</v>
      </c>
      <c r="Q13" s="17">
        <v>0</v>
      </c>
      <c r="R13" s="17">
        <v>0</v>
      </c>
      <c r="S13" s="17">
        <v>-0.5</v>
      </c>
      <c r="T13" s="17">
        <v>0</v>
      </c>
      <c r="U13" s="17">
        <v>0</v>
      </c>
      <c r="V13" s="17">
        <v>-0.5</v>
      </c>
      <c r="W13" s="17">
        <v>0</v>
      </c>
      <c r="X13" s="17">
        <v>-0.5</v>
      </c>
      <c r="Y13" s="17">
        <v>-1</v>
      </c>
      <c r="Z13" s="17">
        <v>-1</v>
      </c>
      <c r="AA13" s="17">
        <v>-1</v>
      </c>
      <c r="AB13" s="17">
        <v>-1</v>
      </c>
    </row>
    <row r="14" spans="1:28" x14ac:dyDescent="0.2">
      <c r="A14" s="17">
        <v>10</v>
      </c>
      <c r="B14" s="17">
        <v>-0.5</v>
      </c>
      <c r="C14" s="17">
        <v>1.5</v>
      </c>
      <c r="D14" s="17">
        <v>1.5</v>
      </c>
      <c r="E14" s="17">
        <v>3</v>
      </c>
      <c r="F14" s="17">
        <v>1.5</v>
      </c>
      <c r="G14" s="17">
        <v>1.5</v>
      </c>
      <c r="H14" s="17">
        <v>1.5</v>
      </c>
      <c r="I14" s="17">
        <v>2.5</v>
      </c>
      <c r="J14" s="17">
        <v>1</v>
      </c>
      <c r="K14" s="17">
        <v>2.5</v>
      </c>
      <c r="L14" s="17">
        <v>3</v>
      </c>
      <c r="M14" s="17">
        <v>3</v>
      </c>
      <c r="N14" s="17">
        <v>3</v>
      </c>
      <c r="O14" s="17">
        <v>1.5</v>
      </c>
      <c r="P14" s="17">
        <v>3</v>
      </c>
      <c r="Q14" s="17">
        <v>2</v>
      </c>
      <c r="R14" s="17">
        <v>3</v>
      </c>
      <c r="S14" s="17">
        <v>3</v>
      </c>
      <c r="T14" s="17">
        <v>2.5</v>
      </c>
      <c r="U14" s="17">
        <v>3</v>
      </c>
      <c r="V14" s="17">
        <v>2</v>
      </c>
      <c r="W14" s="17">
        <v>2</v>
      </c>
      <c r="X14" s="17">
        <v>1</v>
      </c>
      <c r="Y14" s="17">
        <v>3</v>
      </c>
      <c r="Z14" s="17">
        <v>3</v>
      </c>
      <c r="AA14" s="17">
        <v>2.5</v>
      </c>
      <c r="AB14" s="17">
        <v>3</v>
      </c>
    </row>
    <row r="15" spans="1:28" x14ac:dyDescent="0.2">
      <c r="A15" s="17">
        <v>11</v>
      </c>
      <c r="B15" s="17">
        <v>0</v>
      </c>
      <c r="C15" s="17">
        <v>1.5</v>
      </c>
      <c r="D15" s="17">
        <v>2</v>
      </c>
      <c r="E15" s="17">
        <v>2</v>
      </c>
      <c r="F15" s="17">
        <v>1.5</v>
      </c>
      <c r="G15" s="17">
        <v>-0.5</v>
      </c>
      <c r="H15" s="17">
        <v>2</v>
      </c>
      <c r="I15" s="17">
        <v>2</v>
      </c>
      <c r="J15" s="17">
        <v>1.5</v>
      </c>
      <c r="K15" s="17">
        <v>1.5</v>
      </c>
      <c r="L15" s="17">
        <v>1.5</v>
      </c>
      <c r="M15" s="17">
        <v>2</v>
      </c>
      <c r="N15" s="17">
        <v>2</v>
      </c>
      <c r="O15" s="17">
        <v>2</v>
      </c>
      <c r="P15" s="17">
        <v>2.5</v>
      </c>
      <c r="Q15" s="17">
        <v>2</v>
      </c>
      <c r="R15" s="17">
        <v>2</v>
      </c>
      <c r="S15" s="17">
        <v>0.5</v>
      </c>
      <c r="T15" s="17">
        <v>2</v>
      </c>
      <c r="U15" s="17">
        <v>2</v>
      </c>
      <c r="V15" s="17">
        <v>2</v>
      </c>
      <c r="W15" s="17">
        <v>2</v>
      </c>
      <c r="X15" s="17">
        <v>0</v>
      </c>
      <c r="Y15" s="17">
        <v>2</v>
      </c>
      <c r="Z15" s="17">
        <v>1.5</v>
      </c>
      <c r="AA15" s="17">
        <v>2</v>
      </c>
      <c r="AB15" s="17">
        <v>2</v>
      </c>
    </row>
    <row r="16" spans="1:28" x14ac:dyDescent="0.2">
      <c r="A16" s="17">
        <v>12</v>
      </c>
      <c r="B16" s="17">
        <v>1.5</v>
      </c>
      <c r="C16" s="17">
        <v>2</v>
      </c>
      <c r="D16" s="17">
        <v>2</v>
      </c>
      <c r="E16" s="17">
        <v>2</v>
      </c>
      <c r="F16" s="17">
        <v>2</v>
      </c>
      <c r="G16" s="17">
        <v>0</v>
      </c>
      <c r="H16" s="17">
        <v>2</v>
      </c>
      <c r="I16" s="17">
        <v>2</v>
      </c>
      <c r="J16" s="17">
        <v>1.5</v>
      </c>
      <c r="K16" s="17">
        <v>2</v>
      </c>
      <c r="L16" s="17">
        <v>2</v>
      </c>
      <c r="M16" s="17">
        <v>2</v>
      </c>
      <c r="N16" s="17">
        <v>2</v>
      </c>
      <c r="O16" s="17">
        <v>2</v>
      </c>
      <c r="P16" s="17">
        <v>2</v>
      </c>
      <c r="Q16" s="17">
        <v>2</v>
      </c>
      <c r="R16" s="17">
        <v>2</v>
      </c>
      <c r="S16" s="17">
        <v>2</v>
      </c>
      <c r="T16" s="17">
        <v>1.5</v>
      </c>
      <c r="U16" s="17">
        <v>2</v>
      </c>
      <c r="V16" s="17">
        <v>0</v>
      </c>
      <c r="W16" s="17">
        <v>1.5</v>
      </c>
      <c r="X16" s="17">
        <v>-0.5</v>
      </c>
      <c r="Y16" s="17">
        <v>1.5</v>
      </c>
      <c r="Z16" s="17">
        <v>2</v>
      </c>
      <c r="AA16" s="17">
        <v>2</v>
      </c>
      <c r="AB16" s="17">
        <v>2</v>
      </c>
    </row>
    <row r="17" spans="1:28" x14ac:dyDescent="0.2">
      <c r="A17" s="17">
        <v>13</v>
      </c>
      <c r="B17" s="17">
        <v>-1.5</v>
      </c>
      <c r="C17" s="17">
        <v>1</v>
      </c>
      <c r="D17" s="17">
        <v>0</v>
      </c>
      <c r="E17" s="17">
        <v>1.5</v>
      </c>
      <c r="F17" s="17">
        <v>1</v>
      </c>
      <c r="G17" s="17">
        <v>-0.5</v>
      </c>
      <c r="H17" s="17">
        <v>0</v>
      </c>
      <c r="I17" s="17">
        <v>1</v>
      </c>
      <c r="J17" s="17">
        <v>1.5</v>
      </c>
      <c r="K17" s="17">
        <v>0.5</v>
      </c>
      <c r="L17" s="17">
        <v>2</v>
      </c>
      <c r="M17" s="17">
        <v>1.5</v>
      </c>
      <c r="N17" s="17">
        <v>0.5</v>
      </c>
      <c r="O17" s="17">
        <v>-1</v>
      </c>
      <c r="P17" s="17">
        <v>3</v>
      </c>
      <c r="Q17" s="17">
        <v>0.5</v>
      </c>
      <c r="R17" s="17">
        <v>1.5</v>
      </c>
      <c r="S17" s="17">
        <v>0.5</v>
      </c>
      <c r="T17" s="17">
        <v>2.5</v>
      </c>
      <c r="U17" s="17">
        <v>0</v>
      </c>
      <c r="V17" s="17">
        <v>0.5</v>
      </c>
      <c r="W17" s="17">
        <v>0.5</v>
      </c>
      <c r="X17" s="17">
        <v>-0.5</v>
      </c>
      <c r="Y17" s="17">
        <v>1</v>
      </c>
      <c r="Z17" s="17">
        <v>1</v>
      </c>
      <c r="AA17" s="17">
        <v>1</v>
      </c>
      <c r="AB17" s="17">
        <v>1</v>
      </c>
    </row>
    <row r="18" spans="1:28" x14ac:dyDescent="0.2">
      <c r="A18" s="17">
        <v>14</v>
      </c>
      <c r="B18" s="17">
        <v>2.5</v>
      </c>
      <c r="C18" s="17">
        <v>2.5</v>
      </c>
      <c r="D18" s="17">
        <v>1.5</v>
      </c>
      <c r="E18" s="17">
        <v>3</v>
      </c>
      <c r="F18" s="17">
        <v>3</v>
      </c>
      <c r="G18" s="17">
        <v>1.5</v>
      </c>
      <c r="H18" s="17">
        <v>2</v>
      </c>
      <c r="I18" s="17">
        <v>3</v>
      </c>
      <c r="J18" s="17">
        <v>1.5</v>
      </c>
      <c r="K18" s="17">
        <v>2</v>
      </c>
      <c r="L18" s="17">
        <v>3</v>
      </c>
      <c r="M18" s="17">
        <v>3</v>
      </c>
      <c r="N18" s="17">
        <v>2</v>
      </c>
      <c r="O18" s="17">
        <v>2</v>
      </c>
      <c r="P18" s="17">
        <v>2.5</v>
      </c>
      <c r="Q18" s="17">
        <v>3</v>
      </c>
      <c r="R18" s="17">
        <v>2</v>
      </c>
      <c r="S18" s="17">
        <v>0.5</v>
      </c>
      <c r="T18" s="17">
        <v>2</v>
      </c>
      <c r="U18" s="17">
        <v>2.5</v>
      </c>
      <c r="V18" s="17">
        <v>2</v>
      </c>
      <c r="W18" s="17">
        <v>1.5</v>
      </c>
      <c r="X18" s="17">
        <v>1.5</v>
      </c>
      <c r="Y18" s="17">
        <v>3</v>
      </c>
      <c r="Z18" s="17">
        <v>3</v>
      </c>
      <c r="AA18" s="17">
        <v>3</v>
      </c>
      <c r="AB18" s="17">
        <v>3</v>
      </c>
    </row>
    <row r="19" spans="1:28" x14ac:dyDescent="0.2">
      <c r="A19" s="17">
        <v>15</v>
      </c>
      <c r="B19" s="17">
        <v>0.5</v>
      </c>
      <c r="C19" s="17">
        <v>1.5</v>
      </c>
      <c r="D19" s="17">
        <v>2</v>
      </c>
      <c r="E19" s="17">
        <v>3</v>
      </c>
      <c r="F19" s="17">
        <v>2</v>
      </c>
      <c r="G19" s="17">
        <v>2</v>
      </c>
      <c r="H19" s="17">
        <v>1.5</v>
      </c>
      <c r="I19" s="17">
        <v>3</v>
      </c>
      <c r="J19" s="17">
        <v>1</v>
      </c>
      <c r="K19" s="17">
        <v>2.5</v>
      </c>
      <c r="L19" s="17">
        <v>2.5</v>
      </c>
      <c r="M19" s="17">
        <v>3</v>
      </c>
      <c r="N19" s="17">
        <v>2.5</v>
      </c>
      <c r="O19" s="17">
        <v>1.5</v>
      </c>
      <c r="P19" s="17">
        <v>2.5</v>
      </c>
      <c r="Q19" s="17">
        <v>2.5</v>
      </c>
      <c r="R19" s="17">
        <v>2.5</v>
      </c>
      <c r="S19" s="17">
        <v>3</v>
      </c>
      <c r="T19" s="17">
        <v>1</v>
      </c>
      <c r="U19" s="17">
        <v>3</v>
      </c>
      <c r="V19" s="17">
        <v>1</v>
      </c>
      <c r="W19" s="17">
        <v>0</v>
      </c>
      <c r="X19" s="17">
        <v>0.5</v>
      </c>
      <c r="Y19" s="17">
        <v>3</v>
      </c>
      <c r="Z19" s="17">
        <v>3</v>
      </c>
      <c r="AA19" s="17">
        <v>3</v>
      </c>
      <c r="AB19" s="17">
        <v>3</v>
      </c>
    </row>
    <row r="20" spans="1:28" x14ac:dyDescent="0.2">
      <c r="A20" s="17">
        <v>16</v>
      </c>
      <c r="B20" s="17">
        <v>2.5</v>
      </c>
      <c r="C20" s="17">
        <v>3</v>
      </c>
      <c r="D20" s="17">
        <v>2</v>
      </c>
      <c r="E20" s="17">
        <v>2.5</v>
      </c>
      <c r="F20" s="17">
        <v>3</v>
      </c>
      <c r="G20" s="17">
        <v>2</v>
      </c>
      <c r="H20" s="17">
        <v>2</v>
      </c>
      <c r="I20" s="17">
        <v>1.5</v>
      </c>
      <c r="J20" s="17">
        <v>1</v>
      </c>
      <c r="K20" s="17">
        <v>1.5</v>
      </c>
      <c r="L20" s="17">
        <v>1</v>
      </c>
      <c r="M20" s="17">
        <v>2.5</v>
      </c>
      <c r="N20" s="17">
        <v>1.5</v>
      </c>
      <c r="O20" s="17">
        <v>3</v>
      </c>
      <c r="P20" s="17">
        <v>3</v>
      </c>
      <c r="Q20" s="17">
        <v>2.5</v>
      </c>
      <c r="R20" s="17">
        <v>2.5</v>
      </c>
      <c r="S20" s="17">
        <v>2</v>
      </c>
      <c r="T20" s="17">
        <v>1</v>
      </c>
      <c r="U20" s="17">
        <v>3</v>
      </c>
      <c r="V20" s="17">
        <v>2</v>
      </c>
      <c r="W20" s="17">
        <v>2.5</v>
      </c>
      <c r="X20" s="17">
        <v>2</v>
      </c>
      <c r="Y20" s="17">
        <v>2</v>
      </c>
      <c r="Z20" s="17">
        <v>3</v>
      </c>
      <c r="AA20" s="17">
        <v>3</v>
      </c>
      <c r="AB20" s="17">
        <v>3</v>
      </c>
    </row>
    <row r="21" spans="1:28" x14ac:dyDescent="0.2">
      <c r="A21" s="17">
        <v>17</v>
      </c>
      <c r="B21" s="17">
        <v>0</v>
      </c>
      <c r="C21" s="17">
        <v>0</v>
      </c>
      <c r="D21" s="17">
        <v>0.5</v>
      </c>
      <c r="E21" s="17">
        <v>1.5</v>
      </c>
      <c r="F21" s="17">
        <v>0.5</v>
      </c>
      <c r="G21" s="17">
        <v>0.5</v>
      </c>
      <c r="H21" s="17">
        <v>2</v>
      </c>
      <c r="I21" s="17">
        <v>0</v>
      </c>
      <c r="J21" s="17">
        <v>-1</v>
      </c>
      <c r="K21" s="17">
        <v>1</v>
      </c>
      <c r="L21" s="17">
        <v>0.5</v>
      </c>
      <c r="M21" s="17">
        <v>1</v>
      </c>
      <c r="N21" s="17">
        <v>1</v>
      </c>
      <c r="O21" s="17">
        <v>-0.5</v>
      </c>
      <c r="P21" s="17">
        <v>2</v>
      </c>
      <c r="Q21" s="17">
        <v>-0.5</v>
      </c>
      <c r="R21" s="17">
        <v>1.5</v>
      </c>
      <c r="S21" s="17">
        <v>0.5</v>
      </c>
      <c r="T21" s="17">
        <v>2</v>
      </c>
      <c r="U21" s="17">
        <v>1</v>
      </c>
      <c r="V21" s="17">
        <v>0</v>
      </c>
      <c r="W21" s="17">
        <v>0</v>
      </c>
      <c r="X21" s="17">
        <v>1.5</v>
      </c>
      <c r="Y21" s="17">
        <v>1</v>
      </c>
      <c r="Z21" s="17">
        <v>0.5</v>
      </c>
      <c r="AA21" s="17">
        <v>1</v>
      </c>
      <c r="AB21" s="17">
        <v>1</v>
      </c>
    </row>
    <row r="22" spans="1:28" x14ac:dyDescent="0.2">
      <c r="A22" s="17">
        <v>18</v>
      </c>
      <c r="B22" s="17">
        <v>-0.5</v>
      </c>
      <c r="C22" s="17">
        <v>2</v>
      </c>
      <c r="D22" s="17">
        <v>1</v>
      </c>
      <c r="E22" s="17">
        <v>1</v>
      </c>
      <c r="F22" s="17">
        <v>0</v>
      </c>
      <c r="G22" s="17">
        <v>-1.5</v>
      </c>
      <c r="H22" s="17">
        <v>1.5</v>
      </c>
      <c r="I22" s="17">
        <v>0.5</v>
      </c>
      <c r="J22" s="17">
        <v>1</v>
      </c>
      <c r="K22" s="17">
        <v>1</v>
      </c>
      <c r="L22" s="17">
        <v>-0.5</v>
      </c>
      <c r="M22" s="17">
        <v>1</v>
      </c>
      <c r="N22" s="17">
        <v>-0.5</v>
      </c>
      <c r="O22" s="17">
        <v>-0.5</v>
      </c>
      <c r="P22" s="17">
        <v>1</v>
      </c>
      <c r="Q22" s="17">
        <v>1</v>
      </c>
      <c r="R22" s="17">
        <v>1</v>
      </c>
      <c r="S22" s="17">
        <v>1</v>
      </c>
      <c r="T22" s="17">
        <v>-1.5</v>
      </c>
      <c r="U22" s="17">
        <v>2</v>
      </c>
      <c r="V22" s="17">
        <v>0.5</v>
      </c>
      <c r="W22" s="17">
        <v>0</v>
      </c>
      <c r="X22" s="17">
        <v>-2</v>
      </c>
      <c r="Y22" s="17">
        <v>0.5</v>
      </c>
      <c r="Z22" s="17">
        <v>1.5</v>
      </c>
      <c r="AA22" s="17">
        <v>1.5</v>
      </c>
      <c r="AB22" s="17">
        <v>1</v>
      </c>
    </row>
    <row r="23" spans="1:28" x14ac:dyDescent="0.2">
      <c r="A23" s="17">
        <v>19</v>
      </c>
      <c r="B23" s="17">
        <v>1.5</v>
      </c>
      <c r="C23" s="17">
        <v>2.5</v>
      </c>
      <c r="D23" s="17">
        <v>2</v>
      </c>
      <c r="E23" s="17">
        <v>3</v>
      </c>
      <c r="F23" s="17">
        <v>3</v>
      </c>
      <c r="G23" s="17">
        <v>1.5</v>
      </c>
      <c r="H23" s="17">
        <v>1.5</v>
      </c>
      <c r="I23" s="17">
        <v>3</v>
      </c>
      <c r="J23" s="17">
        <v>1.5</v>
      </c>
      <c r="K23" s="17">
        <v>2</v>
      </c>
      <c r="L23" s="17">
        <v>2</v>
      </c>
      <c r="M23" s="17">
        <v>3</v>
      </c>
      <c r="N23" s="17">
        <v>2</v>
      </c>
      <c r="O23" s="17">
        <v>2.5</v>
      </c>
      <c r="P23" s="17">
        <v>2.5</v>
      </c>
      <c r="Q23" s="17">
        <v>3</v>
      </c>
      <c r="R23" s="17">
        <v>2.5</v>
      </c>
      <c r="S23" s="17">
        <v>2</v>
      </c>
      <c r="T23" s="17">
        <v>3</v>
      </c>
      <c r="U23" s="17">
        <v>3</v>
      </c>
      <c r="V23" s="17">
        <v>3</v>
      </c>
      <c r="W23" s="17">
        <v>3</v>
      </c>
      <c r="X23" s="17">
        <v>2.5</v>
      </c>
      <c r="Y23" s="17">
        <v>2.5</v>
      </c>
      <c r="Z23" s="17">
        <v>2.5</v>
      </c>
      <c r="AA23" s="17">
        <v>3</v>
      </c>
      <c r="AB23" s="17">
        <v>3</v>
      </c>
    </row>
    <row r="24" spans="1:28" x14ac:dyDescent="0.2">
      <c r="A24" s="17">
        <v>20</v>
      </c>
      <c r="B24" s="17">
        <v>1</v>
      </c>
      <c r="C24" s="17">
        <v>1</v>
      </c>
      <c r="D24" s="17">
        <v>1</v>
      </c>
      <c r="E24" s="17">
        <v>2.5</v>
      </c>
      <c r="F24" s="17">
        <v>1.5</v>
      </c>
      <c r="G24" s="17">
        <v>1</v>
      </c>
      <c r="H24" s="17">
        <v>1.5</v>
      </c>
      <c r="I24" s="17">
        <v>1.5</v>
      </c>
      <c r="J24" s="17">
        <v>0</v>
      </c>
      <c r="K24" s="17">
        <v>0</v>
      </c>
      <c r="L24" s="17">
        <v>1.5</v>
      </c>
      <c r="M24" s="17">
        <v>0.5</v>
      </c>
      <c r="N24" s="17">
        <v>0.5</v>
      </c>
      <c r="O24" s="17">
        <v>1</v>
      </c>
      <c r="P24" s="17">
        <v>0</v>
      </c>
      <c r="Q24" s="17">
        <v>1.5</v>
      </c>
      <c r="R24" s="17">
        <v>1.5</v>
      </c>
      <c r="S24" s="17">
        <v>-0.5</v>
      </c>
      <c r="T24" s="17">
        <v>0</v>
      </c>
      <c r="U24" s="17">
        <v>0.5</v>
      </c>
      <c r="V24" s="17">
        <v>1</v>
      </c>
      <c r="W24" s="17">
        <v>2</v>
      </c>
      <c r="X24" s="17">
        <v>1.5</v>
      </c>
      <c r="Y24" s="17">
        <v>2</v>
      </c>
      <c r="Z24" s="17">
        <v>2</v>
      </c>
      <c r="AA24" s="17">
        <v>2</v>
      </c>
      <c r="AB24" s="17">
        <v>2</v>
      </c>
    </row>
    <row r="25" spans="1:28" x14ac:dyDescent="0.2">
      <c r="A25" s="17">
        <v>21</v>
      </c>
      <c r="B25" s="17">
        <v>1</v>
      </c>
      <c r="C25" s="17">
        <v>2.5</v>
      </c>
      <c r="D25" s="17">
        <v>1</v>
      </c>
      <c r="E25" s="17">
        <v>3</v>
      </c>
      <c r="F25" s="17">
        <v>3</v>
      </c>
      <c r="G25" s="17">
        <v>1</v>
      </c>
      <c r="H25" s="17">
        <v>3</v>
      </c>
      <c r="I25" s="17">
        <v>3</v>
      </c>
      <c r="J25" s="17">
        <v>0</v>
      </c>
      <c r="K25" s="17">
        <v>2</v>
      </c>
      <c r="L25" s="17">
        <v>2.5</v>
      </c>
      <c r="M25" s="17">
        <v>3</v>
      </c>
      <c r="N25" s="17">
        <v>2</v>
      </c>
      <c r="O25" s="17">
        <v>3</v>
      </c>
      <c r="P25" s="17">
        <v>3</v>
      </c>
      <c r="Q25" s="17">
        <v>3</v>
      </c>
      <c r="R25" s="17">
        <v>3</v>
      </c>
      <c r="S25" s="17">
        <v>3</v>
      </c>
      <c r="T25" s="17">
        <v>3</v>
      </c>
      <c r="U25" s="17">
        <v>2.5</v>
      </c>
      <c r="V25" s="17">
        <v>2</v>
      </c>
      <c r="W25" s="17">
        <v>1</v>
      </c>
      <c r="X25" s="17">
        <v>3</v>
      </c>
      <c r="Y25" s="17">
        <v>0.5</v>
      </c>
      <c r="Z25" s="17">
        <v>1.5</v>
      </c>
      <c r="AA25" s="17">
        <v>1.5</v>
      </c>
      <c r="AB25" s="17">
        <v>1.5</v>
      </c>
    </row>
    <row r="26" spans="1:28" x14ac:dyDescent="0.2">
      <c r="A26" s="17">
        <v>22</v>
      </c>
      <c r="B26" s="17">
        <v>0</v>
      </c>
      <c r="C26" s="17">
        <v>1.5</v>
      </c>
      <c r="D26" s="17">
        <v>2</v>
      </c>
      <c r="E26" s="17">
        <v>3</v>
      </c>
      <c r="F26" s="17">
        <v>2.5</v>
      </c>
      <c r="G26" s="17">
        <v>1.5</v>
      </c>
      <c r="H26" s="17">
        <v>2.5</v>
      </c>
      <c r="I26" s="17">
        <v>2</v>
      </c>
      <c r="J26" s="17">
        <v>1</v>
      </c>
      <c r="K26" s="17">
        <v>1.5</v>
      </c>
      <c r="L26" s="17">
        <v>2</v>
      </c>
      <c r="M26" s="17">
        <v>2</v>
      </c>
      <c r="N26" s="17">
        <v>2</v>
      </c>
      <c r="O26" s="17">
        <v>2</v>
      </c>
      <c r="P26" s="17">
        <v>3</v>
      </c>
      <c r="Q26" s="17">
        <v>2</v>
      </c>
      <c r="R26" s="17">
        <v>3</v>
      </c>
      <c r="S26" s="17">
        <v>2</v>
      </c>
      <c r="T26" s="17">
        <v>1.5</v>
      </c>
      <c r="U26" s="17">
        <v>2</v>
      </c>
      <c r="V26" s="17">
        <v>1</v>
      </c>
      <c r="W26" s="17">
        <v>1</v>
      </c>
      <c r="X26" s="17">
        <v>3</v>
      </c>
      <c r="Y26" s="17">
        <v>3</v>
      </c>
      <c r="Z26" s="17">
        <v>2</v>
      </c>
      <c r="AA26" s="17">
        <v>2</v>
      </c>
      <c r="AB26" s="17">
        <v>2</v>
      </c>
    </row>
    <row r="27" spans="1:28" x14ac:dyDescent="0.2">
      <c r="A27" s="17">
        <v>23</v>
      </c>
      <c r="B27" s="17">
        <v>0</v>
      </c>
      <c r="C27" s="17">
        <v>2</v>
      </c>
      <c r="D27" s="17">
        <v>2</v>
      </c>
      <c r="E27" s="17">
        <v>2</v>
      </c>
      <c r="F27" s="17">
        <v>2</v>
      </c>
      <c r="G27" s="17">
        <v>1</v>
      </c>
      <c r="H27" s="17">
        <v>2</v>
      </c>
      <c r="I27" s="17">
        <v>2</v>
      </c>
      <c r="J27" s="17">
        <v>0</v>
      </c>
      <c r="K27" s="17">
        <v>1.5</v>
      </c>
      <c r="L27" s="17">
        <v>1.5</v>
      </c>
      <c r="M27" s="17">
        <v>2.5</v>
      </c>
      <c r="N27" s="17">
        <v>1.5</v>
      </c>
      <c r="O27" s="17">
        <v>2</v>
      </c>
      <c r="P27" s="17">
        <v>2</v>
      </c>
      <c r="Q27" s="17">
        <v>2</v>
      </c>
      <c r="R27" s="17">
        <v>2</v>
      </c>
      <c r="S27" s="17">
        <v>2.5</v>
      </c>
      <c r="T27" s="17">
        <v>2</v>
      </c>
      <c r="U27" s="17">
        <v>2</v>
      </c>
      <c r="V27" s="17">
        <v>2</v>
      </c>
      <c r="W27" s="17">
        <v>2</v>
      </c>
      <c r="X27" s="17">
        <v>2</v>
      </c>
      <c r="Y27" s="17">
        <v>2</v>
      </c>
      <c r="Z27" s="17">
        <v>2</v>
      </c>
      <c r="AA27" s="17">
        <v>2</v>
      </c>
      <c r="AB27" s="17">
        <v>2</v>
      </c>
    </row>
    <row r="28" spans="1:28" x14ac:dyDescent="0.2">
      <c r="A28" s="17">
        <v>24</v>
      </c>
      <c r="B28" s="17">
        <v>-1</v>
      </c>
      <c r="C28" s="17">
        <v>1.5</v>
      </c>
      <c r="D28" s="17">
        <v>2</v>
      </c>
      <c r="E28" s="17">
        <v>2.5</v>
      </c>
      <c r="F28" s="17">
        <v>2.5</v>
      </c>
      <c r="G28" s="17">
        <v>-2.5</v>
      </c>
      <c r="H28" s="17">
        <v>2</v>
      </c>
      <c r="I28" s="17">
        <v>2</v>
      </c>
      <c r="J28" s="17">
        <v>0</v>
      </c>
      <c r="K28" s="17">
        <v>1.5</v>
      </c>
      <c r="L28" s="17">
        <v>2.5</v>
      </c>
      <c r="M28" s="17">
        <v>3</v>
      </c>
      <c r="N28" s="17">
        <v>1.5</v>
      </c>
      <c r="O28" s="17">
        <v>1.5</v>
      </c>
      <c r="P28" s="17">
        <v>2</v>
      </c>
      <c r="Q28" s="17">
        <v>2</v>
      </c>
      <c r="R28" s="17">
        <v>3</v>
      </c>
      <c r="S28" s="17">
        <v>1.5</v>
      </c>
      <c r="T28" s="17">
        <v>1.5</v>
      </c>
      <c r="U28" s="17">
        <v>1.5</v>
      </c>
      <c r="V28" s="17">
        <v>0.5</v>
      </c>
      <c r="W28" s="17">
        <v>2</v>
      </c>
      <c r="X28" s="17">
        <v>-1.5</v>
      </c>
      <c r="Y28" s="17">
        <v>3</v>
      </c>
      <c r="Z28" s="17">
        <v>3</v>
      </c>
      <c r="AA28" s="17">
        <v>3</v>
      </c>
      <c r="AB28" s="17">
        <v>3</v>
      </c>
    </row>
    <row r="29" spans="1:28" x14ac:dyDescent="0.2">
      <c r="A29" s="17">
        <v>25</v>
      </c>
      <c r="B29" s="17">
        <v>3</v>
      </c>
      <c r="C29" s="17">
        <v>2.5</v>
      </c>
      <c r="D29" s="17">
        <v>3</v>
      </c>
      <c r="E29" s="17">
        <v>3</v>
      </c>
      <c r="F29" s="17">
        <v>3</v>
      </c>
      <c r="G29" s="17">
        <v>3</v>
      </c>
      <c r="H29" s="17">
        <v>3</v>
      </c>
      <c r="I29" s="17">
        <v>3</v>
      </c>
      <c r="J29" s="17">
        <v>3</v>
      </c>
      <c r="K29" s="17">
        <v>3</v>
      </c>
      <c r="L29" s="17">
        <v>3</v>
      </c>
      <c r="M29" s="17">
        <v>3</v>
      </c>
      <c r="N29" s="17">
        <v>3</v>
      </c>
      <c r="O29" s="17">
        <v>3</v>
      </c>
      <c r="P29" s="17">
        <v>3</v>
      </c>
      <c r="Q29" s="17">
        <v>3</v>
      </c>
      <c r="R29" s="17">
        <v>3</v>
      </c>
      <c r="S29" s="17">
        <v>3</v>
      </c>
      <c r="T29" s="17">
        <v>3</v>
      </c>
      <c r="U29" s="17">
        <v>3</v>
      </c>
      <c r="V29" s="17">
        <v>3</v>
      </c>
      <c r="W29" s="17">
        <v>3</v>
      </c>
      <c r="X29" s="17">
        <v>3</v>
      </c>
      <c r="Y29" s="17">
        <v>3</v>
      </c>
      <c r="Z29" s="17">
        <v>3</v>
      </c>
      <c r="AA29" s="17">
        <v>3</v>
      </c>
      <c r="AB29" s="17">
        <v>3</v>
      </c>
    </row>
    <row r="30" spans="1:28" x14ac:dyDescent="0.2">
      <c r="A30" s="17">
        <v>26</v>
      </c>
      <c r="B30" s="17">
        <v>-1</v>
      </c>
      <c r="C30" s="17">
        <v>1</v>
      </c>
      <c r="D30" s="17">
        <v>-2</v>
      </c>
      <c r="E30" s="17">
        <v>2</v>
      </c>
      <c r="F30" s="17">
        <v>2</v>
      </c>
      <c r="G30" s="17">
        <v>-0.5</v>
      </c>
      <c r="H30" s="17">
        <v>2</v>
      </c>
      <c r="I30" s="17">
        <v>1.5</v>
      </c>
      <c r="J30" s="17">
        <v>-1</v>
      </c>
      <c r="K30" s="17">
        <v>1</v>
      </c>
      <c r="L30" s="17">
        <v>0.5</v>
      </c>
      <c r="M30" s="17">
        <v>2.5</v>
      </c>
      <c r="N30" s="17">
        <v>2</v>
      </c>
      <c r="O30" s="17">
        <v>-2</v>
      </c>
      <c r="P30" s="17">
        <v>1</v>
      </c>
      <c r="Q30" s="17">
        <v>-2</v>
      </c>
      <c r="R30" s="17">
        <v>2</v>
      </c>
      <c r="S30" s="17">
        <v>-2.5</v>
      </c>
      <c r="T30" s="17">
        <v>2</v>
      </c>
      <c r="U30" s="17">
        <v>2.5</v>
      </c>
      <c r="V30" s="17">
        <v>2</v>
      </c>
      <c r="W30" s="17">
        <v>2</v>
      </c>
      <c r="X30" s="17">
        <v>-0.5</v>
      </c>
      <c r="Y30" s="17">
        <v>2.5</v>
      </c>
      <c r="Z30" s="17">
        <v>0</v>
      </c>
      <c r="AA30" s="17">
        <v>1</v>
      </c>
      <c r="AB30" s="17">
        <v>1.5</v>
      </c>
    </row>
    <row r="31" spans="1:28" x14ac:dyDescent="0.2">
      <c r="A31" s="17">
        <v>27</v>
      </c>
      <c r="B31" s="17">
        <v>1</v>
      </c>
      <c r="C31" s="17">
        <v>0</v>
      </c>
      <c r="D31" s="17">
        <v>2</v>
      </c>
      <c r="E31" s="17">
        <v>0.5</v>
      </c>
      <c r="F31" s="17">
        <v>2.5</v>
      </c>
      <c r="G31" s="17">
        <v>1.5</v>
      </c>
      <c r="H31" s="17">
        <v>-0.5</v>
      </c>
      <c r="I31" s="17">
        <v>1.5</v>
      </c>
      <c r="J31" s="17">
        <v>0.5</v>
      </c>
      <c r="K31" s="17">
        <v>1</v>
      </c>
      <c r="L31" s="17">
        <v>1.5</v>
      </c>
      <c r="M31" s="17">
        <v>2</v>
      </c>
      <c r="N31" s="17">
        <v>2</v>
      </c>
      <c r="O31" s="17">
        <v>1.5</v>
      </c>
      <c r="P31" s="17">
        <v>2</v>
      </c>
      <c r="Q31" s="17">
        <v>2</v>
      </c>
      <c r="R31" s="17">
        <v>3</v>
      </c>
      <c r="S31" s="17">
        <v>2.5</v>
      </c>
      <c r="T31" s="17">
        <v>1.5</v>
      </c>
      <c r="U31" s="17">
        <v>2.5</v>
      </c>
      <c r="V31" s="17">
        <v>2</v>
      </c>
      <c r="W31" s="17">
        <v>0.5</v>
      </c>
      <c r="X31" s="17">
        <v>1.5</v>
      </c>
      <c r="Y31" s="17">
        <v>3</v>
      </c>
      <c r="Z31" s="17">
        <v>3</v>
      </c>
      <c r="AA31" s="17">
        <v>3</v>
      </c>
      <c r="AB31" s="17">
        <v>3</v>
      </c>
    </row>
    <row r="32" spans="1:28" x14ac:dyDescent="0.2">
      <c r="A32" s="17">
        <v>28</v>
      </c>
      <c r="B32" s="17">
        <v>1</v>
      </c>
      <c r="C32" s="17">
        <v>1.5</v>
      </c>
      <c r="D32" s="17">
        <v>1</v>
      </c>
      <c r="E32" s="17">
        <v>2.5</v>
      </c>
      <c r="F32" s="17">
        <v>2</v>
      </c>
      <c r="G32" s="17">
        <v>1</v>
      </c>
      <c r="H32" s="17">
        <v>2.5</v>
      </c>
      <c r="I32" s="17">
        <v>2</v>
      </c>
      <c r="J32" s="17">
        <v>-1</v>
      </c>
      <c r="K32" s="17">
        <v>2</v>
      </c>
      <c r="L32" s="17">
        <v>1.5</v>
      </c>
      <c r="M32" s="17">
        <v>1.5</v>
      </c>
      <c r="N32" s="17">
        <v>2</v>
      </c>
      <c r="O32" s="17">
        <v>2</v>
      </c>
      <c r="P32" s="17">
        <v>3</v>
      </c>
      <c r="Q32" s="17">
        <v>2.5</v>
      </c>
      <c r="R32" s="17">
        <v>3</v>
      </c>
      <c r="S32" s="17">
        <v>2.5</v>
      </c>
      <c r="T32" s="17">
        <v>2</v>
      </c>
      <c r="U32" s="17">
        <v>3</v>
      </c>
      <c r="V32" s="17">
        <v>2.5</v>
      </c>
      <c r="W32" s="17">
        <v>1.5</v>
      </c>
      <c r="X32" s="17">
        <v>2</v>
      </c>
      <c r="Y32" s="17">
        <v>2</v>
      </c>
      <c r="Z32" s="17">
        <v>2</v>
      </c>
      <c r="AA32" s="17">
        <v>2</v>
      </c>
      <c r="AB32" s="17">
        <v>2.5</v>
      </c>
    </row>
    <row r="33" spans="1:28" x14ac:dyDescent="0.2">
      <c r="A33" s="17">
        <v>29</v>
      </c>
      <c r="B33" s="17">
        <v>0.5</v>
      </c>
      <c r="C33" s="17">
        <v>2</v>
      </c>
      <c r="D33" s="17">
        <v>2.5</v>
      </c>
      <c r="E33" s="17">
        <v>3</v>
      </c>
      <c r="F33" s="17">
        <v>3</v>
      </c>
      <c r="G33" s="17">
        <v>1</v>
      </c>
      <c r="H33" s="17">
        <v>2.5</v>
      </c>
      <c r="I33" s="17">
        <v>3</v>
      </c>
      <c r="J33" s="17">
        <v>2.5</v>
      </c>
      <c r="K33" s="17">
        <v>2.5</v>
      </c>
      <c r="L33" s="17">
        <v>3</v>
      </c>
      <c r="M33" s="17">
        <v>3</v>
      </c>
      <c r="N33" s="17">
        <v>3</v>
      </c>
      <c r="O33" s="17">
        <v>1.5</v>
      </c>
      <c r="P33" s="17">
        <v>3</v>
      </c>
      <c r="Q33" s="17">
        <v>0</v>
      </c>
      <c r="R33" s="17">
        <v>3</v>
      </c>
      <c r="S33" s="17">
        <v>3</v>
      </c>
      <c r="T33" s="17">
        <v>3</v>
      </c>
      <c r="U33" s="17">
        <v>2.5</v>
      </c>
      <c r="V33" s="17">
        <v>3</v>
      </c>
      <c r="W33" s="17">
        <v>1</v>
      </c>
      <c r="X33" s="17">
        <v>1.5</v>
      </c>
      <c r="Y33" s="17">
        <v>3</v>
      </c>
      <c r="Z33" s="17">
        <v>2</v>
      </c>
      <c r="AA33" s="17">
        <v>2.5</v>
      </c>
      <c r="AB33" s="17">
        <v>2</v>
      </c>
    </row>
    <row r="34" spans="1:28" x14ac:dyDescent="0.2">
      <c r="A34" s="17">
        <v>30</v>
      </c>
      <c r="B34" s="17">
        <v>2</v>
      </c>
      <c r="C34" s="17">
        <v>2</v>
      </c>
      <c r="D34" s="17">
        <v>2</v>
      </c>
      <c r="E34" s="17">
        <v>2.5</v>
      </c>
      <c r="F34" s="17">
        <v>3</v>
      </c>
      <c r="G34" s="17">
        <v>2</v>
      </c>
      <c r="H34" s="17">
        <v>3</v>
      </c>
      <c r="I34" s="17">
        <v>2</v>
      </c>
      <c r="J34" s="17">
        <v>0.5</v>
      </c>
      <c r="K34" s="17">
        <v>2</v>
      </c>
      <c r="L34" s="17">
        <v>3</v>
      </c>
      <c r="M34" s="17">
        <v>2.5</v>
      </c>
      <c r="N34" s="17">
        <v>2.5</v>
      </c>
      <c r="O34" s="17">
        <v>2</v>
      </c>
      <c r="P34" s="17">
        <v>2</v>
      </c>
      <c r="Q34" s="17">
        <v>2</v>
      </c>
      <c r="R34" s="17">
        <v>2.5</v>
      </c>
      <c r="S34" s="17">
        <v>2</v>
      </c>
      <c r="T34" s="17">
        <v>2</v>
      </c>
      <c r="U34" s="17">
        <v>2</v>
      </c>
      <c r="V34" s="17">
        <v>2.5</v>
      </c>
      <c r="W34" s="17">
        <v>2</v>
      </c>
      <c r="X34" s="17">
        <v>2</v>
      </c>
      <c r="Y34" s="17">
        <v>3</v>
      </c>
      <c r="Z34" s="17">
        <v>2.5</v>
      </c>
      <c r="AA34" s="17">
        <v>2</v>
      </c>
      <c r="AB34" s="17">
        <v>2.5</v>
      </c>
    </row>
    <row r="35" spans="1:28" x14ac:dyDescent="0.2">
      <c r="A35" s="17">
        <v>31</v>
      </c>
      <c r="B35" s="17">
        <v>0.5</v>
      </c>
      <c r="C35" s="17">
        <v>1</v>
      </c>
      <c r="D35" s="17">
        <v>2.5</v>
      </c>
      <c r="E35" s="17">
        <v>2</v>
      </c>
      <c r="F35" s="17">
        <v>1.5</v>
      </c>
      <c r="G35" s="17">
        <v>-0.5</v>
      </c>
      <c r="H35" s="17">
        <v>1.5</v>
      </c>
      <c r="I35" s="17">
        <v>2.5</v>
      </c>
      <c r="J35" s="17">
        <v>2.5</v>
      </c>
      <c r="K35" s="17">
        <v>1.5</v>
      </c>
      <c r="L35" s="17">
        <v>2</v>
      </c>
      <c r="M35" s="17">
        <v>2</v>
      </c>
      <c r="N35" s="17">
        <v>2</v>
      </c>
      <c r="O35" s="17">
        <v>1</v>
      </c>
      <c r="P35" s="17">
        <v>2</v>
      </c>
      <c r="Q35" s="17">
        <v>2</v>
      </c>
      <c r="R35" s="17">
        <v>2</v>
      </c>
      <c r="S35" s="17">
        <v>2</v>
      </c>
      <c r="T35" s="17">
        <v>2.5</v>
      </c>
      <c r="U35" s="17">
        <v>2</v>
      </c>
      <c r="V35" s="17">
        <v>2</v>
      </c>
      <c r="W35" s="17">
        <v>2.5</v>
      </c>
      <c r="X35" s="17">
        <v>1.5</v>
      </c>
      <c r="Y35" s="17">
        <v>2</v>
      </c>
      <c r="Z35" s="17">
        <v>2</v>
      </c>
      <c r="AA35" s="17">
        <v>2</v>
      </c>
      <c r="AB35" s="17">
        <v>2</v>
      </c>
    </row>
    <row r="36" spans="1:28" x14ac:dyDescent="0.2">
      <c r="A36" s="17">
        <v>32</v>
      </c>
      <c r="B36" s="17">
        <v>0</v>
      </c>
      <c r="C36" s="17">
        <v>2.5</v>
      </c>
      <c r="D36" s="17">
        <v>2</v>
      </c>
      <c r="E36" s="17">
        <v>3</v>
      </c>
      <c r="F36" s="17">
        <v>2</v>
      </c>
      <c r="G36" s="17">
        <v>1</v>
      </c>
      <c r="H36" s="17">
        <v>1.5</v>
      </c>
      <c r="I36" s="17">
        <v>2</v>
      </c>
      <c r="J36" s="17">
        <v>2.5</v>
      </c>
      <c r="K36" s="17">
        <v>2</v>
      </c>
      <c r="L36" s="17">
        <v>0</v>
      </c>
      <c r="M36" s="17">
        <v>3</v>
      </c>
      <c r="N36" s="17">
        <v>3</v>
      </c>
      <c r="O36" s="17">
        <v>1.5</v>
      </c>
      <c r="P36" s="17">
        <v>2</v>
      </c>
      <c r="Q36" s="17">
        <v>2</v>
      </c>
      <c r="R36" s="17">
        <v>2</v>
      </c>
      <c r="S36" s="17">
        <v>1</v>
      </c>
      <c r="T36" s="17">
        <v>2</v>
      </c>
      <c r="U36" s="17">
        <v>2</v>
      </c>
      <c r="V36" s="17">
        <v>0.5</v>
      </c>
      <c r="W36" s="17">
        <v>1</v>
      </c>
      <c r="X36" s="17">
        <v>1</v>
      </c>
      <c r="Y36" s="17">
        <v>2.5</v>
      </c>
      <c r="Z36" s="17">
        <v>2.5</v>
      </c>
      <c r="AA36" s="17">
        <v>2</v>
      </c>
      <c r="AB36" s="17">
        <v>1.5</v>
      </c>
    </row>
    <row r="37" spans="1:28" x14ac:dyDescent="0.2">
      <c r="A37" s="17">
        <v>33</v>
      </c>
      <c r="B37" s="17">
        <v>3</v>
      </c>
      <c r="C37" s="17">
        <v>2</v>
      </c>
      <c r="D37" s="17">
        <v>2</v>
      </c>
      <c r="E37" s="17">
        <v>3</v>
      </c>
      <c r="F37" s="17">
        <v>3</v>
      </c>
      <c r="G37" s="17">
        <v>1</v>
      </c>
      <c r="H37" s="17">
        <v>3</v>
      </c>
      <c r="I37" s="17">
        <v>3</v>
      </c>
      <c r="J37" s="17">
        <v>-1</v>
      </c>
      <c r="K37" s="17">
        <v>2</v>
      </c>
      <c r="L37" s="17">
        <v>3</v>
      </c>
      <c r="M37" s="17">
        <v>3</v>
      </c>
      <c r="N37" s="17">
        <v>3</v>
      </c>
      <c r="O37" s="17">
        <v>3</v>
      </c>
      <c r="P37" s="17">
        <v>3</v>
      </c>
      <c r="Q37" s="17">
        <v>3</v>
      </c>
      <c r="R37" s="17">
        <v>3</v>
      </c>
      <c r="S37" s="17">
        <v>3</v>
      </c>
      <c r="T37" s="17">
        <v>3</v>
      </c>
      <c r="U37" s="17">
        <v>3</v>
      </c>
      <c r="V37" s="17">
        <v>3</v>
      </c>
      <c r="W37" s="17">
        <v>3</v>
      </c>
      <c r="X37" s="17">
        <v>1</v>
      </c>
      <c r="Y37" s="17">
        <v>3</v>
      </c>
      <c r="Z37" s="17">
        <v>3</v>
      </c>
      <c r="AA37" s="17">
        <v>3</v>
      </c>
      <c r="AB37" s="17">
        <v>3</v>
      </c>
    </row>
    <row r="38" spans="1:28" x14ac:dyDescent="0.2">
      <c r="A38" s="17">
        <v>34</v>
      </c>
      <c r="B38" s="17">
        <v>0</v>
      </c>
      <c r="C38" s="17">
        <v>1.5</v>
      </c>
      <c r="D38" s="17">
        <v>1.5</v>
      </c>
      <c r="E38" s="17">
        <v>2.5</v>
      </c>
      <c r="F38" s="17">
        <v>2.5</v>
      </c>
      <c r="G38" s="17">
        <v>1.5</v>
      </c>
      <c r="H38" s="17">
        <v>3</v>
      </c>
      <c r="I38" s="17">
        <v>2.5</v>
      </c>
      <c r="J38" s="17">
        <v>1.5</v>
      </c>
      <c r="K38" s="17">
        <v>1</v>
      </c>
      <c r="L38" s="17">
        <v>1</v>
      </c>
      <c r="M38" s="17">
        <v>2.5</v>
      </c>
      <c r="N38" s="17">
        <v>2</v>
      </c>
      <c r="O38" s="17">
        <v>0</v>
      </c>
      <c r="P38" s="17">
        <v>3</v>
      </c>
      <c r="Q38" s="17">
        <v>2</v>
      </c>
      <c r="R38" s="17">
        <v>2.5</v>
      </c>
      <c r="S38" s="17">
        <v>3</v>
      </c>
      <c r="T38" s="17">
        <v>2</v>
      </c>
      <c r="U38" s="17">
        <v>3</v>
      </c>
      <c r="V38" s="17">
        <v>2</v>
      </c>
      <c r="W38" s="17">
        <v>2</v>
      </c>
      <c r="X38" s="17">
        <v>0.5</v>
      </c>
      <c r="Y38" s="17">
        <v>2.5</v>
      </c>
      <c r="Z38" s="17">
        <v>2</v>
      </c>
      <c r="AA38" s="17">
        <v>2.5</v>
      </c>
      <c r="AB38" s="17">
        <v>2.5</v>
      </c>
    </row>
    <row r="39" spans="1:28" x14ac:dyDescent="0.2">
      <c r="A39" s="17">
        <v>35</v>
      </c>
      <c r="B39" s="17">
        <v>-0.5</v>
      </c>
      <c r="C39" s="17">
        <v>-1</v>
      </c>
      <c r="D39" s="17">
        <v>-0.5</v>
      </c>
      <c r="E39" s="17">
        <v>1</v>
      </c>
      <c r="F39" s="17">
        <v>3</v>
      </c>
      <c r="G39" s="17">
        <v>1</v>
      </c>
      <c r="H39" s="17">
        <v>2</v>
      </c>
      <c r="I39" s="17">
        <v>2</v>
      </c>
      <c r="J39" s="17">
        <v>2</v>
      </c>
      <c r="K39" s="17">
        <v>1.5</v>
      </c>
      <c r="L39" s="17">
        <v>2</v>
      </c>
      <c r="M39" s="17">
        <v>1</v>
      </c>
      <c r="N39" s="17">
        <v>1.5</v>
      </c>
      <c r="O39" s="17">
        <v>1.5</v>
      </c>
      <c r="P39" s="17">
        <v>2</v>
      </c>
      <c r="Q39" s="17">
        <v>0</v>
      </c>
      <c r="R39" s="17">
        <v>2</v>
      </c>
      <c r="S39" s="17">
        <v>2.5</v>
      </c>
      <c r="T39" s="17">
        <v>2</v>
      </c>
      <c r="U39" s="17">
        <v>1</v>
      </c>
      <c r="V39" s="17">
        <v>2</v>
      </c>
      <c r="W39" s="17">
        <v>1</v>
      </c>
      <c r="X39" s="17">
        <v>-1</v>
      </c>
      <c r="Y39" s="17">
        <v>2</v>
      </c>
      <c r="Z39" s="17">
        <v>2</v>
      </c>
      <c r="AA39" s="17">
        <v>1</v>
      </c>
      <c r="AB39" s="17">
        <v>2</v>
      </c>
    </row>
    <row r="40" spans="1:28" x14ac:dyDescent="0.2">
      <c r="A40" s="17">
        <v>36</v>
      </c>
      <c r="B40" s="17">
        <v>1.5</v>
      </c>
      <c r="C40" s="17">
        <v>1.5</v>
      </c>
      <c r="D40" s="17">
        <v>1.5</v>
      </c>
      <c r="E40" s="17">
        <v>2.5</v>
      </c>
      <c r="F40" s="17">
        <v>1.5</v>
      </c>
      <c r="G40" s="17">
        <v>0</v>
      </c>
      <c r="H40" s="17">
        <v>1.5</v>
      </c>
      <c r="I40" s="17">
        <v>1.5</v>
      </c>
      <c r="J40" s="17">
        <v>1</v>
      </c>
      <c r="K40" s="17">
        <v>2</v>
      </c>
      <c r="L40" s="17">
        <v>2</v>
      </c>
      <c r="M40" s="17">
        <v>1</v>
      </c>
      <c r="N40" s="17">
        <v>1.5</v>
      </c>
      <c r="O40" s="17">
        <v>1.5</v>
      </c>
      <c r="P40" s="17">
        <v>1.5</v>
      </c>
      <c r="Q40" s="17">
        <v>2</v>
      </c>
      <c r="R40" s="17">
        <v>2</v>
      </c>
      <c r="S40" s="17">
        <v>0</v>
      </c>
      <c r="T40" s="17">
        <v>1</v>
      </c>
      <c r="U40" s="17">
        <v>2</v>
      </c>
      <c r="V40" s="17">
        <v>1.5</v>
      </c>
      <c r="W40" s="17">
        <v>2</v>
      </c>
      <c r="X40" s="17">
        <v>2</v>
      </c>
      <c r="Y40" s="17">
        <v>2</v>
      </c>
      <c r="Z40" s="17">
        <v>2</v>
      </c>
      <c r="AA40" s="17">
        <v>2</v>
      </c>
      <c r="AB40" s="17">
        <v>2</v>
      </c>
    </row>
    <row r="41" spans="1:28" x14ac:dyDescent="0.2">
      <c r="A41" s="17">
        <v>37</v>
      </c>
      <c r="B41" s="17">
        <v>1</v>
      </c>
      <c r="C41" s="17">
        <v>2.5</v>
      </c>
      <c r="D41" s="17">
        <v>2</v>
      </c>
      <c r="E41" s="17">
        <v>3</v>
      </c>
      <c r="F41" s="17">
        <v>2.5</v>
      </c>
      <c r="G41" s="17">
        <v>1.5</v>
      </c>
      <c r="H41" s="17">
        <v>1.5</v>
      </c>
      <c r="I41" s="17">
        <v>1.5</v>
      </c>
      <c r="J41" s="17">
        <v>3</v>
      </c>
      <c r="K41" s="17">
        <v>3</v>
      </c>
      <c r="L41" s="17">
        <v>2.5</v>
      </c>
      <c r="M41" s="17">
        <v>3</v>
      </c>
      <c r="N41" s="17">
        <v>3</v>
      </c>
      <c r="O41" s="17">
        <v>3</v>
      </c>
      <c r="P41" s="17">
        <v>2</v>
      </c>
      <c r="Q41" s="17">
        <v>2.5</v>
      </c>
      <c r="R41" s="17">
        <v>2</v>
      </c>
      <c r="S41" s="17">
        <v>2</v>
      </c>
      <c r="T41" s="17">
        <v>3</v>
      </c>
      <c r="U41" s="17">
        <v>2.5</v>
      </c>
      <c r="V41" s="17">
        <v>1.5</v>
      </c>
      <c r="W41" s="17">
        <v>1</v>
      </c>
      <c r="X41" s="17">
        <v>-1</v>
      </c>
      <c r="Y41" s="17">
        <v>2</v>
      </c>
      <c r="Z41" s="17">
        <v>2</v>
      </c>
      <c r="AA41" s="17">
        <v>3</v>
      </c>
      <c r="AB41" s="17">
        <v>3</v>
      </c>
    </row>
    <row r="42" spans="1:28" x14ac:dyDescent="0.2">
      <c r="A42" s="17">
        <v>38</v>
      </c>
      <c r="B42" s="17">
        <v>1</v>
      </c>
      <c r="C42" s="17">
        <v>3</v>
      </c>
      <c r="D42" s="17">
        <v>2</v>
      </c>
      <c r="E42" s="17">
        <v>2.5</v>
      </c>
      <c r="F42" s="17">
        <v>3</v>
      </c>
      <c r="G42" s="17">
        <v>1</v>
      </c>
      <c r="H42" s="17">
        <v>2.5</v>
      </c>
      <c r="I42" s="17">
        <v>2</v>
      </c>
      <c r="J42" s="17">
        <v>1.5</v>
      </c>
      <c r="K42" s="17">
        <v>3</v>
      </c>
      <c r="L42" s="17">
        <v>1.5</v>
      </c>
      <c r="M42" s="17">
        <v>3</v>
      </c>
      <c r="N42" s="17">
        <v>3</v>
      </c>
      <c r="O42" s="17">
        <v>3</v>
      </c>
      <c r="P42" s="17">
        <v>2.5</v>
      </c>
      <c r="Q42" s="17">
        <v>1.5</v>
      </c>
      <c r="R42" s="17">
        <v>3</v>
      </c>
      <c r="S42" s="17">
        <v>2</v>
      </c>
      <c r="T42" s="17">
        <v>2.5</v>
      </c>
      <c r="U42" s="17">
        <v>1.5</v>
      </c>
      <c r="V42" s="17">
        <v>2.5</v>
      </c>
      <c r="W42" s="17">
        <v>2.5</v>
      </c>
      <c r="X42" s="17">
        <v>3</v>
      </c>
      <c r="Y42" s="17">
        <v>3</v>
      </c>
      <c r="Z42" s="17">
        <v>3</v>
      </c>
      <c r="AA42" s="17">
        <v>3</v>
      </c>
      <c r="AB42" s="17">
        <v>3</v>
      </c>
    </row>
    <row r="43" spans="1:28" x14ac:dyDescent="0.2">
      <c r="A43" s="17">
        <v>39</v>
      </c>
      <c r="B43" s="17">
        <v>1.5</v>
      </c>
      <c r="C43" s="17">
        <v>3</v>
      </c>
      <c r="D43" s="17">
        <v>3</v>
      </c>
      <c r="E43" s="17">
        <v>3</v>
      </c>
      <c r="F43" s="17">
        <v>3</v>
      </c>
      <c r="G43" s="17">
        <v>3</v>
      </c>
      <c r="H43" s="17">
        <v>3</v>
      </c>
      <c r="I43" s="17">
        <v>3</v>
      </c>
      <c r="J43" s="17">
        <v>2.5</v>
      </c>
      <c r="K43" s="17">
        <v>2</v>
      </c>
      <c r="L43" s="17">
        <v>3</v>
      </c>
      <c r="M43" s="17">
        <v>3</v>
      </c>
      <c r="N43" s="17">
        <v>2.5</v>
      </c>
      <c r="O43" s="17">
        <v>2</v>
      </c>
      <c r="P43" s="17">
        <v>2.5</v>
      </c>
      <c r="Q43" s="17">
        <v>2.5</v>
      </c>
      <c r="R43" s="17">
        <v>3</v>
      </c>
      <c r="S43" s="17">
        <v>3</v>
      </c>
      <c r="T43" s="17">
        <v>3</v>
      </c>
      <c r="U43" s="17">
        <v>2.5</v>
      </c>
      <c r="V43" s="17">
        <v>3</v>
      </c>
      <c r="W43" s="17">
        <v>2.5</v>
      </c>
      <c r="X43" s="17">
        <v>2.5</v>
      </c>
      <c r="Y43" s="17">
        <v>3</v>
      </c>
      <c r="Z43" s="17">
        <v>3</v>
      </c>
      <c r="AA43" s="17">
        <v>3</v>
      </c>
      <c r="AB43" s="17">
        <v>3</v>
      </c>
    </row>
    <row r="44" spans="1:28" x14ac:dyDescent="0.2">
      <c r="A44" s="17">
        <v>40</v>
      </c>
      <c r="B44" s="17">
        <v>1.5</v>
      </c>
      <c r="C44" s="17">
        <v>1</v>
      </c>
      <c r="D44" s="17">
        <v>1</v>
      </c>
      <c r="E44" s="17">
        <v>1.5</v>
      </c>
      <c r="F44" s="17">
        <v>1.5</v>
      </c>
      <c r="G44" s="17">
        <v>1</v>
      </c>
      <c r="H44" s="17">
        <v>2</v>
      </c>
      <c r="I44" s="17">
        <v>2</v>
      </c>
      <c r="J44" s="17">
        <v>0.5</v>
      </c>
      <c r="K44" s="17">
        <v>1</v>
      </c>
      <c r="L44" s="17">
        <v>1</v>
      </c>
      <c r="M44" s="17">
        <v>1.5</v>
      </c>
      <c r="N44" s="17">
        <v>2</v>
      </c>
      <c r="O44" s="17">
        <v>2.5</v>
      </c>
      <c r="P44" s="17">
        <v>2.5</v>
      </c>
      <c r="Q44" s="17">
        <v>1</v>
      </c>
      <c r="R44" s="17">
        <v>2.5</v>
      </c>
      <c r="S44" s="17">
        <v>2</v>
      </c>
      <c r="T44" s="17">
        <v>0.5</v>
      </c>
      <c r="U44" s="17">
        <v>2</v>
      </c>
      <c r="V44" s="17">
        <v>2</v>
      </c>
      <c r="W44" s="17">
        <v>1.5</v>
      </c>
      <c r="X44" s="17">
        <v>1.5</v>
      </c>
      <c r="Y44" s="17">
        <v>2</v>
      </c>
      <c r="Z44" s="17">
        <v>2</v>
      </c>
      <c r="AA44" s="17">
        <v>2.5</v>
      </c>
      <c r="AB44" s="17">
        <v>2</v>
      </c>
    </row>
    <row r="45" spans="1:28" x14ac:dyDescent="0.2">
      <c r="A45" s="17">
        <v>41</v>
      </c>
      <c r="B45" s="17">
        <v>1</v>
      </c>
      <c r="C45" s="17">
        <v>1.5</v>
      </c>
      <c r="D45" s="17">
        <v>1.5</v>
      </c>
      <c r="E45" s="17">
        <v>2</v>
      </c>
      <c r="F45" s="17">
        <v>3</v>
      </c>
      <c r="G45" s="17">
        <v>0</v>
      </c>
      <c r="H45" s="17">
        <v>3</v>
      </c>
      <c r="I45" s="17">
        <v>1.5</v>
      </c>
      <c r="J45" s="17">
        <v>3</v>
      </c>
      <c r="K45" s="17">
        <v>3</v>
      </c>
      <c r="L45" s="17">
        <v>2.5</v>
      </c>
      <c r="M45" s="17">
        <v>2.5</v>
      </c>
      <c r="N45" s="17">
        <v>2.5</v>
      </c>
      <c r="O45" s="17">
        <v>2</v>
      </c>
      <c r="P45" s="17">
        <v>1.5</v>
      </c>
      <c r="Q45" s="17">
        <v>1</v>
      </c>
      <c r="R45" s="17">
        <v>3</v>
      </c>
      <c r="S45" s="17">
        <v>3</v>
      </c>
      <c r="T45" s="17">
        <v>3</v>
      </c>
      <c r="U45" s="17">
        <v>3</v>
      </c>
      <c r="V45" s="17">
        <v>3</v>
      </c>
      <c r="W45" s="17">
        <v>2</v>
      </c>
      <c r="X45" s="17">
        <v>1.5</v>
      </c>
      <c r="Y45" s="17">
        <v>2.5</v>
      </c>
      <c r="Z45" s="17">
        <v>0.5</v>
      </c>
      <c r="AA45" s="17">
        <v>2.5</v>
      </c>
      <c r="AB45" s="17">
        <v>3</v>
      </c>
    </row>
    <row r="46" spans="1:28" x14ac:dyDescent="0.2">
      <c r="A46" s="17">
        <v>42</v>
      </c>
      <c r="B46" s="17">
        <v>0</v>
      </c>
      <c r="C46" s="17">
        <v>3</v>
      </c>
      <c r="D46" s="17">
        <v>2</v>
      </c>
      <c r="E46" s="17">
        <v>1.5</v>
      </c>
      <c r="F46" s="17">
        <v>2.5</v>
      </c>
      <c r="G46" s="17">
        <v>0</v>
      </c>
      <c r="H46" s="17">
        <v>2.5</v>
      </c>
      <c r="I46" s="17">
        <v>-1</v>
      </c>
      <c r="J46" s="17">
        <v>0</v>
      </c>
      <c r="K46" s="17">
        <v>1.5</v>
      </c>
      <c r="L46" s="17">
        <v>3</v>
      </c>
      <c r="M46" s="17">
        <v>2.5</v>
      </c>
      <c r="N46" s="17">
        <v>3</v>
      </c>
      <c r="O46" s="17">
        <v>1</v>
      </c>
      <c r="P46" s="17">
        <v>2</v>
      </c>
      <c r="Q46" s="17">
        <v>2</v>
      </c>
      <c r="R46" s="17">
        <v>2.5</v>
      </c>
      <c r="S46" s="17">
        <v>1.5</v>
      </c>
      <c r="T46" s="17">
        <v>2</v>
      </c>
      <c r="U46" s="17">
        <v>3</v>
      </c>
      <c r="V46" s="17">
        <v>1.5</v>
      </c>
      <c r="W46" s="17">
        <v>2</v>
      </c>
      <c r="X46" s="17">
        <v>2</v>
      </c>
      <c r="Y46" s="17">
        <v>3</v>
      </c>
      <c r="Z46" s="17">
        <v>3</v>
      </c>
      <c r="AA46" s="17">
        <v>3</v>
      </c>
      <c r="AB46" s="17">
        <v>3</v>
      </c>
    </row>
    <row r="47" spans="1:28" x14ac:dyDescent="0.2">
      <c r="A47" s="17">
        <v>43</v>
      </c>
      <c r="B47" s="17">
        <v>-1</v>
      </c>
      <c r="C47" s="17">
        <v>1</v>
      </c>
      <c r="D47" s="17">
        <v>-1</v>
      </c>
      <c r="E47" s="17">
        <v>2</v>
      </c>
      <c r="F47" s="17">
        <v>1.5</v>
      </c>
      <c r="G47" s="17">
        <v>1</v>
      </c>
      <c r="H47" s="17">
        <v>1</v>
      </c>
      <c r="I47" s="17">
        <v>1.5</v>
      </c>
      <c r="J47" s="17">
        <v>0</v>
      </c>
      <c r="K47" s="17">
        <v>1.5</v>
      </c>
      <c r="L47" s="17">
        <v>-0.5</v>
      </c>
      <c r="M47" s="17">
        <v>2</v>
      </c>
      <c r="N47" s="17">
        <v>2</v>
      </c>
      <c r="O47" s="17">
        <v>1</v>
      </c>
      <c r="P47" s="17">
        <v>1.5</v>
      </c>
      <c r="Q47" s="17">
        <v>1.5</v>
      </c>
      <c r="R47" s="17">
        <v>2</v>
      </c>
      <c r="S47" s="17">
        <v>0.5</v>
      </c>
      <c r="T47" s="17">
        <v>2</v>
      </c>
      <c r="U47" s="17">
        <v>2</v>
      </c>
      <c r="V47" s="17">
        <v>1</v>
      </c>
      <c r="W47" s="17">
        <v>1</v>
      </c>
      <c r="X47" s="17">
        <v>1</v>
      </c>
      <c r="Y47" s="17">
        <v>2</v>
      </c>
      <c r="Z47" s="17">
        <v>1</v>
      </c>
      <c r="AA47" s="17">
        <v>2</v>
      </c>
      <c r="AB47" s="17">
        <v>2</v>
      </c>
    </row>
    <row r="48" spans="1:28" x14ac:dyDescent="0.2">
      <c r="A48" s="17">
        <v>44</v>
      </c>
      <c r="B48" s="17">
        <v>-3</v>
      </c>
      <c r="C48" s="17">
        <v>0</v>
      </c>
      <c r="D48" s="17">
        <v>0</v>
      </c>
      <c r="E48" s="17">
        <v>3</v>
      </c>
      <c r="F48" s="17">
        <v>3</v>
      </c>
      <c r="G48" s="17">
        <v>-2</v>
      </c>
      <c r="H48" s="17">
        <v>-1</v>
      </c>
      <c r="I48" s="17">
        <v>2.5</v>
      </c>
      <c r="J48" s="17">
        <v>0</v>
      </c>
      <c r="K48" s="17">
        <v>2.5</v>
      </c>
      <c r="L48" s="17">
        <v>3</v>
      </c>
      <c r="M48" s="17">
        <v>3</v>
      </c>
      <c r="N48" s="17">
        <v>-1.5</v>
      </c>
      <c r="O48" s="17">
        <v>2</v>
      </c>
      <c r="P48" s="17">
        <v>2.5</v>
      </c>
      <c r="Q48" s="17">
        <v>3</v>
      </c>
      <c r="R48" s="17">
        <v>2</v>
      </c>
      <c r="S48" s="17">
        <v>2</v>
      </c>
      <c r="T48" s="17">
        <v>-0.5</v>
      </c>
      <c r="U48" s="17">
        <v>-1</v>
      </c>
      <c r="V48" s="17">
        <v>-1</v>
      </c>
      <c r="W48" s="17">
        <v>-1</v>
      </c>
      <c r="X48" s="17">
        <v>-2.5</v>
      </c>
      <c r="Y48" s="17">
        <v>3</v>
      </c>
      <c r="Z48" s="17">
        <v>3</v>
      </c>
      <c r="AA48" s="17">
        <v>3</v>
      </c>
      <c r="AB48" s="17">
        <v>3</v>
      </c>
    </row>
    <row r="49" spans="1:28" x14ac:dyDescent="0.2">
      <c r="A49" s="17">
        <v>45</v>
      </c>
      <c r="B49" s="17">
        <v>-0.5</v>
      </c>
      <c r="C49" s="17">
        <v>1.5</v>
      </c>
      <c r="D49" s="17">
        <v>1</v>
      </c>
      <c r="E49" s="17">
        <v>1</v>
      </c>
      <c r="F49" s="17">
        <v>1</v>
      </c>
      <c r="G49" s="17">
        <v>0</v>
      </c>
      <c r="H49" s="17">
        <v>1.5</v>
      </c>
      <c r="I49" s="17">
        <v>1</v>
      </c>
      <c r="J49" s="17">
        <v>1.5</v>
      </c>
      <c r="K49" s="17">
        <v>1</v>
      </c>
      <c r="L49" s="17">
        <v>2.5</v>
      </c>
      <c r="M49" s="17">
        <v>2</v>
      </c>
      <c r="N49" s="17">
        <v>1.5</v>
      </c>
      <c r="O49" s="17">
        <v>1.5</v>
      </c>
      <c r="P49" s="17">
        <v>2</v>
      </c>
      <c r="Q49" s="17">
        <v>1.5</v>
      </c>
      <c r="R49" s="17">
        <v>1</v>
      </c>
      <c r="S49" s="17">
        <v>2</v>
      </c>
      <c r="T49" s="17">
        <v>2.5</v>
      </c>
      <c r="U49" s="17">
        <v>1.5</v>
      </c>
      <c r="V49" s="17">
        <v>1.5</v>
      </c>
      <c r="W49" s="17">
        <v>1</v>
      </c>
      <c r="X49" s="17">
        <v>2</v>
      </c>
      <c r="Y49" s="17">
        <v>2</v>
      </c>
      <c r="Z49" s="17">
        <v>2</v>
      </c>
      <c r="AA49" s="17">
        <v>2.5</v>
      </c>
      <c r="AB49" s="17">
        <v>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FD1C-E3D5-4F79-A97A-E32C5C7F1998}">
  <dimension ref="A1:AA49"/>
  <sheetViews>
    <sheetView topLeftCell="A2" workbookViewId="0">
      <selection activeCell="B5" sqref="B5:U49"/>
    </sheetView>
  </sheetViews>
  <sheetFormatPr defaultColWidth="8.625" defaultRowHeight="11.25" x14ac:dyDescent="0.2"/>
  <cols>
    <col min="1" max="1" width="8.625" style="17"/>
    <col min="2" max="2" width="8.625" style="17" customWidth="1"/>
    <col min="3" max="16384" width="8.625" style="17"/>
  </cols>
  <sheetData>
    <row r="1" spans="1:27" s="9" customFormat="1" x14ac:dyDescent="0.2">
      <c r="A1" s="9" t="s">
        <v>46</v>
      </c>
      <c r="B1" s="10">
        <v>2</v>
      </c>
      <c r="C1" s="10">
        <v>11</v>
      </c>
      <c r="D1" s="10">
        <v>12</v>
      </c>
      <c r="E1" s="10">
        <v>18</v>
      </c>
      <c r="F1" s="10">
        <v>15</v>
      </c>
      <c r="G1" s="10">
        <v>3</v>
      </c>
      <c r="H1" s="10">
        <v>20</v>
      </c>
      <c r="I1" s="10">
        <v>19</v>
      </c>
      <c r="J1" s="10">
        <v>7</v>
      </c>
      <c r="K1" s="10">
        <v>8</v>
      </c>
      <c r="L1" s="10">
        <v>1</v>
      </c>
      <c r="M1" s="10">
        <v>16</v>
      </c>
      <c r="N1" s="10">
        <v>9</v>
      </c>
      <c r="O1" s="10">
        <v>4</v>
      </c>
      <c r="P1" s="10">
        <v>5</v>
      </c>
      <c r="Q1" s="10">
        <v>13</v>
      </c>
      <c r="R1" s="10">
        <v>17</v>
      </c>
      <c r="S1" s="10">
        <v>14</v>
      </c>
      <c r="T1" s="10">
        <v>10</v>
      </c>
      <c r="U1" s="10">
        <v>6</v>
      </c>
    </row>
    <row r="2" spans="1:27" s="9" customFormat="1" x14ac:dyDescent="0.2">
      <c r="A2" s="9" t="s">
        <v>47</v>
      </c>
      <c r="B2" s="10">
        <v>1</v>
      </c>
      <c r="C2" s="11">
        <v>2</v>
      </c>
      <c r="D2" s="11">
        <v>3</v>
      </c>
      <c r="E2" s="12">
        <v>4</v>
      </c>
      <c r="F2" s="13">
        <v>5</v>
      </c>
      <c r="G2" s="14">
        <v>6</v>
      </c>
      <c r="H2" s="10">
        <v>7</v>
      </c>
      <c r="I2" s="12">
        <v>8</v>
      </c>
      <c r="J2" s="15">
        <v>9</v>
      </c>
      <c r="K2" s="15">
        <v>10</v>
      </c>
      <c r="L2" s="16">
        <v>11</v>
      </c>
      <c r="M2" s="13">
        <v>12</v>
      </c>
      <c r="N2" s="15">
        <v>13</v>
      </c>
      <c r="O2" s="14">
        <v>14</v>
      </c>
      <c r="P2" s="14">
        <v>15</v>
      </c>
      <c r="Q2" s="11">
        <v>16</v>
      </c>
      <c r="R2" s="13">
        <v>17</v>
      </c>
      <c r="S2" s="11">
        <v>18</v>
      </c>
      <c r="T2" s="15">
        <v>19</v>
      </c>
      <c r="U2" s="14">
        <v>20</v>
      </c>
      <c r="V2" s="9">
        <v>21</v>
      </c>
      <c r="W2" s="9">
        <v>22</v>
      </c>
      <c r="X2" s="9">
        <v>23</v>
      </c>
      <c r="Y2" s="9">
        <v>24</v>
      </c>
      <c r="Z2" s="9">
        <v>25</v>
      </c>
      <c r="AA2" s="9">
        <v>26</v>
      </c>
    </row>
    <row r="3" spans="1:27" s="9" customFormat="1" x14ac:dyDescent="0.2">
      <c r="B3" s="10" t="s">
        <v>0</v>
      </c>
      <c r="C3" s="11" t="s">
        <v>2</v>
      </c>
      <c r="D3" s="11" t="s">
        <v>4</v>
      </c>
      <c r="E3" s="12" t="s">
        <v>6</v>
      </c>
      <c r="F3" s="13" t="s">
        <v>8</v>
      </c>
      <c r="G3" s="14" t="s">
        <v>10</v>
      </c>
      <c r="H3" s="10" t="s">
        <v>12</v>
      </c>
      <c r="I3" s="12" t="s">
        <v>14</v>
      </c>
      <c r="J3" s="15" t="s">
        <v>16</v>
      </c>
      <c r="K3" s="15" t="s">
        <v>18</v>
      </c>
      <c r="L3" s="16" t="s">
        <v>20</v>
      </c>
      <c r="M3" s="13" t="s">
        <v>22</v>
      </c>
      <c r="N3" s="15" t="s">
        <v>24</v>
      </c>
      <c r="O3" s="14" t="s">
        <v>26</v>
      </c>
      <c r="P3" s="14" t="s">
        <v>28</v>
      </c>
      <c r="Q3" s="11" t="s">
        <v>30</v>
      </c>
      <c r="R3" s="13" t="s">
        <v>32</v>
      </c>
      <c r="S3" s="11" t="s">
        <v>34</v>
      </c>
      <c r="T3" s="15" t="s">
        <v>36</v>
      </c>
      <c r="U3" s="14" t="s">
        <v>38</v>
      </c>
    </row>
    <row r="4" spans="1:27" s="9" customFormat="1" ht="22.5" x14ac:dyDescent="0.2">
      <c r="A4" s="17" t="s">
        <v>45</v>
      </c>
      <c r="B4" s="10" t="s">
        <v>1</v>
      </c>
      <c r="C4" s="11" t="s">
        <v>3</v>
      </c>
      <c r="D4" s="11" t="s">
        <v>5</v>
      </c>
      <c r="E4" s="12" t="s">
        <v>7</v>
      </c>
      <c r="F4" s="13" t="s">
        <v>9</v>
      </c>
      <c r="G4" s="14" t="s">
        <v>11</v>
      </c>
      <c r="H4" s="10" t="s">
        <v>13</v>
      </c>
      <c r="I4" s="12" t="s">
        <v>15</v>
      </c>
      <c r="J4" s="15" t="s">
        <v>17</v>
      </c>
      <c r="K4" s="15" t="s">
        <v>19</v>
      </c>
      <c r="L4" s="16" t="s">
        <v>21</v>
      </c>
      <c r="M4" s="13" t="s">
        <v>23</v>
      </c>
      <c r="N4" s="15" t="s">
        <v>25</v>
      </c>
      <c r="O4" s="14" t="s">
        <v>27</v>
      </c>
      <c r="P4" s="14" t="s">
        <v>29</v>
      </c>
      <c r="Q4" s="11" t="s">
        <v>31</v>
      </c>
      <c r="R4" s="13" t="s">
        <v>33</v>
      </c>
      <c r="S4" s="11" t="s">
        <v>35</v>
      </c>
      <c r="T4" s="15" t="s">
        <v>37</v>
      </c>
      <c r="U4" s="14" t="s">
        <v>39</v>
      </c>
      <c r="V4" s="9" t="s">
        <v>42</v>
      </c>
      <c r="W4" s="9" t="s">
        <v>42</v>
      </c>
      <c r="X4" s="9" t="s">
        <v>42</v>
      </c>
      <c r="Y4" s="9" t="s">
        <v>42</v>
      </c>
      <c r="Z4" s="9" t="s">
        <v>42</v>
      </c>
      <c r="AA4" s="9" t="s">
        <v>42</v>
      </c>
    </row>
    <row r="5" spans="1:27" x14ac:dyDescent="0.2">
      <c r="A5" s="17">
        <v>1</v>
      </c>
      <c r="B5" s="17" t="s">
        <v>44</v>
      </c>
      <c r="C5" s="17">
        <v>42.183162400000001</v>
      </c>
      <c r="D5" s="17">
        <v>20.693215599999998</v>
      </c>
      <c r="E5" s="17">
        <v>17.938250350000001</v>
      </c>
      <c r="F5" s="17">
        <v>22.9116593</v>
      </c>
      <c r="G5" s="17">
        <v>26.207678250000001</v>
      </c>
      <c r="H5" s="17">
        <v>15.8871248</v>
      </c>
      <c r="I5" s="17">
        <v>18.197675149999998</v>
      </c>
      <c r="J5" s="17" t="s">
        <v>44</v>
      </c>
      <c r="K5" s="17">
        <v>36.065557499999997</v>
      </c>
      <c r="L5" s="17">
        <v>30.170391800000001</v>
      </c>
      <c r="M5" s="17">
        <v>27.782619499999999</v>
      </c>
      <c r="N5" s="17">
        <v>28.436394</v>
      </c>
      <c r="O5" s="17">
        <v>19.336857899999998</v>
      </c>
      <c r="P5" s="17">
        <v>24.3415289</v>
      </c>
      <c r="Q5" s="17">
        <v>31.489329949999998</v>
      </c>
      <c r="R5" s="17">
        <v>13.5023777</v>
      </c>
      <c r="S5" s="17">
        <v>22.80609115</v>
      </c>
      <c r="T5" s="17">
        <v>14.90749675</v>
      </c>
      <c r="U5" s="17">
        <v>18.785673599999999</v>
      </c>
      <c r="V5" s="17">
        <v>46.931821650000003</v>
      </c>
      <c r="W5" s="17">
        <v>24.508817400000002</v>
      </c>
      <c r="X5" s="17">
        <v>21.8031674</v>
      </c>
      <c r="Y5" s="17">
        <v>32.163284500000003</v>
      </c>
      <c r="Z5" s="17">
        <v>21.75927965</v>
      </c>
      <c r="AA5" s="17">
        <v>27.476546150000001</v>
      </c>
    </row>
    <row r="6" spans="1:27" x14ac:dyDescent="0.2">
      <c r="A6" s="17">
        <v>2</v>
      </c>
      <c r="B6" s="17" t="s">
        <v>44</v>
      </c>
      <c r="C6" s="17" t="s">
        <v>44</v>
      </c>
      <c r="D6" s="17">
        <v>13.4261</v>
      </c>
      <c r="E6" s="17">
        <v>19.245348750000002</v>
      </c>
      <c r="F6" s="17">
        <v>16.987190399999999</v>
      </c>
      <c r="G6" s="17">
        <v>12.910414250000001</v>
      </c>
      <c r="H6" s="17">
        <v>15.316622199999999</v>
      </c>
      <c r="I6" s="17">
        <v>18.374987699999998</v>
      </c>
      <c r="J6" s="17">
        <v>28.373960050000001</v>
      </c>
      <c r="K6" s="17">
        <v>14.104974</v>
      </c>
      <c r="L6" s="17">
        <v>13.8772716</v>
      </c>
      <c r="M6" s="17">
        <v>32.181239550000001</v>
      </c>
      <c r="N6" s="17">
        <v>14.2110114</v>
      </c>
      <c r="O6" s="17">
        <v>14.5971279</v>
      </c>
      <c r="P6" s="17">
        <v>14.9833582</v>
      </c>
      <c r="Q6" s="17">
        <v>16.508806849999999</v>
      </c>
      <c r="R6" s="17">
        <v>16.830547800000002</v>
      </c>
      <c r="S6" s="17">
        <v>16.535330500000001</v>
      </c>
      <c r="T6" s="17">
        <v>14.718902849999999</v>
      </c>
      <c r="U6" s="17">
        <v>11.782017550000001</v>
      </c>
      <c r="V6" s="17">
        <v>15.346741400000001</v>
      </c>
      <c r="W6" s="17">
        <v>11.2883969</v>
      </c>
      <c r="X6" s="17">
        <v>13.13308885</v>
      </c>
      <c r="Y6" s="17">
        <v>17.449448499999999</v>
      </c>
      <c r="Z6" s="17" t="s">
        <v>44</v>
      </c>
      <c r="AA6" s="17">
        <v>13.3627337</v>
      </c>
    </row>
    <row r="7" spans="1:27" x14ac:dyDescent="0.2">
      <c r="A7" s="17">
        <v>3</v>
      </c>
      <c r="B7" s="17">
        <v>14.49074905</v>
      </c>
      <c r="C7" s="17">
        <v>16.1263535</v>
      </c>
      <c r="D7" s="17">
        <v>11.522342399999999</v>
      </c>
      <c r="E7" s="17">
        <v>17.05560955</v>
      </c>
      <c r="F7" s="17">
        <v>21.743298849999999</v>
      </c>
      <c r="G7" s="17">
        <v>21.934364800000001</v>
      </c>
      <c r="H7" s="17">
        <v>25.980444800000001</v>
      </c>
      <c r="I7" s="17">
        <v>24.829771350000001</v>
      </c>
      <c r="J7" s="17">
        <v>25.229458399999999</v>
      </c>
      <c r="K7" s="17">
        <v>16.662695800000002</v>
      </c>
      <c r="L7" s="17">
        <v>24.43555155</v>
      </c>
      <c r="M7" s="17">
        <v>28.851469399999999</v>
      </c>
      <c r="N7" s="17">
        <v>18.628819050000001</v>
      </c>
      <c r="O7" s="17">
        <v>24.025062399999999</v>
      </c>
      <c r="P7" s="17">
        <v>15.88769005</v>
      </c>
      <c r="Q7" s="17">
        <v>26.895326699999998</v>
      </c>
      <c r="R7" s="17">
        <v>14.0688254</v>
      </c>
      <c r="S7" s="17">
        <v>15.65537005</v>
      </c>
      <c r="T7" s="17">
        <v>14.9638182</v>
      </c>
      <c r="U7" s="17">
        <v>21.8919681</v>
      </c>
      <c r="V7" s="17">
        <v>48.724840899999997</v>
      </c>
      <c r="W7" s="17">
        <v>11.4580837</v>
      </c>
      <c r="X7" s="17">
        <v>22.486538249999999</v>
      </c>
      <c r="Y7" s="17">
        <v>23.398014400000001</v>
      </c>
      <c r="Z7" s="17">
        <v>29.853759950000001</v>
      </c>
      <c r="AA7" s="17">
        <v>14.447745149999999</v>
      </c>
    </row>
    <row r="8" spans="1:27" x14ac:dyDescent="0.2">
      <c r="A8" s="17">
        <v>4</v>
      </c>
      <c r="B8" s="17">
        <v>7.9319803000000002</v>
      </c>
      <c r="C8" s="17">
        <v>14.406364999999999</v>
      </c>
      <c r="D8" s="17">
        <v>8.1424155000000003</v>
      </c>
      <c r="E8" s="17">
        <v>21.867612650000002</v>
      </c>
      <c r="F8" s="17">
        <v>12.0195194</v>
      </c>
      <c r="G8" s="17">
        <v>9.9941396999999998</v>
      </c>
      <c r="H8" s="17">
        <v>10.7768633</v>
      </c>
      <c r="I8" s="17">
        <v>15.5559829</v>
      </c>
      <c r="J8" s="17">
        <v>26.678445</v>
      </c>
      <c r="K8" s="17">
        <v>21.569351650000002</v>
      </c>
      <c r="L8" s="17">
        <v>14.570063149999999</v>
      </c>
      <c r="M8" s="17">
        <v>16.590014</v>
      </c>
      <c r="N8" s="17">
        <v>12.153418800000001</v>
      </c>
      <c r="O8" s="17">
        <v>11.9033955</v>
      </c>
      <c r="P8" s="17">
        <v>11.855116199999999</v>
      </c>
      <c r="Q8" s="17">
        <v>13.80915965</v>
      </c>
      <c r="R8" s="17">
        <v>12.029775450000001</v>
      </c>
      <c r="S8" s="17">
        <v>8.5393165</v>
      </c>
      <c r="T8" s="17">
        <v>10.56862645</v>
      </c>
      <c r="U8" s="17">
        <v>7.8482926500000003</v>
      </c>
      <c r="V8" s="17">
        <v>14.45570105</v>
      </c>
      <c r="W8" s="17">
        <v>13.8824649</v>
      </c>
      <c r="X8" s="17">
        <v>19.611436449999999</v>
      </c>
      <c r="Y8" s="17">
        <v>15.48877725</v>
      </c>
      <c r="Z8" s="17">
        <v>15.8362514</v>
      </c>
      <c r="AA8" s="17" t="s">
        <v>44</v>
      </c>
    </row>
    <row r="9" spans="1:27" x14ac:dyDescent="0.2">
      <c r="A9" s="17">
        <v>5</v>
      </c>
      <c r="B9" s="17">
        <v>12.9882235</v>
      </c>
      <c r="C9" s="17">
        <v>21.5394118</v>
      </c>
      <c r="D9" s="17">
        <v>21.639335800000001</v>
      </c>
      <c r="E9" s="17">
        <v>22.5177786</v>
      </c>
      <c r="F9" s="17">
        <v>25.545100300000001</v>
      </c>
      <c r="G9" s="17">
        <v>17.81323965</v>
      </c>
      <c r="H9" s="17">
        <v>19.3819555</v>
      </c>
      <c r="I9" s="17">
        <v>20.920837500000001</v>
      </c>
      <c r="J9" s="17">
        <v>41.744594900000003</v>
      </c>
      <c r="K9" s="17" t="s">
        <v>44</v>
      </c>
      <c r="L9" s="17" t="s">
        <v>44</v>
      </c>
      <c r="M9" s="17">
        <v>16.45705285</v>
      </c>
      <c r="N9" s="17">
        <v>11.09706815</v>
      </c>
      <c r="O9" s="17">
        <v>19.704118600000001</v>
      </c>
      <c r="P9" s="17">
        <v>12.18045045</v>
      </c>
      <c r="Q9" s="17">
        <v>22.8767423</v>
      </c>
      <c r="R9" s="17">
        <v>27.59120785</v>
      </c>
      <c r="S9" s="17">
        <v>28.407180050000001</v>
      </c>
      <c r="T9" s="17">
        <v>10.98077425</v>
      </c>
      <c r="U9" s="17">
        <v>8.2648113500000004</v>
      </c>
      <c r="V9" s="17">
        <v>19.9777232</v>
      </c>
      <c r="W9" s="17" t="s">
        <v>44</v>
      </c>
      <c r="X9" s="17">
        <v>17.701251750000001</v>
      </c>
      <c r="Y9" s="17">
        <v>19.9344407</v>
      </c>
      <c r="Z9" s="17">
        <v>22.921838999999999</v>
      </c>
      <c r="AA9" s="17">
        <v>23.658295549999998</v>
      </c>
    </row>
    <row r="10" spans="1:27" x14ac:dyDescent="0.2">
      <c r="A10" s="17">
        <v>6</v>
      </c>
      <c r="B10" s="17">
        <v>15.791337</v>
      </c>
      <c r="C10" s="17">
        <v>21.52722185</v>
      </c>
      <c r="D10" s="17">
        <v>14.1142088</v>
      </c>
      <c r="E10" s="17">
        <v>19.392375349999998</v>
      </c>
      <c r="F10" s="17">
        <v>17.414482549999999</v>
      </c>
      <c r="G10" s="17">
        <v>19.737599150000001</v>
      </c>
      <c r="H10" s="17">
        <v>17.344598300000001</v>
      </c>
      <c r="I10" s="17">
        <v>16.292764500000001</v>
      </c>
      <c r="J10" s="17">
        <v>25.5989857</v>
      </c>
      <c r="K10" s="17">
        <v>26.888892550000001</v>
      </c>
      <c r="L10" s="17">
        <v>16.016888049999999</v>
      </c>
      <c r="M10" s="17">
        <v>11.8420472</v>
      </c>
      <c r="N10" s="17">
        <v>16.324763350000001</v>
      </c>
      <c r="O10" s="17">
        <v>8.2969857999999999</v>
      </c>
      <c r="P10" s="17">
        <v>16.164067299999999</v>
      </c>
      <c r="Q10" s="17">
        <v>10.6678497</v>
      </c>
      <c r="R10" s="17">
        <v>9.7212334499999997</v>
      </c>
      <c r="S10" s="17">
        <v>13.61506805</v>
      </c>
      <c r="T10" s="17">
        <v>22.65738125</v>
      </c>
      <c r="U10" s="17">
        <v>8.7795626999999996</v>
      </c>
      <c r="V10" s="17">
        <v>19.545657949999999</v>
      </c>
      <c r="W10" s="17">
        <v>30.682452300000001</v>
      </c>
      <c r="X10" s="17">
        <v>13.04371055</v>
      </c>
      <c r="Y10" s="17">
        <v>30.484123700000001</v>
      </c>
      <c r="Z10" s="17">
        <v>11.8389536</v>
      </c>
      <c r="AA10" s="17">
        <v>14.4372036</v>
      </c>
    </row>
    <row r="11" spans="1:27" x14ac:dyDescent="0.2">
      <c r="A11" s="17">
        <v>7</v>
      </c>
      <c r="B11" s="17">
        <v>20.900206600000001</v>
      </c>
      <c r="C11" s="17">
        <v>23.71005525</v>
      </c>
      <c r="D11" s="17">
        <v>14.638601749999999</v>
      </c>
      <c r="E11" s="17">
        <v>24.66658855</v>
      </c>
      <c r="F11" s="17">
        <v>24.39807665</v>
      </c>
      <c r="G11" s="17">
        <v>26.20034115</v>
      </c>
      <c r="H11" s="17">
        <v>19.176167400000001</v>
      </c>
      <c r="I11" s="17">
        <v>16.60250885</v>
      </c>
      <c r="J11" s="17">
        <v>20.683519050000001</v>
      </c>
      <c r="K11" s="17">
        <v>16.834325100000001</v>
      </c>
      <c r="L11" s="17">
        <v>15.06439535</v>
      </c>
      <c r="M11" s="17">
        <v>21.366575950000001</v>
      </c>
      <c r="N11" s="17">
        <v>22.556559650000001</v>
      </c>
      <c r="O11" s="17">
        <v>28.019403100000002</v>
      </c>
      <c r="P11" s="17">
        <v>19.079159400000002</v>
      </c>
      <c r="Q11" s="17">
        <v>30.902367300000002</v>
      </c>
      <c r="R11" s="17">
        <v>33.123990599999999</v>
      </c>
      <c r="S11" s="17">
        <v>22.1555529</v>
      </c>
      <c r="T11" s="17">
        <v>24.850353250000001</v>
      </c>
      <c r="U11" s="17">
        <v>19.840460100000001</v>
      </c>
      <c r="V11" s="17">
        <v>21.819584450000001</v>
      </c>
      <c r="W11" s="17">
        <v>16.042409500000002</v>
      </c>
      <c r="X11" s="17">
        <v>26.155826900000001</v>
      </c>
      <c r="Y11" s="17">
        <v>17.5137486</v>
      </c>
      <c r="Z11" s="17">
        <v>22.8459833</v>
      </c>
      <c r="AA11" s="17">
        <v>11.043078449999999</v>
      </c>
    </row>
    <row r="12" spans="1:27" x14ac:dyDescent="0.2">
      <c r="A12" s="17">
        <v>8</v>
      </c>
      <c r="B12" s="17">
        <v>25.434625749999999</v>
      </c>
      <c r="C12" s="17">
        <v>16.457000900000001</v>
      </c>
      <c r="D12" s="17">
        <v>17.350377999999999</v>
      </c>
      <c r="E12" s="17">
        <v>37.600350949999999</v>
      </c>
      <c r="F12" s="17">
        <v>18.167060249999999</v>
      </c>
      <c r="G12" s="17">
        <v>20.810226700000001</v>
      </c>
      <c r="H12" s="17">
        <v>24.444278600000001</v>
      </c>
      <c r="I12" s="17">
        <v>24.161933950000002</v>
      </c>
      <c r="J12" s="17">
        <v>14.669054149999999</v>
      </c>
      <c r="K12" s="17">
        <v>23.3300597</v>
      </c>
      <c r="L12" s="17">
        <v>16.562316800000001</v>
      </c>
      <c r="M12" s="17">
        <v>36.103284199999997</v>
      </c>
      <c r="N12" s="17">
        <v>16.59579205</v>
      </c>
      <c r="O12" s="17">
        <v>9.3741572000000009</v>
      </c>
      <c r="P12" s="17">
        <v>16.427691249999999</v>
      </c>
      <c r="Q12" s="17">
        <v>14.040949599999999</v>
      </c>
      <c r="R12" s="17">
        <v>24.07510095</v>
      </c>
      <c r="S12" s="17">
        <v>12.84789555</v>
      </c>
      <c r="T12" s="17">
        <v>26.177532500000002</v>
      </c>
      <c r="U12" s="17">
        <v>17.293736150000001</v>
      </c>
      <c r="V12" s="17">
        <v>42.177299400000003</v>
      </c>
      <c r="W12" s="17">
        <v>30.350798399999999</v>
      </c>
      <c r="X12" s="17">
        <v>37.555011749999998</v>
      </c>
      <c r="Y12" s="17">
        <v>43.075886799999999</v>
      </c>
      <c r="Z12" s="17">
        <v>21.28237695</v>
      </c>
      <c r="AA12" s="17">
        <v>12.250140350000001</v>
      </c>
    </row>
    <row r="13" spans="1:27" x14ac:dyDescent="0.2">
      <c r="A13" s="17">
        <v>9</v>
      </c>
      <c r="B13" s="17" t="s">
        <v>44</v>
      </c>
      <c r="C13" s="17">
        <v>61.3096478</v>
      </c>
      <c r="D13" s="17" t="s">
        <v>44</v>
      </c>
      <c r="E13" s="17">
        <v>51.211778600000002</v>
      </c>
      <c r="F13" s="17" t="s">
        <v>44</v>
      </c>
      <c r="G13" s="17">
        <v>91.048758800000002</v>
      </c>
      <c r="H13" s="17">
        <v>16.826577449999998</v>
      </c>
      <c r="I13" s="17">
        <v>18.718336600000001</v>
      </c>
      <c r="J13" s="17">
        <v>22.056447500000001</v>
      </c>
      <c r="K13" s="17" t="s">
        <v>44</v>
      </c>
      <c r="L13" s="17" t="s">
        <v>44</v>
      </c>
      <c r="M13" s="17">
        <v>28.562866499999998</v>
      </c>
      <c r="N13" s="17">
        <v>30.48970705</v>
      </c>
      <c r="O13" s="17" t="s">
        <v>44</v>
      </c>
      <c r="P13" s="17">
        <v>18.857023399999999</v>
      </c>
      <c r="Q13" s="17" t="s">
        <v>44</v>
      </c>
      <c r="R13" s="17">
        <v>25.477146350000002</v>
      </c>
      <c r="S13" s="17" t="s">
        <v>44</v>
      </c>
      <c r="T13" s="17" t="s">
        <v>44</v>
      </c>
      <c r="U13" s="17">
        <v>11.667181599999999</v>
      </c>
      <c r="V13" s="17">
        <v>31.466792099999999</v>
      </c>
      <c r="W13" s="17" t="s">
        <v>44</v>
      </c>
      <c r="X13" s="17" t="s">
        <v>44</v>
      </c>
      <c r="Y13" s="17" t="s">
        <v>44</v>
      </c>
      <c r="Z13" s="17" t="s">
        <v>44</v>
      </c>
      <c r="AA13" s="17" t="s">
        <v>44</v>
      </c>
    </row>
    <row r="14" spans="1:27" x14ac:dyDescent="0.2">
      <c r="A14" s="17">
        <v>10</v>
      </c>
      <c r="B14" s="17">
        <v>33.975039000000002</v>
      </c>
      <c r="C14" s="17">
        <v>36.844503600000003</v>
      </c>
      <c r="D14" s="17">
        <v>56.787321050000003</v>
      </c>
      <c r="E14" s="17">
        <v>40.774910200000001</v>
      </c>
      <c r="F14" s="17">
        <v>30.990843850000001</v>
      </c>
      <c r="G14" s="17">
        <v>20.269415200000001</v>
      </c>
      <c r="H14" s="17">
        <v>93.903274949999997</v>
      </c>
      <c r="I14" s="17">
        <v>18.286215949999999</v>
      </c>
      <c r="J14" s="17" t="s">
        <v>44</v>
      </c>
      <c r="K14" s="17">
        <v>29.582161249999999</v>
      </c>
      <c r="L14" s="17">
        <v>26.07882485</v>
      </c>
      <c r="M14" s="17">
        <v>22.411811849999999</v>
      </c>
      <c r="N14" s="17">
        <v>17.081026099999999</v>
      </c>
      <c r="O14" s="17">
        <v>31.508043950000001</v>
      </c>
      <c r="P14" s="17">
        <v>11.631422049999999</v>
      </c>
      <c r="Q14" s="17">
        <v>24.799935649999998</v>
      </c>
      <c r="R14" s="17">
        <v>18.016576100000002</v>
      </c>
      <c r="S14" s="17">
        <v>23.7440669</v>
      </c>
      <c r="T14" s="17">
        <v>27.781771750000001</v>
      </c>
      <c r="U14" s="17">
        <v>11.8721555</v>
      </c>
      <c r="V14" s="17">
        <v>13.98601045</v>
      </c>
      <c r="W14" s="17">
        <v>49.087067050000002</v>
      </c>
      <c r="X14" s="17">
        <v>24.347680400000002</v>
      </c>
      <c r="Y14" s="17">
        <v>38.113109199999997</v>
      </c>
      <c r="Z14" s="17">
        <v>27.517141800000001</v>
      </c>
      <c r="AA14" s="17">
        <v>15.51161795</v>
      </c>
    </row>
    <row r="15" spans="1:27" x14ac:dyDescent="0.2">
      <c r="A15" s="17">
        <v>11</v>
      </c>
      <c r="B15" s="17" t="s">
        <v>44</v>
      </c>
      <c r="C15" s="17">
        <v>19.304252200000001</v>
      </c>
      <c r="D15" s="17">
        <v>27.090049400000002</v>
      </c>
      <c r="E15" s="17">
        <v>18.753062100000001</v>
      </c>
      <c r="F15" s="17">
        <v>14.055601599999999</v>
      </c>
      <c r="G15" s="17" t="s">
        <v>44</v>
      </c>
      <c r="H15" s="17">
        <v>17.370021900000001</v>
      </c>
      <c r="I15" s="17">
        <v>38.439139599999997</v>
      </c>
      <c r="J15" s="17">
        <v>30.251682349999999</v>
      </c>
      <c r="K15" s="17">
        <v>20.81047555</v>
      </c>
      <c r="L15" s="17">
        <v>20.2479333</v>
      </c>
      <c r="M15" s="17">
        <v>12.422625350000001</v>
      </c>
      <c r="N15" s="17">
        <v>18.058332</v>
      </c>
      <c r="O15" s="17">
        <v>30.57783835</v>
      </c>
      <c r="P15" s="17">
        <v>16.731901799999999</v>
      </c>
      <c r="Q15" s="17">
        <v>26.159821050000001</v>
      </c>
      <c r="R15" s="17">
        <v>26.048611650000002</v>
      </c>
      <c r="S15" s="17">
        <v>46.947384100000001</v>
      </c>
      <c r="T15" s="17">
        <v>24.67003115</v>
      </c>
      <c r="U15" s="17">
        <v>23.176465650000001</v>
      </c>
      <c r="V15" s="17">
        <v>18.738394899999999</v>
      </c>
      <c r="W15" s="17">
        <v>27.259502350000002</v>
      </c>
      <c r="X15" s="17">
        <v>19.1751076</v>
      </c>
      <c r="Y15" s="17">
        <v>36.628131000000003</v>
      </c>
      <c r="Z15" s="17">
        <v>23.65797285</v>
      </c>
      <c r="AA15" s="17">
        <v>53.328410249999997</v>
      </c>
    </row>
    <row r="16" spans="1:27" x14ac:dyDescent="0.2">
      <c r="A16" s="17">
        <v>12</v>
      </c>
      <c r="B16" s="17">
        <v>7.8591124499999996</v>
      </c>
      <c r="C16" s="17">
        <v>21.14224325</v>
      </c>
      <c r="D16" s="17">
        <v>17.322883900000001</v>
      </c>
      <c r="E16" s="17">
        <v>19.4995285</v>
      </c>
      <c r="F16" s="17">
        <v>21.028670099999999</v>
      </c>
      <c r="G16" s="17" t="s">
        <v>44</v>
      </c>
      <c r="H16" s="17">
        <v>19.580805250000001</v>
      </c>
      <c r="I16" s="17">
        <v>18.0016651</v>
      </c>
      <c r="J16" s="17">
        <v>17.379466350000001</v>
      </c>
      <c r="K16" s="17">
        <v>30.048674500000001</v>
      </c>
      <c r="L16" s="17">
        <v>21.65952485</v>
      </c>
      <c r="M16" s="17">
        <v>17.833941599999999</v>
      </c>
      <c r="N16" s="17">
        <v>15.913890800000001</v>
      </c>
      <c r="O16" s="17">
        <v>14.466484700000001</v>
      </c>
      <c r="P16" s="17">
        <v>16.1005872</v>
      </c>
      <c r="Q16" s="17">
        <v>16.915887699999999</v>
      </c>
      <c r="R16" s="17">
        <v>20.937969200000001</v>
      </c>
      <c r="S16" s="17">
        <v>19.687798449999999</v>
      </c>
      <c r="T16" s="17">
        <v>18.897882299999999</v>
      </c>
      <c r="U16" s="17">
        <v>12.3517777</v>
      </c>
      <c r="V16" s="17">
        <v>24.922171299999999</v>
      </c>
      <c r="W16" s="17">
        <v>25.73862475</v>
      </c>
      <c r="X16" s="17">
        <v>24.0077532</v>
      </c>
      <c r="Y16" s="17">
        <v>33.63736085</v>
      </c>
      <c r="Z16" s="17">
        <v>37.172056900000001</v>
      </c>
      <c r="AA16" s="17">
        <v>25.8841866</v>
      </c>
    </row>
    <row r="17" spans="1:27" x14ac:dyDescent="0.2">
      <c r="A17" s="17">
        <v>13</v>
      </c>
      <c r="B17" s="17" t="s">
        <v>44</v>
      </c>
      <c r="C17" s="17">
        <v>21.588743449999999</v>
      </c>
      <c r="D17" s="17">
        <v>15.4525057</v>
      </c>
      <c r="E17" s="17">
        <v>15.775112099999999</v>
      </c>
      <c r="F17" s="17">
        <v>25.954327249999999</v>
      </c>
      <c r="G17" s="17">
        <v>17.182916299999999</v>
      </c>
      <c r="H17" s="17">
        <v>70.888109700000001</v>
      </c>
      <c r="I17" s="17">
        <v>12.99410185</v>
      </c>
      <c r="J17" s="17">
        <v>16.834744449999999</v>
      </c>
      <c r="K17" s="17">
        <v>15.341646450000001</v>
      </c>
      <c r="L17" s="17">
        <v>11.99140435</v>
      </c>
      <c r="M17" s="17">
        <v>16.659847800000001</v>
      </c>
      <c r="N17" s="17">
        <v>13.140001850000001</v>
      </c>
      <c r="O17" s="17">
        <v>20.3734568</v>
      </c>
      <c r="P17" s="17">
        <v>12.547185649999999</v>
      </c>
      <c r="Q17" s="17">
        <v>16.699979500000001</v>
      </c>
      <c r="R17" s="17">
        <v>19.256364000000001</v>
      </c>
      <c r="S17" s="17">
        <v>13.466478800000001</v>
      </c>
      <c r="T17" s="17">
        <v>16.826410299999999</v>
      </c>
      <c r="U17" s="17">
        <v>17.45922715</v>
      </c>
      <c r="V17" s="17">
        <v>15.05799375</v>
      </c>
      <c r="W17" s="17">
        <v>12.4481251</v>
      </c>
      <c r="X17" s="17">
        <v>18.122384799999999</v>
      </c>
      <c r="Y17" s="17">
        <v>19.59185085</v>
      </c>
      <c r="Z17" s="17" t="s">
        <v>44</v>
      </c>
      <c r="AA17" s="17">
        <v>17.793149400000001</v>
      </c>
    </row>
    <row r="18" spans="1:27" x14ac:dyDescent="0.2">
      <c r="A18" s="17">
        <v>14</v>
      </c>
      <c r="B18" s="17">
        <v>16.124038250000002</v>
      </c>
      <c r="C18" s="17">
        <v>19.693124000000001</v>
      </c>
      <c r="D18" s="17">
        <v>13.97345425</v>
      </c>
      <c r="E18" s="17">
        <v>13.51552605</v>
      </c>
      <c r="F18" s="17">
        <v>22.587077300000001</v>
      </c>
      <c r="G18" s="17">
        <v>34.0197729</v>
      </c>
      <c r="H18" s="17">
        <v>13.096386499999999</v>
      </c>
      <c r="I18" s="17">
        <v>20.90785885</v>
      </c>
      <c r="J18" s="17" t="s">
        <v>44</v>
      </c>
      <c r="K18" s="17">
        <v>30.201749849999999</v>
      </c>
      <c r="L18" s="17">
        <v>11.9942639</v>
      </c>
      <c r="M18" s="17">
        <v>12.28713125</v>
      </c>
      <c r="N18" s="17">
        <v>17.769164750000002</v>
      </c>
      <c r="O18" s="17">
        <v>15.43009195</v>
      </c>
      <c r="P18" s="17">
        <v>10.8879263</v>
      </c>
      <c r="Q18" s="17">
        <v>15.196610250000001</v>
      </c>
      <c r="R18" s="17">
        <v>20.618005199999999</v>
      </c>
      <c r="S18" s="17">
        <v>22.111471949999999</v>
      </c>
      <c r="T18" s="17">
        <v>12.40535725</v>
      </c>
      <c r="U18" s="17">
        <v>13.18053645</v>
      </c>
      <c r="V18" s="17">
        <v>13.481361100000001</v>
      </c>
      <c r="W18" s="17">
        <v>26.284476399999999</v>
      </c>
      <c r="X18" s="17">
        <v>25.161016100000001</v>
      </c>
      <c r="Y18" s="17">
        <v>30.044192949999999</v>
      </c>
      <c r="Z18" s="17">
        <v>7.2164980999999999</v>
      </c>
      <c r="AA18" s="17">
        <v>5.9241328500000003</v>
      </c>
    </row>
    <row r="19" spans="1:27" x14ac:dyDescent="0.2">
      <c r="A19" s="17">
        <v>15</v>
      </c>
      <c r="B19" s="17">
        <v>20.539345300000001</v>
      </c>
      <c r="C19" s="17">
        <v>28.76158895</v>
      </c>
      <c r="D19" s="17">
        <v>14.77926285</v>
      </c>
      <c r="E19" s="17">
        <v>19.797890450000001</v>
      </c>
      <c r="F19" s="17">
        <v>13.14813695</v>
      </c>
      <c r="G19" s="17">
        <v>14.005357849999999</v>
      </c>
      <c r="H19" s="17">
        <v>16.7816151</v>
      </c>
      <c r="I19" s="17">
        <v>16.338928200000002</v>
      </c>
      <c r="J19" s="17">
        <v>23.104485449999999</v>
      </c>
      <c r="K19" s="17">
        <v>20.286652499999999</v>
      </c>
      <c r="L19" s="17">
        <v>27.849709000000001</v>
      </c>
      <c r="M19" s="17">
        <v>14.65584795</v>
      </c>
      <c r="N19" s="17">
        <v>8.8729191000000007</v>
      </c>
      <c r="O19" s="17">
        <v>12.740206649999999</v>
      </c>
      <c r="P19" s="17">
        <v>12.0878041</v>
      </c>
      <c r="Q19" s="17">
        <v>9.0012091000000005</v>
      </c>
      <c r="R19" s="17">
        <v>19.959995500000002</v>
      </c>
      <c r="S19" s="17">
        <v>15.4676855</v>
      </c>
      <c r="T19" s="17">
        <v>11.9812403</v>
      </c>
      <c r="U19" s="17">
        <v>10.76803965</v>
      </c>
      <c r="V19" s="17" t="s">
        <v>44</v>
      </c>
      <c r="W19" s="17">
        <v>18.78723995</v>
      </c>
      <c r="X19" s="17">
        <v>39.535724399999999</v>
      </c>
      <c r="Y19" s="17">
        <v>24.862785649999999</v>
      </c>
      <c r="Z19" s="17">
        <v>17.4268167</v>
      </c>
      <c r="AA19" s="17">
        <v>22.909876000000001</v>
      </c>
    </row>
    <row r="20" spans="1:27" x14ac:dyDescent="0.2">
      <c r="A20" s="17">
        <v>16</v>
      </c>
      <c r="B20" s="17">
        <v>10.095029050000001</v>
      </c>
      <c r="C20" s="17">
        <v>18.413897899999998</v>
      </c>
      <c r="D20" s="17">
        <v>13.390166049999999</v>
      </c>
      <c r="E20" s="17">
        <v>13.09227035</v>
      </c>
      <c r="F20" s="17">
        <v>23.993587000000002</v>
      </c>
      <c r="G20" s="17">
        <v>15.211721649999999</v>
      </c>
      <c r="H20" s="17">
        <v>22.303712449999999</v>
      </c>
      <c r="I20" s="17">
        <v>18.899971799999999</v>
      </c>
      <c r="J20" s="17">
        <v>15.557092000000001</v>
      </c>
      <c r="K20" s="17">
        <v>14.902624149999999</v>
      </c>
      <c r="L20" s="17">
        <v>32.418020949999999</v>
      </c>
      <c r="M20" s="17">
        <v>20.797887200000002</v>
      </c>
      <c r="N20" s="17">
        <v>15.178167050000001</v>
      </c>
      <c r="O20" s="17">
        <v>13.1427847</v>
      </c>
      <c r="P20" s="17">
        <v>11.7349988</v>
      </c>
      <c r="Q20" s="17">
        <v>18.7640247</v>
      </c>
      <c r="R20" s="17">
        <v>33.397497000000001</v>
      </c>
      <c r="S20" s="17">
        <v>15.295500949999999</v>
      </c>
      <c r="T20" s="17">
        <v>15.661564050000001</v>
      </c>
      <c r="U20" s="17">
        <v>13.68890575</v>
      </c>
      <c r="V20" s="17">
        <v>25.004221399999999</v>
      </c>
      <c r="W20" s="17">
        <v>17.5823322</v>
      </c>
      <c r="X20" s="17">
        <v>13.0958942</v>
      </c>
      <c r="Y20" s="17">
        <v>12.708542550000001</v>
      </c>
      <c r="Z20" s="17">
        <v>11.04267585</v>
      </c>
      <c r="AA20" s="17">
        <v>13.66460135</v>
      </c>
    </row>
    <row r="21" spans="1:27" x14ac:dyDescent="0.2">
      <c r="A21" s="17">
        <v>17</v>
      </c>
      <c r="B21" s="17">
        <v>17.612054650000001</v>
      </c>
      <c r="C21" s="17">
        <v>19.54964305</v>
      </c>
      <c r="D21" s="17">
        <v>19.34113395</v>
      </c>
      <c r="E21" s="17">
        <v>23.15510265</v>
      </c>
      <c r="F21" s="17">
        <v>22.239067049999999</v>
      </c>
      <c r="G21" s="17">
        <v>19.446856149999999</v>
      </c>
      <c r="H21" s="17">
        <v>16.535048849999999</v>
      </c>
      <c r="I21" s="17">
        <v>22.350558899999999</v>
      </c>
      <c r="J21" s="17">
        <v>21.18394455</v>
      </c>
      <c r="K21" s="17">
        <v>29.907468699999999</v>
      </c>
      <c r="L21" s="17">
        <v>24.6427905</v>
      </c>
      <c r="M21" s="17">
        <v>25.158213849999999</v>
      </c>
      <c r="N21" s="17">
        <v>14.56126175</v>
      </c>
      <c r="O21" s="17">
        <v>18.980999050000001</v>
      </c>
      <c r="P21" s="17">
        <v>22.316294299999999</v>
      </c>
      <c r="Q21" s="17">
        <v>26.34744705</v>
      </c>
      <c r="R21" s="17">
        <v>14.1742121</v>
      </c>
      <c r="S21" s="17">
        <v>21.49432775</v>
      </c>
      <c r="T21" s="17">
        <v>36.877365150000003</v>
      </c>
      <c r="U21" s="17">
        <v>18.356859100000001</v>
      </c>
      <c r="V21" s="17">
        <v>16.994837350000001</v>
      </c>
      <c r="W21" s="17">
        <v>15.24561375</v>
      </c>
      <c r="X21" s="17">
        <v>18.785058150000001</v>
      </c>
      <c r="Y21" s="17">
        <v>18.011948650000001</v>
      </c>
      <c r="Z21" s="17">
        <v>13.040820249999999</v>
      </c>
      <c r="AA21" s="17">
        <v>16.73552175</v>
      </c>
    </row>
    <row r="22" spans="1:27" x14ac:dyDescent="0.2">
      <c r="A22" s="17">
        <v>18</v>
      </c>
      <c r="B22" s="17" t="s">
        <v>44</v>
      </c>
      <c r="C22" s="17">
        <v>17.463816099999999</v>
      </c>
      <c r="D22" s="17">
        <v>41.86634025</v>
      </c>
      <c r="E22" s="17">
        <v>17.235187700000001</v>
      </c>
      <c r="F22" s="17">
        <v>19.098200500000001</v>
      </c>
      <c r="G22" s="17" t="s">
        <v>44</v>
      </c>
      <c r="H22" s="17">
        <v>25.282582999999999</v>
      </c>
      <c r="I22" s="17">
        <v>53.057131149999996</v>
      </c>
      <c r="J22" s="17">
        <v>27.714987950000001</v>
      </c>
      <c r="K22" s="17">
        <v>36.25310365</v>
      </c>
      <c r="L22" s="17" t="s">
        <v>44</v>
      </c>
      <c r="M22" s="17">
        <v>53.0641429</v>
      </c>
      <c r="N22" s="17" t="s">
        <v>44</v>
      </c>
      <c r="O22" s="17">
        <v>23.885796500000001</v>
      </c>
      <c r="P22" s="17">
        <v>30.10731045</v>
      </c>
      <c r="Q22" s="17">
        <v>19.152093650000001</v>
      </c>
      <c r="R22" s="17">
        <v>28.162499050000001</v>
      </c>
      <c r="S22" s="17">
        <v>16.9534713</v>
      </c>
      <c r="T22" s="17">
        <v>53.733039349999999</v>
      </c>
      <c r="U22" s="17">
        <v>43.784803250000003</v>
      </c>
      <c r="V22" s="17">
        <v>71.084056700000005</v>
      </c>
      <c r="W22" s="17">
        <v>36.665250499999999</v>
      </c>
      <c r="X22" s="17">
        <v>28.7834331</v>
      </c>
      <c r="Y22" s="17">
        <v>25.93538745</v>
      </c>
      <c r="Z22" s="17">
        <v>18.6343879</v>
      </c>
      <c r="AA22" s="17">
        <v>20.258126600000001</v>
      </c>
    </row>
    <row r="23" spans="1:27" x14ac:dyDescent="0.2">
      <c r="A23" s="17">
        <v>19</v>
      </c>
      <c r="B23" s="17">
        <v>22.999668700000001</v>
      </c>
      <c r="C23" s="17">
        <v>21.861857749999999</v>
      </c>
      <c r="D23" s="17">
        <v>13.857183750000001</v>
      </c>
      <c r="E23" s="17">
        <v>14.944624449999999</v>
      </c>
      <c r="F23" s="17">
        <v>22.12911235</v>
      </c>
      <c r="G23" s="17">
        <v>18.543364449999999</v>
      </c>
      <c r="H23" s="17">
        <v>36.885672149999998</v>
      </c>
      <c r="I23" s="17">
        <v>17.756298999999999</v>
      </c>
      <c r="J23" s="17">
        <v>21.734866100000001</v>
      </c>
      <c r="K23" s="17">
        <v>9.5333319000000003</v>
      </c>
      <c r="L23" s="17">
        <v>14.250253000000001</v>
      </c>
      <c r="M23" s="17">
        <v>14.18825515</v>
      </c>
      <c r="N23" s="17">
        <v>10.5883977</v>
      </c>
      <c r="O23" s="17">
        <v>13.773274499999999</v>
      </c>
      <c r="P23" s="17">
        <v>26.154189150000001</v>
      </c>
      <c r="Q23" s="17">
        <v>11.49628905</v>
      </c>
      <c r="R23" s="17">
        <v>12.04323645</v>
      </c>
      <c r="S23" s="17">
        <v>17.85161725</v>
      </c>
      <c r="T23" s="17">
        <v>10.08879385</v>
      </c>
      <c r="U23" s="17">
        <v>7.4671536999999999</v>
      </c>
      <c r="V23" s="17">
        <v>14.981227349999999</v>
      </c>
      <c r="W23" s="17">
        <v>16.390254500000001</v>
      </c>
      <c r="X23" s="17">
        <v>17.6920185</v>
      </c>
      <c r="Y23" s="17">
        <v>20.956054900000002</v>
      </c>
      <c r="Z23" s="17">
        <v>18.440869899999999</v>
      </c>
      <c r="AA23" s="17">
        <v>24.635086999999999</v>
      </c>
    </row>
    <row r="24" spans="1:27" x14ac:dyDescent="0.2">
      <c r="A24" s="17">
        <v>20</v>
      </c>
      <c r="B24" s="17" t="s">
        <v>44</v>
      </c>
      <c r="C24" s="17">
        <v>20.920782750000001</v>
      </c>
      <c r="D24" s="17">
        <v>25.930914099999999</v>
      </c>
      <c r="E24" s="17">
        <v>9.3562010999999998</v>
      </c>
      <c r="F24" s="17">
        <v>15.779212149999999</v>
      </c>
      <c r="G24" s="17">
        <v>17.411526299999998</v>
      </c>
      <c r="H24" s="17">
        <v>17.241006800000001</v>
      </c>
      <c r="I24" s="17">
        <v>12.853393799999999</v>
      </c>
      <c r="J24" s="17">
        <v>42.292603200000002</v>
      </c>
      <c r="K24" s="17">
        <v>21.645620449999999</v>
      </c>
      <c r="L24" s="17">
        <v>13.3532058</v>
      </c>
      <c r="M24" s="17">
        <v>23.30150235</v>
      </c>
      <c r="N24" s="17">
        <v>12.2493789</v>
      </c>
      <c r="O24" s="17">
        <v>27.966875600000002</v>
      </c>
      <c r="P24" s="17">
        <v>13.349304350000001</v>
      </c>
      <c r="Q24" s="17">
        <v>20.061166149999998</v>
      </c>
      <c r="R24" s="17">
        <v>15.82089045</v>
      </c>
      <c r="S24" s="17">
        <v>22.140930000000001</v>
      </c>
      <c r="T24" s="17">
        <v>9.9736689999999992</v>
      </c>
      <c r="U24" s="17">
        <v>11.7683023</v>
      </c>
      <c r="V24" s="17">
        <v>19.38629255</v>
      </c>
      <c r="W24" s="17">
        <v>24.658234449999998</v>
      </c>
      <c r="X24" s="17">
        <v>17.978261199999999</v>
      </c>
      <c r="Y24" s="17">
        <v>15.88638175</v>
      </c>
      <c r="Z24" s="17">
        <v>21.514281799999999</v>
      </c>
      <c r="AA24" s="17">
        <v>14.600094650000001</v>
      </c>
    </row>
    <row r="25" spans="1:27" x14ac:dyDescent="0.2">
      <c r="A25" s="17">
        <v>21</v>
      </c>
      <c r="B25" s="17">
        <v>11.0587331</v>
      </c>
      <c r="C25" s="17">
        <v>31.183756150000001</v>
      </c>
      <c r="D25" s="17">
        <v>75.4254897</v>
      </c>
      <c r="E25" s="17">
        <v>18.127806249999999</v>
      </c>
      <c r="F25" s="17">
        <v>28.515897200000001</v>
      </c>
      <c r="G25" s="17">
        <v>31.418171749999999</v>
      </c>
      <c r="H25" s="17">
        <v>11.4605864</v>
      </c>
      <c r="I25" s="17">
        <v>28.685778299999999</v>
      </c>
      <c r="J25" s="17">
        <v>19.167896599999999</v>
      </c>
      <c r="K25" s="17">
        <v>15.50080795</v>
      </c>
      <c r="L25" s="17">
        <v>19.94585635</v>
      </c>
      <c r="M25" s="17">
        <v>19.102775050000002</v>
      </c>
      <c r="N25" s="17">
        <v>9.1053604999999997</v>
      </c>
      <c r="O25" s="17">
        <v>25.06114195</v>
      </c>
      <c r="P25" s="17">
        <v>22.207588300000001</v>
      </c>
      <c r="Q25" s="17">
        <v>21.787646599999999</v>
      </c>
      <c r="R25" s="17">
        <v>22.0576018</v>
      </c>
      <c r="S25" s="17">
        <v>27.952581200000001</v>
      </c>
      <c r="T25" s="17">
        <v>24.523922349999999</v>
      </c>
      <c r="U25" s="17">
        <v>26.33618895</v>
      </c>
      <c r="V25" s="17" t="s">
        <v>44</v>
      </c>
      <c r="W25" s="17">
        <v>20.454940300000001</v>
      </c>
      <c r="X25" s="17">
        <v>14.35130015</v>
      </c>
      <c r="Y25" s="17">
        <v>22.899350550000001</v>
      </c>
      <c r="Z25" s="17">
        <v>5.6860942000000003</v>
      </c>
      <c r="AA25" s="17">
        <v>8.6537210000000009</v>
      </c>
    </row>
    <row r="26" spans="1:27" x14ac:dyDescent="0.2">
      <c r="A26" s="17">
        <v>22</v>
      </c>
      <c r="B26" s="17" t="s">
        <v>44</v>
      </c>
      <c r="C26" s="17">
        <v>31.220310250000001</v>
      </c>
      <c r="D26" s="17">
        <v>29.902455849999999</v>
      </c>
      <c r="E26" s="17">
        <v>45.535601499999999</v>
      </c>
      <c r="F26" s="17">
        <v>19.175169400000001</v>
      </c>
      <c r="G26" s="17">
        <v>26.52264825</v>
      </c>
      <c r="H26" s="17">
        <v>31.5405534</v>
      </c>
      <c r="I26" s="17">
        <v>38.238287300000003</v>
      </c>
      <c r="J26" s="17">
        <v>29.670363500000001</v>
      </c>
      <c r="K26" s="17">
        <v>14.826409549999999</v>
      </c>
      <c r="L26" s="17">
        <v>26.998283099999998</v>
      </c>
      <c r="M26" s="17">
        <v>39.591123349999997</v>
      </c>
      <c r="N26" s="17">
        <v>22.69019475</v>
      </c>
      <c r="O26" s="17">
        <v>46.278901449999999</v>
      </c>
      <c r="P26" s="17">
        <v>23.627195100000002</v>
      </c>
      <c r="Q26" s="17">
        <v>17.207060349999999</v>
      </c>
      <c r="R26" s="17">
        <v>36.233515099999998</v>
      </c>
      <c r="S26" s="17">
        <v>26.23358795</v>
      </c>
      <c r="T26" s="17">
        <v>23.801839000000001</v>
      </c>
      <c r="U26" s="17">
        <v>29.4519129</v>
      </c>
      <c r="V26" s="17">
        <v>13.32053775</v>
      </c>
      <c r="W26" s="17">
        <v>16.634099500000001</v>
      </c>
      <c r="X26" s="17">
        <v>22.714182000000001</v>
      </c>
      <c r="Y26" s="17">
        <v>23.090807099999999</v>
      </c>
      <c r="Z26" s="17">
        <v>17.557600449999999</v>
      </c>
      <c r="AA26" s="17">
        <v>5.6856722499999997</v>
      </c>
    </row>
    <row r="27" spans="1:27" x14ac:dyDescent="0.2">
      <c r="A27" s="17">
        <v>23</v>
      </c>
      <c r="B27" s="17">
        <v>14.2902802</v>
      </c>
      <c r="C27" s="17">
        <v>14.12523275</v>
      </c>
      <c r="D27" s="17">
        <v>21.839046450000001</v>
      </c>
      <c r="E27" s="17">
        <v>18.531487949999999</v>
      </c>
      <c r="F27" s="17">
        <v>23.240175149999999</v>
      </c>
      <c r="G27" s="17">
        <v>18.829775250000001</v>
      </c>
      <c r="H27" s="17">
        <v>21.351927499999999</v>
      </c>
      <c r="I27" s="17">
        <v>21.5476782</v>
      </c>
      <c r="J27" s="17">
        <v>24.544248750000001</v>
      </c>
      <c r="K27" s="17">
        <v>21.706235150000001</v>
      </c>
      <c r="L27" s="17">
        <v>12.82560445</v>
      </c>
      <c r="M27" s="17">
        <v>17.169329050000002</v>
      </c>
      <c r="N27" s="17">
        <v>11.4854483</v>
      </c>
      <c r="O27" s="17">
        <v>14.216181300000001</v>
      </c>
      <c r="P27" s="17">
        <v>11.49668155</v>
      </c>
      <c r="Q27" s="17">
        <v>14.152263700000001</v>
      </c>
      <c r="R27" s="17">
        <v>28.826472800000001</v>
      </c>
      <c r="S27" s="17">
        <v>38.443257750000001</v>
      </c>
      <c r="T27" s="17">
        <v>13.61364225</v>
      </c>
      <c r="U27" s="17">
        <v>19.711691550000001</v>
      </c>
      <c r="V27" s="17">
        <v>12.054779999999999</v>
      </c>
      <c r="W27" s="17">
        <v>12.1785742</v>
      </c>
      <c r="X27" s="17">
        <v>11.27570665</v>
      </c>
      <c r="Y27" s="17">
        <v>17.085023499999998</v>
      </c>
      <c r="Z27" s="17" t="s">
        <v>44</v>
      </c>
      <c r="AA27" s="17" t="s">
        <v>44</v>
      </c>
    </row>
    <row r="28" spans="1:27" x14ac:dyDescent="0.2">
      <c r="A28" s="17">
        <v>24</v>
      </c>
      <c r="B28" s="17">
        <v>10.878651850000001</v>
      </c>
      <c r="C28" s="17">
        <v>17.677696099999999</v>
      </c>
      <c r="D28" s="17">
        <v>12.1356567</v>
      </c>
      <c r="E28" s="17">
        <v>12.015096850000001</v>
      </c>
      <c r="F28" s="17">
        <v>10.531287349999999</v>
      </c>
      <c r="G28" s="17" t="s">
        <v>44</v>
      </c>
      <c r="H28" s="17">
        <v>17.859844150000001</v>
      </c>
      <c r="I28" s="17">
        <v>11.364963299999999</v>
      </c>
      <c r="J28" s="17">
        <v>21.050722</v>
      </c>
      <c r="K28" s="17">
        <v>15.1021678</v>
      </c>
      <c r="L28" s="17">
        <v>15.13784555</v>
      </c>
      <c r="M28" s="17">
        <v>13.406182599999999</v>
      </c>
      <c r="N28" s="17">
        <v>7.6610236499999997</v>
      </c>
      <c r="O28" s="17">
        <v>11.6740537</v>
      </c>
      <c r="P28" s="17">
        <v>16.484016650000001</v>
      </c>
      <c r="Q28" s="17">
        <v>21.142361600000001</v>
      </c>
      <c r="R28" s="17">
        <v>12.917385550000001</v>
      </c>
      <c r="S28" s="17">
        <v>12.275798500000001</v>
      </c>
      <c r="T28" s="17">
        <v>7.9891419499999996</v>
      </c>
      <c r="U28" s="17">
        <v>11.593827599999999</v>
      </c>
      <c r="V28" s="17">
        <v>10.738937</v>
      </c>
      <c r="W28" s="17">
        <v>11.37007195</v>
      </c>
      <c r="X28" s="17">
        <v>15.69611205</v>
      </c>
      <c r="Y28" s="17">
        <v>10.873082200000001</v>
      </c>
      <c r="Z28" s="17" t="s">
        <v>44</v>
      </c>
      <c r="AA28" s="17" t="s">
        <v>44</v>
      </c>
    </row>
    <row r="29" spans="1:27" x14ac:dyDescent="0.2">
      <c r="A29" s="17">
        <v>25</v>
      </c>
      <c r="B29" s="17">
        <v>12.349925600000001</v>
      </c>
      <c r="C29" s="17">
        <v>8.3952661000000006</v>
      </c>
      <c r="D29" s="17">
        <v>11.222694600000001</v>
      </c>
      <c r="E29" s="17">
        <v>11.239825099999999</v>
      </c>
      <c r="F29" s="17">
        <v>10.559211400000001</v>
      </c>
      <c r="G29" s="17">
        <v>13.54957875</v>
      </c>
      <c r="H29" s="17">
        <v>5.0444090499999996</v>
      </c>
      <c r="I29" s="17">
        <v>9.1256473499999995</v>
      </c>
      <c r="J29" s="17">
        <v>8.4960857500000007</v>
      </c>
      <c r="K29" s="17">
        <v>6.0270051999999996</v>
      </c>
      <c r="L29" s="17">
        <v>17.10964675</v>
      </c>
      <c r="M29" s="17">
        <v>10.098697400000001</v>
      </c>
      <c r="N29" s="17">
        <v>4.8157399500000002</v>
      </c>
      <c r="O29" s="17">
        <v>12.5481593</v>
      </c>
      <c r="P29" s="17">
        <v>10.059814749999999</v>
      </c>
      <c r="Q29" s="17">
        <v>12.6324367</v>
      </c>
      <c r="R29" s="17">
        <v>8.7908633999999992</v>
      </c>
      <c r="S29" s="17">
        <v>11.547405850000001</v>
      </c>
      <c r="T29" s="17">
        <v>10.477778799999999</v>
      </c>
      <c r="U29" s="17">
        <v>6.0935132000000003</v>
      </c>
      <c r="V29" s="17">
        <v>9.1216312500000001</v>
      </c>
      <c r="W29" s="17">
        <v>13.118713850000001</v>
      </c>
      <c r="X29" s="17">
        <v>18.540416799999999</v>
      </c>
      <c r="Y29" s="17">
        <v>11.6368157</v>
      </c>
      <c r="Z29" s="17">
        <v>19.3581605</v>
      </c>
      <c r="AA29" s="17">
        <v>11.2528843</v>
      </c>
    </row>
    <row r="30" spans="1:27" x14ac:dyDescent="0.2">
      <c r="A30" s="17">
        <v>26</v>
      </c>
      <c r="B30" s="17" t="s">
        <v>44</v>
      </c>
      <c r="C30" s="17">
        <v>56.5073814</v>
      </c>
      <c r="D30" s="17">
        <v>28.370640649999999</v>
      </c>
      <c r="E30" s="17">
        <v>29.6751814</v>
      </c>
      <c r="F30" s="17">
        <v>22.823718400000001</v>
      </c>
      <c r="G30" s="17">
        <v>15.178416199999999</v>
      </c>
      <c r="H30" s="17">
        <v>24.317410649999999</v>
      </c>
      <c r="I30" s="17">
        <v>19.670729099999999</v>
      </c>
      <c r="J30" s="17">
        <v>20.230840499999999</v>
      </c>
      <c r="K30" s="17">
        <v>21.986314650000001</v>
      </c>
      <c r="L30" s="17">
        <v>30.830030650000001</v>
      </c>
      <c r="M30" s="17">
        <v>32.202592600000003</v>
      </c>
      <c r="N30" s="17">
        <v>25.65244525</v>
      </c>
      <c r="O30" s="17">
        <v>36.96065325</v>
      </c>
      <c r="P30" s="17">
        <v>33.637254300000002</v>
      </c>
      <c r="Q30" s="17" t="s">
        <v>44</v>
      </c>
      <c r="R30" s="17">
        <v>28.084406300000001</v>
      </c>
      <c r="S30" s="17">
        <v>18.375010450000001</v>
      </c>
      <c r="T30" s="17">
        <v>30.465984049999999</v>
      </c>
      <c r="U30" s="17">
        <v>13.894975649999999</v>
      </c>
      <c r="V30" s="17">
        <v>21.110776099999999</v>
      </c>
      <c r="W30" s="17">
        <v>15.818834150000001</v>
      </c>
      <c r="X30" s="17">
        <v>22.727628450000001</v>
      </c>
      <c r="Y30" s="17">
        <v>18.948553700000001</v>
      </c>
      <c r="Z30" s="17">
        <v>34.197962199999999</v>
      </c>
      <c r="AA30" s="17">
        <v>14.94682055</v>
      </c>
    </row>
    <row r="31" spans="1:27" x14ac:dyDescent="0.2">
      <c r="A31" s="17">
        <v>27</v>
      </c>
      <c r="B31" s="17">
        <v>32.118771899999999</v>
      </c>
      <c r="C31" s="17">
        <v>20.240460150000001</v>
      </c>
      <c r="D31" s="17">
        <v>18.300104650000002</v>
      </c>
      <c r="E31" s="17" t="s">
        <v>44</v>
      </c>
      <c r="F31" s="17">
        <v>19.341974499999999</v>
      </c>
      <c r="G31" s="17">
        <v>24.353785349999999</v>
      </c>
      <c r="H31" s="17">
        <v>14.588153</v>
      </c>
      <c r="I31" s="17">
        <v>14.863956549999999</v>
      </c>
      <c r="J31" s="17" t="s">
        <v>44</v>
      </c>
      <c r="K31" s="17">
        <v>21.890780899999999</v>
      </c>
      <c r="L31" s="17">
        <v>15.76986</v>
      </c>
      <c r="M31" s="17">
        <v>21.636984999999999</v>
      </c>
      <c r="N31" s="17">
        <v>15.440091900000001</v>
      </c>
      <c r="O31" s="17">
        <v>11.69980365</v>
      </c>
      <c r="P31" s="17">
        <v>15.36334415</v>
      </c>
      <c r="Q31" s="17">
        <v>15.93491055</v>
      </c>
      <c r="R31" s="17">
        <v>16.902183900000001</v>
      </c>
      <c r="S31" s="17">
        <v>8.6937530499999998</v>
      </c>
      <c r="T31" s="17">
        <v>19.120110700000001</v>
      </c>
      <c r="U31" s="17">
        <v>6.2184175000000002</v>
      </c>
      <c r="V31" s="17">
        <v>17.228834450000001</v>
      </c>
      <c r="W31" s="17">
        <v>22.096279800000001</v>
      </c>
      <c r="X31" s="17">
        <v>18.056505399999999</v>
      </c>
      <c r="Y31" s="17">
        <v>18.317412300000001</v>
      </c>
      <c r="Z31" s="17">
        <v>21.292214999999999</v>
      </c>
      <c r="AA31" s="17">
        <v>19.324548799999999</v>
      </c>
    </row>
    <row r="32" spans="1:27" x14ac:dyDescent="0.2">
      <c r="A32" s="17">
        <v>28</v>
      </c>
      <c r="B32" s="17">
        <v>18.364971749999999</v>
      </c>
      <c r="C32" s="17">
        <v>19.037546450000001</v>
      </c>
      <c r="D32" s="17">
        <v>19.906798250000001</v>
      </c>
      <c r="E32" s="17">
        <v>27.295273699999999</v>
      </c>
      <c r="F32" s="17">
        <v>17.958791550000001</v>
      </c>
      <c r="G32" s="17">
        <v>19.17416485</v>
      </c>
      <c r="H32" s="17">
        <v>12.4199228</v>
      </c>
      <c r="I32" s="17">
        <v>25.318266699999999</v>
      </c>
      <c r="J32" s="17">
        <v>31.407516050000002</v>
      </c>
      <c r="K32" s="17">
        <v>13.329138650000001</v>
      </c>
      <c r="L32" s="17">
        <v>25.714995399999999</v>
      </c>
      <c r="M32" s="17">
        <v>24.501002150000001</v>
      </c>
      <c r="N32" s="17">
        <v>19.422546799999999</v>
      </c>
      <c r="O32" s="17">
        <v>15.450095599999999</v>
      </c>
      <c r="P32" s="17">
        <v>18.271962599999998</v>
      </c>
      <c r="Q32" s="17">
        <v>19.003589600000002</v>
      </c>
      <c r="R32" s="17">
        <v>18.967677550000001</v>
      </c>
      <c r="S32" s="17">
        <v>8.2630318999999997</v>
      </c>
      <c r="T32" s="17">
        <v>26.22995585</v>
      </c>
      <c r="U32" s="17">
        <v>19.606327749999998</v>
      </c>
      <c r="V32" s="17">
        <v>26.010704499999999</v>
      </c>
      <c r="W32" s="17">
        <v>53.703880050000002</v>
      </c>
      <c r="X32" s="17">
        <v>24.08793945</v>
      </c>
      <c r="Y32" s="17">
        <v>22.495762800000001</v>
      </c>
      <c r="Z32" s="17">
        <v>22.348474499999998</v>
      </c>
      <c r="AA32" s="17">
        <v>16.904438949999999</v>
      </c>
    </row>
    <row r="33" spans="1:27" x14ac:dyDescent="0.2">
      <c r="A33" s="17">
        <v>29</v>
      </c>
      <c r="B33" s="17">
        <v>26.647969450000002</v>
      </c>
      <c r="C33" s="17">
        <v>21.312371049999999</v>
      </c>
      <c r="D33" s="17">
        <v>16.741533100000002</v>
      </c>
      <c r="E33" s="17">
        <v>15.8463271</v>
      </c>
      <c r="F33" s="17">
        <v>13.658679149999999</v>
      </c>
      <c r="G33" s="17" t="s">
        <v>44</v>
      </c>
      <c r="H33" s="17">
        <v>18.05482185</v>
      </c>
      <c r="I33" s="17">
        <v>19.466609299999998</v>
      </c>
      <c r="J33" s="17">
        <v>20.335041050000001</v>
      </c>
      <c r="K33" s="17">
        <v>21.642591899999999</v>
      </c>
      <c r="L33" s="17">
        <v>20.268913950000002</v>
      </c>
      <c r="M33" s="17">
        <v>16.816655350000001</v>
      </c>
      <c r="N33" s="17">
        <v>15.9735061</v>
      </c>
      <c r="O33" s="17">
        <v>30.341842499999998</v>
      </c>
      <c r="P33" s="17">
        <v>16.304360849999998</v>
      </c>
      <c r="Q33" s="17">
        <v>22.776033850000001</v>
      </c>
      <c r="R33" s="17">
        <v>20.853350349999999</v>
      </c>
      <c r="S33" s="17">
        <v>20.683447600000001</v>
      </c>
      <c r="T33" s="17">
        <v>17.741646899999999</v>
      </c>
      <c r="U33" s="17">
        <v>17.898287499999999</v>
      </c>
      <c r="V33" s="17">
        <v>24.18446685</v>
      </c>
      <c r="W33" s="17">
        <v>26.474656</v>
      </c>
      <c r="X33" s="17">
        <v>29.492871650000001</v>
      </c>
      <c r="Y33" s="17">
        <v>48.32843965</v>
      </c>
      <c r="Z33" s="17">
        <v>18.254419599999999</v>
      </c>
      <c r="AA33" s="17">
        <v>12.956193949999999</v>
      </c>
    </row>
    <row r="34" spans="1:27" x14ac:dyDescent="0.2">
      <c r="A34" s="17">
        <v>30</v>
      </c>
      <c r="B34" s="17">
        <v>23.62340275</v>
      </c>
      <c r="C34" s="17">
        <v>9.0414519500000008</v>
      </c>
      <c r="D34" s="17">
        <v>8.6398700999999996</v>
      </c>
      <c r="E34" s="17">
        <v>31.179096399999999</v>
      </c>
      <c r="F34" s="17">
        <v>7.5015459499999997</v>
      </c>
      <c r="G34" s="17">
        <v>13.0744539</v>
      </c>
      <c r="H34" s="17">
        <v>14.343327950000001</v>
      </c>
      <c r="I34" s="17">
        <v>20.803377600000001</v>
      </c>
      <c r="J34" s="17">
        <v>11.404977349999999</v>
      </c>
      <c r="K34" s="17">
        <v>10.7692389</v>
      </c>
      <c r="L34" s="17">
        <v>11.07768095</v>
      </c>
      <c r="M34" s="17">
        <v>10.9168269</v>
      </c>
      <c r="N34" s="17">
        <v>11.825696349999999</v>
      </c>
      <c r="O34" s="17">
        <v>31.116179800000001</v>
      </c>
      <c r="P34" s="17">
        <v>10.339827400000001</v>
      </c>
      <c r="Q34" s="17">
        <v>11.6520036</v>
      </c>
      <c r="R34" s="17">
        <v>8.9031895999999993</v>
      </c>
      <c r="S34" s="17">
        <v>16.939177749999999</v>
      </c>
      <c r="T34" s="17">
        <v>22.193759199999999</v>
      </c>
      <c r="U34" s="17">
        <v>22.691127900000001</v>
      </c>
      <c r="V34" s="17">
        <v>12.70194845</v>
      </c>
      <c r="W34" s="17">
        <v>7.9235158999999999</v>
      </c>
      <c r="X34" s="17">
        <v>29.18081385</v>
      </c>
      <c r="Y34" s="17">
        <v>15.099830450000001</v>
      </c>
      <c r="Z34" s="17">
        <v>12.3021803</v>
      </c>
      <c r="AA34" s="17">
        <v>10.9967545</v>
      </c>
    </row>
    <row r="35" spans="1:27" x14ac:dyDescent="0.2">
      <c r="A35" s="17">
        <v>31</v>
      </c>
      <c r="B35" s="17">
        <v>15.7273993</v>
      </c>
      <c r="C35" s="17">
        <v>32.237588150000001</v>
      </c>
      <c r="D35" s="17">
        <v>5.6178302000000002</v>
      </c>
      <c r="E35" s="17">
        <v>15.404886400000001</v>
      </c>
      <c r="F35" s="17">
        <v>12.411251099999999</v>
      </c>
      <c r="G35" s="17">
        <v>13.55751615</v>
      </c>
      <c r="H35" s="17">
        <v>67.967759599999994</v>
      </c>
      <c r="I35" s="17">
        <v>15.249784099999999</v>
      </c>
      <c r="J35" s="17">
        <v>21.144080249999998</v>
      </c>
      <c r="K35" s="17">
        <v>11.48847965</v>
      </c>
      <c r="L35" s="17">
        <v>6.1981118999999998</v>
      </c>
      <c r="M35" s="17">
        <v>11.85372705</v>
      </c>
      <c r="N35" s="17">
        <v>16.204487799999999</v>
      </c>
      <c r="O35" s="17">
        <v>17.1619344</v>
      </c>
      <c r="P35" s="17">
        <v>12.4550506</v>
      </c>
      <c r="Q35" s="17">
        <v>17.9964555</v>
      </c>
      <c r="R35" s="17">
        <v>14.3097409</v>
      </c>
      <c r="S35" s="17">
        <v>16.824354799999998</v>
      </c>
      <c r="T35" s="17">
        <v>18.553411650000001</v>
      </c>
      <c r="U35" s="17">
        <v>5.1507027499999998</v>
      </c>
      <c r="V35" s="17">
        <v>11.683807699999999</v>
      </c>
      <c r="W35" s="17">
        <v>15.7489525</v>
      </c>
      <c r="X35" s="17">
        <v>11.365629200000001</v>
      </c>
      <c r="Y35" s="17">
        <v>18.051574500000001</v>
      </c>
      <c r="Z35" s="17">
        <v>15.686928350000001</v>
      </c>
      <c r="AA35" s="17">
        <v>14.60861435</v>
      </c>
    </row>
    <row r="36" spans="1:27" x14ac:dyDescent="0.2">
      <c r="A36" s="17">
        <v>32</v>
      </c>
      <c r="B36" s="17">
        <v>19.09751545</v>
      </c>
      <c r="C36" s="17">
        <v>19.721604450000001</v>
      </c>
      <c r="D36" s="17">
        <v>18.666560700000002</v>
      </c>
      <c r="E36" s="17">
        <v>13.7463225</v>
      </c>
      <c r="F36" s="17">
        <v>29.4101982</v>
      </c>
      <c r="G36" s="17">
        <v>21.06280555</v>
      </c>
      <c r="H36" s="17">
        <v>15.7845452</v>
      </c>
      <c r="I36" s="17">
        <v>14.6198712</v>
      </c>
      <c r="J36" s="17">
        <v>14.7745224</v>
      </c>
      <c r="K36" s="17">
        <v>12.1535204</v>
      </c>
      <c r="L36" s="17" t="s">
        <v>44</v>
      </c>
      <c r="M36" s="17">
        <v>11.51269235</v>
      </c>
      <c r="N36" s="17">
        <v>9.4770807000000001</v>
      </c>
      <c r="O36" s="17">
        <v>29.408485299999999</v>
      </c>
      <c r="P36" s="17">
        <v>15.89577485</v>
      </c>
      <c r="Q36" s="17">
        <v>20.281380599999999</v>
      </c>
      <c r="R36" s="17">
        <v>16.57147325</v>
      </c>
      <c r="S36" s="17">
        <v>10.80117235</v>
      </c>
      <c r="T36" s="17">
        <v>14.04039175</v>
      </c>
      <c r="U36" s="17">
        <v>11.8269038</v>
      </c>
      <c r="V36" s="17">
        <v>14.1184896</v>
      </c>
      <c r="W36" s="17">
        <v>19.226237250000001</v>
      </c>
      <c r="X36" s="17">
        <v>19.636823700000001</v>
      </c>
      <c r="Y36" s="17">
        <v>14.34150975</v>
      </c>
      <c r="Z36" s="17">
        <v>30.3697038</v>
      </c>
      <c r="AA36" s="17">
        <v>41.419166850000003</v>
      </c>
    </row>
    <row r="37" spans="1:27" x14ac:dyDescent="0.2">
      <c r="A37" s="17">
        <v>33</v>
      </c>
      <c r="B37" s="17">
        <v>30.83905085</v>
      </c>
      <c r="C37" s="17">
        <v>97.572497650000003</v>
      </c>
      <c r="D37" s="17">
        <v>23.3306568</v>
      </c>
      <c r="E37" s="17">
        <v>19.247991200000001</v>
      </c>
      <c r="F37" s="17">
        <v>116.77177585</v>
      </c>
      <c r="G37" s="17">
        <v>103.9961299</v>
      </c>
      <c r="H37" s="17">
        <v>37.9565415</v>
      </c>
      <c r="I37" s="17">
        <v>20.1546299</v>
      </c>
      <c r="J37" s="17" t="s">
        <v>44</v>
      </c>
      <c r="K37" s="17">
        <v>27.574494550000001</v>
      </c>
      <c r="L37" s="17">
        <v>27.718180400000001</v>
      </c>
      <c r="M37" s="17">
        <v>31.790978599999999</v>
      </c>
      <c r="N37" s="17">
        <v>19.53434305</v>
      </c>
      <c r="O37" s="17">
        <v>12.435699700000001</v>
      </c>
      <c r="P37" s="17">
        <v>31.086605049999999</v>
      </c>
      <c r="Q37" s="17">
        <v>15.419302800000001</v>
      </c>
      <c r="R37" s="17">
        <v>57.957311199999999</v>
      </c>
      <c r="S37" s="17">
        <v>26.851125549999999</v>
      </c>
      <c r="T37" s="17">
        <v>23.3014869</v>
      </c>
      <c r="U37" s="17">
        <v>16.160585600000001</v>
      </c>
      <c r="V37" s="17">
        <v>23.500623999999998</v>
      </c>
      <c r="W37" s="17">
        <v>17.7982069</v>
      </c>
      <c r="X37" s="17">
        <v>114.99671050000001</v>
      </c>
      <c r="Y37" s="17">
        <v>40.93833455</v>
      </c>
      <c r="Z37" s="17">
        <v>28.125442249999999</v>
      </c>
      <c r="AA37" s="17">
        <v>48.655348799999999</v>
      </c>
    </row>
    <row r="38" spans="1:27" x14ac:dyDescent="0.2">
      <c r="A38" s="17">
        <v>34</v>
      </c>
      <c r="B38" s="17">
        <v>30.973772950000001</v>
      </c>
      <c r="C38" s="17">
        <v>20.222529000000002</v>
      </c>
      <c r="D38" s="17">
        <v>28.140385850000001</v>
      </c>
      <c r="E38" s="17">
        <v>14.802948450000001</v>
      </c>
      <c r="F38" s="17">
        <v>18.3869735</v>
      </c>
      <c r="G38" s="17">
        <v>24.012575200000001</v>
      </c>
      <c r="H38" s="17">
        <v>41.259818750000001</v>
      </c>
      <c r="I38" s="17">
        <v>21.01058475</v>
      </c>
      <c r="J38" s="17" t="s">
        <v>44</v>
      </c>
      <c r="K38" s="17">
        <v>15.5942361</v>
      </c>
      <c r="L38" s="17">
        <v>20.090132499999999</v>
      </c>
      <c r="M38" s="17">
        <v>15.667772449999999</v>
      </c>
      <c r="N38" s="17">
        <v>16.5214839</v>
      </c>
      <c r="O38" s="17">
        <v>18.1652171</v>
      </c>
      <c r="P38" s="17">
        <v>13.0317697</v>
      </c>
      <c r="Q38" s="17">
        <v>24.68722975</v>
      </c>
      <c r="R38" s="17">
        <v>11.98829405</v>
      </c>
      <c r="S38" s="17">
        <v>27.569217850000001</v>
      </c>
      <c r="T38" s="17">
        <v>21.748052000000001</v>
      </c>
      <c r="U38" s="17">
        <v>7.9663395499999998</v>
      </c>
      <c r="V38" s="17">
        <v>19.923367750000001</v>
      </c>
      <c r="W38" s="17">
        <v>23.1788366</v>
      </c>
      <c r="X38" s="17">
        <v>27.40785185</v>
      </c>
      <c r="Y38" s="17">
        <v>23.76186435</v>
      </c>
      <c r="Z38" s="17">
        <v>25.830235900000002</v>
      </c>
      <c r="AA38" s="17">
        <v>44.159207000000002</v>
      </c>
    </row>
    <row r="39" spans="1:27" x14ac:dyDescent="0.2">
      <c r="A39" s="17">
        <v>35</v>
      </c>
      <c r="B39" s="17">
        <v>13.582713999999999</v>
      </c>
      <c r="C39" s="17" t="s">
        <v>44</v>
      </c>
      <c r="D39" s="17">
        <v>20.231044950000001</v>
      </c>
      <c r="E39" s="17">
        <v>15.50373845</v>
      </c>
      <c r="F39" s="17">
        <v>13.484071399999999</v>
      </c>
      <c r="G39" s="17">
        <v>13.68856555</v>
      </c>
      <c r="H39" s="17">
        <v>12.325102749999999</v>
      </c>
      <c r="I39" s="17">
        <v>12.390475500000001</v>
      </c>
      <c r="J39" s="17" t="s">
        <v>44</v>
      </c>
      <c r="K39" s="17">
        <v>9.7536395500000008</v>
      </c>
      <c r="L39" s="17">
        <v>15.637422600000001</v>
      </c>
      <c r="M39" s="17">
        <v>16.414252350000002</v>
      </c>
      <c r="N39" s="17">
        <v>9.5886879500000006</v>
      </c>
      <c r="O39" s="17">
        <v>11.036627899999999</v>
      </c>
      <c r="P39" s="17">
        <v>21.375707850000001</v>
      </c>
      <c r="Q39" s="17">
        <v>14.4875211</v>
      </c>
      <c r="R39" s="17">
        <v>13.83648</v>
      </c>
      <c r="S39" s="17">
        <v>8.5348345499999994</v>
      </c>
      <c r="T39" s="17">
        <v>13.658832</v>
      </c>
      <c r="U39" s="17">
        <v>9.3855586500000001</v>
      </c>
      <c r="V39" s="17">
        <v>20.194668149999998</v>
      </c>
      <c r="W39" s="17">
        <v>16.006501100000001</v>
      </c>
      <c r="X39" s="17">
        <v>19.7391033</v>
      </c>
      <c r="Y39" s="17">
        <v>28.204291099999999</v>
      </c>
      <c r="Z39" s="17">
        <v>9.3348198</v>
      </c>
      <c r="AA39" s="17">
        <v>6.6024111000000003</v>
      </c>
    </row>
    <row r="40" spans="1:27" x14ac:dyDescent="0.2">
      <c r="A40" s="17">
        <v>36</v>
      </c>
      <c r="B40" s="17">
        <v>14.801004499999999</v>
      </c>
      <c r="C40" s="17">
        <v>19.610386250000001</v>
      </c>
      <c r="D40" s="17">
        <v>23.618346500000001</v>
      </c>
      <c r="E40" s="17">
        <v>10.0807973</v>
      </c>
      <c r="F40" s="17">
        <v>14.33120995</v>
      </c>
      <c r="G40" s="17">
        <v>7.0405815</v>
      </c>
      <c r="H40" s="17">
        <v>12.66794095</v>
      </c>
      <c r="I40" s="17">
        <v>14.12722615</v>
      </c>
      <c r="J40" s="17">
        <v>26.1757068</v>
      </c>
      <c r="K40" s="17">
        <v>15.937834499999999</v>
      </c>
      <c r="L40" s="17">
        <v>17.045675150000001</v>
      </c>
      <c r="M40" s="17">
        <v>23.530219649999999</v>
      </c>
      <c r="N40" s="17">
        <v>13.488027049999999</v>
      </c>
      <c r="O40" s="17">
        <v>12.039498</v>
      </c>
      <c r="P40" s="17">
        <v>28.114601400000002</v>
      </c>
      <c r="Q40" s="17">
        <v>22.599412449999999</v>
      </c>
      <c r="R40" s="17">
        <v>19.945907900000002</v>
      </c>
      <c r="S40" s="17">
        <v>23.1376949</v>
      </c>
      <c r="T40" s="17">
        <v>11.6004661</v>
      </c>
      <c r="U40" s="17">
        <v>10.719424249999999</v>
      </c>
      <c r="V40" s="17">
        <v>23.770366150000001</v>
      </c>
      <c r="W40" s="17">
        <v>10.234643999999999</v>
      </c>
      <c r="X40" s="17" t="s">
        <v>44</v>
      </c>
      <c r="Y40" s="17">
        <v>12.5431423</v>
      </c>
      <c r="Z40" s="17">
        <v>11.302443999999999</v>
      </c>
      <c r="AA40" s="17">
        <v>19.525207000000002</v>
      </c>
    </row>
    <row r="41" spans="1:27" x14ac:dyDescent="0.2">
      <c r="A41" s="17">
        <v>37</v>
      </c>
      <c r="B41" s="17">
        <v>15.78368635</v>
      </c>
      <c r="C41" s="17">
        <v>32.765657150000003</v>
      </c>
      <c r="D41" s="17">
        <v>16.362819250000001</v>
      </c>
      <c r="E41" s="17">
        <v>19.562327499999999</v>
      </c>
      <c r="F41" s="17">
        <v>20.9237322</v>
      </c>
      <c r="G41" s="17">
        <v>28.025792599999999</v>
      </c>
      <c r="H41" s="17">
        <v>26.911088450000001</v>
      </c>
      <c r="I41" s="17">
        <v>20.457830099999999</v>
      </c>
      <c r="J41" s="17">
        <v>26.932760800000001</v>
      </c>
      <c r="K41" s="17">
        <v>27.5596329</v>
      </c>
      <c r="L41" s="17">
        <v>18.354375449999999</v>
      </c>
      <c r="M41" s="17">
        <v>38.069625950000002</v>
      </c>
      <c r="N41" s="17">
        <v>14.769016300000001</v>
      </c>
      <c r="O41" s="17">
        <v>23.976577599999999</v>
      </c>
      <c r="P41" s="17">
        <v>17.730830000000001</v>
      </c>
      <c r="Q41" s="17">
        <v>14.104643250000001</v>
      </c>
      <c r="R41" s="17">
        <v>16.217477800000001</v>
      </c>
      <c r="S41" s="17">
        <v>22.706126149999999</v>
      </c>
      <c r="T41" s="17">
        <v>18.354058899999998</v>
      </c>
      <c r="U41" s="17">
        <v>14.8601917</v>
      </c>
      <c r="V41" s="17">
        <v>34.207793199999998</v>
      </c>
      <c r="W41" s="17">
        <v>15.599000950000001</v>
      </c>
      <c r="X41" s="17">
        <v>23.55743755</v>
      </c>
      <c r="Y41" s="17">
        <v>37.792530849999999</v>
      </c>
      <c r="Z41" s="17">
        <v>13.7703671</v>
      </c>
      <c r="AA41" s="17">
        <v>10.01629715</v>
      </c>
    </row>
    <row r="42" spans="1:27" x14ac:dyDescent="0.2">
      <c r="A42" s="17">
        <v>38</v>
      </c>
      <c r="B42" s="17">
        <v>32.821628400000002</v>
      </c>
      <c r="C42" s="17">
        <v>26.997317550000002</v>
      </c>
      <c r="D42" s="17">
        <v>17.695652849999998</v>
      </c>
      <c r="E42" s="17">
        <v>14.32158285</v>
      </c>
      <c r="F42" s="17">
        <v>12.328896800000001</v>
      </c>
      <c r="G42" s="17">
        <v>26.375878350000001</v>
      </c>
      <c r="H42" s="17">
        <v>32.3181431</v>
      </c>
      <c r="I42" s="17">
        <v>31.608246650000002</v>
      </c>
      <c r="J42" s="17">
        <v>24.7088897</v>
      </c>
      <c r="K42" s="17">
        <v>12.206720000000001</v>
      </c>
      <c r="L42" s="17">
        <v>23.447893149999999</v>
      </c>
      <c r="M42" s="17">
        <v>30.46940395</v>
      </c>
      <c r="N42" s="17">
        <v>15.485447349999999</v>
      </c>
      <c r="O42" s="17">
        <v>20.560034049999999</v>
      </c>
      <c r="P42" s="17">
        <v>20.161251700000001</v>
      </c>
      <c r="Q42" s="17">
        <v>15.473115399999999</v>
      </c>
      <c r="R42" s="17">
        <v>15.941181500000001</v>
      </c>
      <c r="S42" s="17">
        <v>25.177231750000001</v>
      </c>
      <c r="T42" s="17">
        <v>11.192645600000001</v>
      </c>
      <c r="U42" s="17">
        <v>20.429794900000001</v>
      </c>
      <c r="V42" s="17">
        <v>20.980813349999998</v>
      </c>
      <c r="W42" s="17">
        <v>26.941300900000002</v>
      </c>
      <c r="X42" s="17">
        <v>19.822265399999999</v>
      </c>
      <c r="Y42" s="17">
        <v>19.792535000000001</v>
      </c>
      <c r="Z42" s="17" t="s">
        <v>44</v>
      </c>
      <c r="AA42" s="17">
        <v>18.811511750000001</v>
      </c>
    </row>
    <row r="43" spans="1:27" x14ac:dyDescent="0.2">
      <c r="A43" s="17">
        <v>39</v>
      </c>
      <c r="B43" s="17">
        <v>32.595247899999997</v>
      </c>
      <c r="C43" s="17">
        <v>23.0581228</v>
      </c>
      <c r="D43" s="17">
        <v>22.426169649999999</v>
      </c>
      <c r="E43" s="17">
        <v>21.216286400000001</v>
      </c>
      <c r="F43" s="17">
        <v>19.612244799999999</v>
      </c>
      <c r="G43" s="17">
        <v>24.63262495</v>
      </c>
      <c r="H43" s="17">
        <v>19.144995600000001</v>
      </c>
      <c r="I43" s="17">
        <v>27.738046499999999</v>
      </c>
      <c r="J43" s="17">
        <v>20.69171935</v>
      </c>
      <c r="K43" s="17">
        <v>49.329463949999997</v>
      </c>
      <c r="L43" s="17">
        <v>22.541638949999999</v>
      </c>
      <c r="M43" s="17">
        <v>39.99862615</v>
      </c>
      <c r="N43" s="17">
        <v>31.933478399999998</v>
      </c>
      <c r="O43" s="17">
        <v>20.782075849999998</v>
      </c>
      <c r="P43" s="17">
        <v>12.93660395</v>
      </c>
      <c r="Q43" s="17">
        <v>17.963484000000001</v>
      </c>
      <c r="R43" s="17">
        <v>30.947364400000001</v>
      </c>
      <c r="S43" s="17">
        <v>23.11575465</v>
      </c>
      <c r="T43" s="17">
        <v>22.083028299999999</v>
      </c>
      <c r="U43" s="17">
        <v>18.249905550000001</v>
      </c>
      <c r="V43" s="17">
        <v>14.312632750000001</v>
      </c>
      <c r="W43" s="17">
        <v>39.498589350000003</v>
      </c>
      <c r="X43" s="17">
        <v>23.383899899999999</v>
      </c>
      <c r="Y43" s="17">
        <v>49.987196449999999</v>
      </c>
      <c r="Z43" s="17">
        <v>12.72254</v>
      </c>
      <c r="AA43" s="17">
        <v>28.415605549999999</v>
      </c>
    </row>
    <row r="44" spans="1:27" x14ac:dyDescent="0.2">
      <c r="A44" s="17">
        <v>40</v>
      </c>
      <c r="B44" s="17">
        <v>13.17968085</v>
      </c>
      <c r="C44" s="17">
        <v>40.982981299999999</v>
      </c>
      <c r="D44" s="17">
        <v>26.077580099999999</v>
      </c>
      <c r="E44" s="17">
        <v>35.488257050000001</v>
      </c>
      <c r="F44" s="17">
        <v>65.467610350000001</v>
      </c>
      <c r="G44" s="17">
        <v>22.59287565</v>
      </c>
      <c r="H44" s="17" t="s">
        <v>44</v>
      </c>
      <c r="I44" s="17">
        <v>25.566237149999999</v>
      </c>
      <c r="J44" s="17">
        <v>32.203772700000002</v>
      </c>
      <c r="K44" s="17">
        <v>33.098548149999999</v>
      </c>
      <c r="L44" s="17">
        <v>40.586556999999999</v>
      </c>
      <c r="M44" s="17">
        <v>32.308912149999998</v>
      </c>
      <c r="N44" s="17">
        <v>9.6774312499999997</v>
      </c>
      <c r="O44" s="17">
        <v>19.520566500000001</v>
      </c>
      <c r="P44" s="17">
        <v>12.435641049999999</v>
      </c>
      <c r="Q44" s="17">
        <v>45.052663699999997</v>
      </c>
      <c r="R44" s="17">
        <v>8.9415885999999993</v>
      </c>
      <c r="S44" s="17">
        <v>24.399615749999999</v>
      </c>
      <c r="T44" s="17">
        <v>20.705928199999999</v>
      </c>
      <c r="U44" s="17">
        <v>20.6034051</v>
      </c>
      <c r="V44" s="17">
        <v>61.921205800000003</v>
      </c>
      <c r="W44" s="17">
        <v>22.545640250000002</v>
      </c>
      <c r="X44" s="17">
        <v>14.303206100000001</v>
      </c>
      <c r="Y44" s="17">
        <v>21.037895550000002</v>
      </c>
      <c r="Z44" s="17">
        <v>32.342051300000001</v>
      </c>
      <c r="AA44" s="17">
        <v>13.5867182</v>
      </c>
    </row>
    <row r="45" spans="1:27" x14ac:dyDescent="0.2">
      <c r="A45" s="17">
        <v>41</v>
      </c>
      <c r="B45" s="17">
        <v>10.255518500000001</v>
      </c>
      <c r="C45" s="17">
        <v>28.649665500000001</v>
      </c>
      <c r="D45" s="17">
        <v>10.935786</v>
      </c>
      <c r="E45" s="17">
        <v>13.8367109</v>
      </c>
      <c r="F45" s="17">
        <v>34.687704949999997</v>
      </c>
      <c r="G45" s="17" t="s">
        <v>44</v>
      </c>
      <c r="H45" s="17">
        <v>27.99230695</v>
      </c>
      <c r="I45" s="17">
        <v>11.603025649999999</v>
      </c>
      <c r="J45" s="17">
        <v>20.5073577</v>
      </c>
      <c r="K45" s="17">
        <v>18.926352550000001</v>
      </c>
      <c r="L45" s="17">
        <v>17.870953350000001</v>
      </c>
      <c r="M45" s="17">
        <v>17.91728535</v>
      </c>
      <c r="N45" s="17">
        <v>10.9131924</v>
      </c>
      <c r="O45" s="17">
        <v>24.2004439</v>
      </c>
      <c r="P45" s="17">
        <v>17.140208350000002</v>
      </c>
      <c r="Q45" s="17" t="s">
        <v>44</v>
      </c>
      <c r="R45" s="17">
        <v>17.753113549999998</v>
      </c>
      <c r="S45" s="17">
        <v>11.689651899999999</v>
      </c>
      <c r="T45" s="17">
        <v>14.209191450000001</v>
      </c>
      <c r="U45" s="17">
        <v>12.879997599999999</v>
      </c>
      <c r="V45" s="17">
        <v>12.910989150000001</v>
      </c>
      <c r="W45" s="17">
        <v>21.038630699999999</v>
      </c>
      <c r="X45" s="17">
        <v>22.371824849999999</v>
      </c>
      <c r="Y45" s="17" t="s">
        <v>44</v>
      </c>
      <c r="Z45" s="17">
        <v>12.378558249999999</v>
      </c>
      <c r="AA45" s="17">
        <v>28.509319550000001</v>
      </c>
    </row>
    <row r="46" spans="1:27" x14ac:dyDescent="0.2">
      <c r="A46" s="17">
        <v>42</v>
      </c>
      <c r="B46" s="17" t="s">
        <v>44</v>
      </c>
      <c r="C46" s="17">
        <v>8.3187490999999998</v>
      </c>
      <c r="D46" s="17">
        <v>17.053519250000001</v>
      </c>
      <c r="E46" s="17">
        <v>13.106881550000001</v>
      </c>
      <c r="F46" s="17">
        <v>21.090338299999999</v>
      </c>
      <c r="G46" s="17">
        <v>13.167605050000001</v>
      </c>
      <c r="H46" s="17">
        <v>15.729140599999999</v>
      </c>
      <c r="I46" s="17">
        <v>24.83666075</v>
      </c>
      <c r="J46" s="17">
        <v>12.6713144</v>
      </c>
      <c r="K46" s="17">
        <v>15.338596600000001</v>
      </c>
      <c r="L46" s="17">
        <v>22.196785800000001</v>
      </c>
      <c r="M46" s="17">
        <v>29.890355199999998</v>
      </c>
      <c r="N46" s="17">
        <v>18.032834449999999</v>
      </c>
      <c r="O46" s="17">
        <v>20.052882100000001</v>
      </c>
      <c r="P46" s="17">
        <v>12.9040725</v>
      </c>
      <c r="Q46" s="17">
        <v>20.308001650000001</v>
      </c>
      <c r="R46" s="17">
        <v>12.508688299999999</v>
      </c>
      <c r="S46" s="17">
        <v>16.392130300000002</v>
      </c>
      <c r="T46" s="17">
        <v>14.119253799999999</v>
      </c>
      <c r="U46" s="17">
        <v>14.465976850000001</v>
      </c>
      <c r="V46" s="17">
        <v>14.214041699999999</v>
      </c>
      <c r="W46" s="17">
        <v>7.6904994000000002</v>
      </c>
      <c r="X46" s="17">
        <v>6.6984927000000001</v>
      </c>
      <c r="Y46" s="17">
        <v>15.15636685</v>
      </c>
      <c r="Z46" s="17">
        <v>19.853662700000001</v>
      </c>
      <c r="AA46" s="17" t="s">
        <v>44</v>
      </c>
    </row>
    <row r="47" spans="1:27" x14ac:dyDescent="0.2">
      <c r="A47" s="17">
        <v>43</v>
      </c>
      <c r="B47" s="17" t="s">
        <v>44</v>
      </c>
      <c r="C47" s="17">
        <v>21.620827500000001</v>
      </c>
      <c r="D47" s="17">
        <v>22.7896848</v>
      </c>
      <c r="E47" s="17">
        <v>13.376785549999999</v>
      </c>
      <c r="F47" s="17">
        <v>20.368366699999999</v>
      </c>
      <c r="G47" s="17">
        <v>16.925513299999999</v>
      </c>
      <c r="H47" s="17">
        <v>13.717643600000001</v>
      </c>
      <c r="I47" s="17">
        <v>31.883050900000001</v>
      </c>
      <c r="J47" s="17" t="s">
        <v>44</v>
      </c>
      <c r="K47" s="17">
        <v>15.34499405</v>
      </c>
      <c r="L47" s="17">
        <v>18.973042599999999</v>
      </c>
      <c r="M47" s="17">
        <v>29.750743199999999</v>
      </c>
      <c r="N47" s="17">
        <v>16.105668999999999</v>
      </c>
      <c r="O47" s="17">
        <v>20.8706453</v>
      </c>
      <c r="P47" s="17">
        <v>9.5517778999999994</v>
      </c>
      <c r="Q47" s="17">
        <v>39.495748149999997</v>
      </c>
      <c r="R47" s="17">
        <v>14.365204800000001</v>
      </c>
      <c r="S47" s="17">
        <v>21.017657799999999</v>
      </c>
      <c r="T47" s="17">
        <v>21.2839481</v>
      </c>
      <c r="U47" s="17">
        <v>16.379399750000001</v>
      </c>
      <c r="V47" s="17">
        <v>21.5280536</v>
      </c>
      <c r="W47" s="17">
        <v>13.97238915</v>
      </c>
      <c r="X47" s="17">
        <v>9.9443821000000003</v>
      </c>
      <c r="Y47" s="17">
        <v>8.4677350499999999</v>
      </c>
      <c r="Z47" s="17" t="s">
        <v>44</v>
      </c>
      <c r="AA47" s="17">
        <v>21.246336150000001</v>
      </c>
    </row>
    <row r="48" spans="1:27" x14ac:dyDescent="0.2">
      <c r="A48" s="17">
        <v>44</v>
      </c>
      <c r="B48" s="17" t="s">
        <v>44</v>
      </c>
      <c r="C48" s="17" t="s">
        <v>44</v>
      </c>
      <c r="D48" s="17">
        <v>17.103021399999999</v>
      </c>
      <c r="E48" s="17">
        <v>19.516439600000002</v>
      </c>
      <c r="F48" s="17">
        <v>7.3791881999999998</v>
      </c>
      <c r="G48" s="17" t="s">
        <v>44</v>
      </c>
      <c r="H48" s="17">
        <v>32.6009411</v>
      </c>
      <c r="I48" s="17">
        <v>44.325545349999999</v>
      </c>
      <c r="J48" s="17">
        <v>13.64480255</v>
      </c>
      <c r="K48" s="17">
        <v>24.305360199999999</v>
      </c>
      <c r="L48" s="17">
        <v>19.134436350000001</v>
      </c>
      <c r="M48" s="17">
        <v>8.1432467499999994</v>
      </c>
      <c r="N48" s="17" t="s">
        <v>44</v>
      </c>
      <c r="O48" s="17">
        <v>13.19337565</v>
      </c>
      <c r="P48" s="17">
        <v>14.044558800000001</v>
      </c>
      <c r="Q48" s="17">
        <v>22.772637750000001</v>
      </c>
      <c r="R48" s="17">
        <v>13.5213363</v>
      </c>
      <c r="S48" s="17">
        <v>10.718935350000001</v>
      </c>
      <c r="T48" s="17">
        <v>19.2728933</v>
      </c>
      <c r="U48" s="17">
        <v>13.376106399999999</v>
      </c>
      <c r="V48" s="17" t="s">
        <v>44</v>
      </c>
      <c r="W48" s="17" t="s">
        <v>44</v>
      </c>
      <c r="X48" s="17">
        <v>25.841049300000002</v>
      </c>
      <c r="Y48" s="17" t="s">
        <v>44</v>
      </c>
      <c r="Z48" s="17" t="s">
        <v>44</v>
      </c>
      <c r="AA48" s="17" t="s">
        <v>44</v>
      </c>
    </row>
    <row r="49" spans="1:27" x14ac:dyDescent="0.2">
      <c r="A49" s="17">
        <v>45</v>
      </c>
      <c r="B49" s="17" t="s">
        <v>44</v>
      </c>
      <c r="C49" s="17">
        <v>19.912248250000001</v>
      </c>
      <c r="D49" s="17">
        <v>11.828354900000001</v>
      </c>
      <c r="E49" s="17">
        <v>18.0862844</v>
      </c>
      <c r="F49" s="17">
        <v>11.03740385</v>
      </c>
      <c r="G49" s="17">
        <v>19.649597</v>
      </c>
      <c r="H49" s="17">
        <v>50.919639549999999</v>
      </c>
      <c r="I49" s="17">
        <v>20.937962349999999</v>
      </c>
      <c r="J49" s="17">
        <v>12.01175145</v>
      </c>
      <c r="K49" s="17">
        <v>20.2972614</v>
      </c>
      <c r="L49" s="17">
        <v>12.280780249999999</v>
      </c>
      <c r="M49" s="17">
        <v>10.090355199999999</v>
      </c>
      <c r="N49" s="17">
        <v>20.721552549999998</v>
      </c>
      <c r="O49" s="17">
        <v>19.127085000000001</v>
      </c>
      <c r="P49" s="17">
        <v>8.7946463999999995</v>
      </c>
      <c r="Q49" s="17">
        <v>18.7907504</v>
      </c>
      <c r="R49" s="17">
        <v>16.491452249999998</v>
      </c>
      <c r="S49" s="17">
        <v>13.662297049999999</v>
      </c>
      <c r="T49" s="17">
        <v>16.895898750000001</v>
      </c>
      <c r="U49" s="17">
        <v>9.8487204500000001</v>
      </c>
      <c r="V49" s="17">
        <v>14.9381912</v>
      </c>
      <c r="W49" s="17">
        <v>10.59546115</v>
      </c>
      <c r="X49" s="17">
        <v>10.162657299999999</v>
      </c>
      <c r="Y49" s="17">
        <v>13.910779099999999</v>
      </c>
      <c r="Z49" s="17">
        <v>13.38089445</v>
      </c>
      <c r="AA49" s="17">
        <v>12.2312732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9041-71E5-4F90-9866-8F596383F275}">
  <dimension ref="A1:AB49"/>
  <sheetViews>
    <sheetView zoomScaleNormal="100" workbookViewId="0">
      <selection activeCell="B5" sqref="B5:U49"/>
    </sheetView>
  </sheetViews>
  <sheetFormatPr defaultColWidth="8.625" defaultRowHeight="11.25" x14ac:dyDescent="0.2"/>
  <cols>
    <col min="1" max="1" width="8.625" style="17"/>
    <col min="2" max="2" width="8.625" style="17" customWidth="1"/>
    <col min="3" max="16384" width="8.625" style="17"/>
  </cols>
  <sheetData>
    <row r="1" spans="1:28" s="9" customFormat="1" x14ac:dyDescent="0.2">
      <c r="A1" s="9" t="s">
        <v>46</v>
      </c>
      <c r="B1" s="10">
        <v>2</v>
      </c>
      <c r="C1" s="10">
        <v>11</v>
      </c>
      <c r="D1" s="10">
        <v>12</v>
      </c>
      <c r="E1" s="10">
        <v>18</v>
      </c>
      <c r="F1" s="10">
        <v>15</v>
      </c>
      <c r="G1" s="10">
        <v>3</v>
      </c>
      <c r="H1" s="10">
        <v>20</v>
      </c>
      <c r="I1" s="10">
        <v>19</v>
      </c>
      <c r="J1" s="10">
        <v>7</v>
      </c>
      <c r="K1" s="10">
        <v>8</v>
      </c>
      <c r="L1" s="10">
        <v>1</v>
      </c>
      <c r="M1" s="10">
        <v>16</v>
      </c>
      <c r="N1" s="10">
        <v>9</v>
      </c>
      <c r="O1" s="10">
        <v>4</v>
      </c>
      <c r="P1" s="10">
        <v>5</v>
      </c>
      <c r="Q1" s="10">
        <v>13</v>
      </c>
      <c r="R1" s="10">
        <v>17</v>
      </c>
      <c r="S1" s="10">
        <v>14</v>
      </c>
      <c r="T1" s="10">
        <v>10</v>
      </c>
      <c r="U1" s="10">
        <v>6</v>
      </c>
      <c r="V1" s="10"/>
      <c r="W1" s="10"/>
      <c r="X1" s="10"/>
      <c r="Y1" s="10"/>
      <c r="Z1" s="10"/>
      <c r="AA1" s="10"/>
      <c r="AB1" s="10"/>
    </row>
    <row r="2" spans="1:28" s="9" customFormat="1" x14ac:dyDescent="0.2">
      <c r="A2" s="9" t="s">
        <v>47</v>
      </c>
      <c r="B2" s="10">
        <v>1</v>
      </c>
      <c r="C2" s="11">
        <v>2</v>
      </c>
      <c r="D2" s="11">
        <v>3</v>
      </c>
      <c r="E2" s="12">
        <v>4</v>
      </c>
      <c r="F2" s="13">
        <v>5</v>
      </c>
      <c r="G2" s="14">
        <v>6</v>
      </c>
      <c r="H2" s="10">
        <v>7</v>
      </c>
      <c r="I2" s="12">
        <v>8</v>
      </c>
      <c r="J2" s="15">
        <v>9</v>
      </c>
      <c r="K2" s="15">
        <v>10</v>
      </c>
      <c r="L2" s="16">
        <v>11</v>
      </c>
      <c r="M2" s="13">
        <v>12</v>
      </c>
      <c r="N2" s="15">
        <v>13</v>
      </c>
      <c r="O2" s="14">
        <v>14</v>
      </c>
      <c r="P2" s="14">
        <v>15</v>
      </c>
      <c r="Q2" s="11">
        <v>16</v>
      </c>
      <c r="R2" s="13">
        <v>17</v>
      </c>
      <c r="S2" s="11">
        <v>18</v>
      </c>
      <c r="T2" s="15">
        <v>19</v>
      </c>
      <c r="U2" s="14">
        <v>20</v>
      </c>
      <c r="V2" s="10">
        <v>21</v>
      </c>
      <c r="W2" s="10">
        <v>22</v>
      </c>
      <c r="X2" s="10">
        <v>23</v>
      </c>
      <c r="Y2" s="10">
        <v>24</v>
      </c>
      <c r="Z2" s="10">
        <v>25</v>
      </c>
      <c r="AA2" s="10">
        <v>26</v>
      </c>
      <c r="AB2" s="10">
        <v>27</v>
      </c>
    </row>
    <row r="3" spans="1:28" s="9" customFormat="1" x14ac:dyDescent="0.2">
      <c r="B3" s="10" t="s">
        <v>0</v>
      </c>
      <c r="C3" s="11" t="s">
        <v>2</v>
      </c>
      <c r="D3" s="11" t="s">
        <v>4</v>
      </c>
      <c r="E3" s="12" t="s">
        <v>6</v>
      </c>
      <c r="F3" s="13" t="s">
        <v>8</v>
      </c>
      <c r="G3" s="14" t="s">
        <v>10</v>
      </c>
      <c r="H3" s="10" t="s">
        <v>12</v>
      </c>
      <c r="I3" s="12" t="s">
        <v>14</v>
      </c>
      <c r="J3" s="15" t="s">
        <v>16</v>
      </c>
      <c r="K3" s="15" t="s">
        <v>18</v>
      </c>
      <c r="L3" s="16" t="s">
        <v>20</v>
      </c>
      <c r="M3" s="13" t="s">
        <v>22</v>
      </c>
      <c r="N3" s="15" t="s">
        <v>24</v>
      </c>
      <c r="O3" s="14" t="s">
        <v>26</v>
      </c>
      <c r="P3" s="14" t="s">
        <v>28</v>
      </c>
      <c r="Q3" s="11" t="s">
        <v>30</v>
      </c>
      <c r="R3" s="13" t="s">
        <v>32</v>
      </c>
      <c r="S3" s="11" t="s">
        <v>34</v>
      </c>
      <c r="T3" s="15" t="s">
        <v>36</v>
      </c>
      <c r="U3" s="14" t="s">
        <v>38</v>
      </c>
      <c r="V3" s="10"/>
      <c r="W3" s="10"/>
      <c r="X3" s="10"/>
      <c r="Y3" s="10"/>
      <c r="Z3" s="10"/>
      <c r="AA3" s="10"/>
      <c r="AB3" s="10"/>
    </row>
    <row r="4" spans="1:28" s="9" customFormat="1" ht="22.5" x14ac:dyDescent="0.2">
      <c r="A4" s="17" t="s">
        <v>45</v>
      </c>
      <c r="B4" s="10" t="s">
        <v>1</v>
      </c>
      <c r="C4" s="11" t="s">
        <v>3</v>
      </c>
      <c r="D4" s="11" t="s">
        <v>5</v>
      </c>
      <c r="E4" s="12" t="s">
        <v>7</v>
      </c>
      <c r="F4" s="13" t="s">
        <v>9</v>
      </c>
      <c r="G4" s="14" t="s">
        <v>11</v>
      </c>
      <c r="H4" s="10" t="s">
        <v>13</v>
      </c>
      <c r="I4" s="12" t="s">
        <v>15</v>
      </c>
      <c r="J4" s="15" t="s">
        <v>17</v>
      </c>
      <c r="K4" s="15" t="s">
        <v>19</v>
      </c>
      <c r="L4" s="16" t="s">
        <v>21</v>
      </c>
      <c r="M4" s="13" t="s">
        <v>23</v>
      </c>
      <c r="N4" s="15" t="s">
        <v>25</v>
      </c>
      <c r="O4" s="14" t="s">
        <v>27</v>
      </c>
      <c r="P4" s="14" t="s">
        <v>29</v>
      </c>
      <c r="Q4" s="11" t="s">
        <v>31</v>
      </c>
      <c r="R4" s="13" t="s">
        <v>33</v>
      </c>
      <c r="S4" s="11" t="s">
        <v>35</v>
      </c>
      <c r="T4" s="15" t="s">
        <v>37</v>
      </c>
      <c r="U4" s="14" t="s">
        <v>39</v>
      </c>
      <c r="V4" s="10" t="s">
        <v>42</v>
      </c>
      <c r="W4" s="10" t="s">
        <v>42</v>
      </c>
      <c r="X4" s="10" t="s">
        <v>42</v>
      </c>
      <c r="Y4" s="10" t="s">
        <v>48</v>
      </c>
      <c r="Z4" s="10" t="s">
        <v>49</v>
      </c>
      <c r="AA4" s="10" t="s">
        <v>50</v>
      </c>
      <c r="AB4" s="10" t="s">
        <v>51</v>
      </c>
    </row>
    <row r="5" spans="1:28" x14ac:dyDescent="0.2">
      <c r="A5" s="17">
        <v>1</v>
      </c>
      <c r="B5" s="17">
        <v>38.20668775</v>
      </c>
      <c r="C5" s="17">
        <v>47.675288399999999</v>
      </c>
      <c r="D5" s="17">
        <v>19.733220200000002</v>
      </c>
      <c r="E5" s="17">
        <v>14.424702849999999</v>
      </c>
      <c r="F5" s="17">
        <v>44.711462849999997</v>
      </c>
      <c r="G5" s="17">
        <v>25.174984200000001</v>
      </c>
      <c r="H5" s="17">
        <v>39.418556799999998</v>
      </c>
      <c r="I5" s="17">
        <v>17.976778849999999</v>
      </c>
      <c r="J5" s="17" t="s">
        <v>44</v>
      </c>
      <c r="K5" s="17">
        <v>46.825995949999999</v>
      </c>
      <c r="L5" s="17">
        <v>28.6922505</v>
      </c>
      <c r="M5" s="17">
        <v>25.85574905</v>
      </c>
      <c r="N5" s="17">
        <v>32.813048350000003</v>
      </c>
      <c r="O5" s="17">
        <v>49.009648149999997</v>
      </c>
      <c r="P5" s="17">
        <v>33.398409399999998</v>
      </c>
      <c r="Q5" s="17">
        <v>42.623214150000003</v>
      </c>
      <c r="R5" s="17">
        <v>23.0553092</v>
      </c>
      <c r="S5" s="17">
        <v>30.320127500000002</v>
      </c>
      <c r="T5" s="17">
        <v>24.730877</v>
      </c>
      <c r="U5" s="17">
        <v>25.93563795</v>
      </c>
      <c r="V5" s="17">
        <v>13.152070549999999</v>
      </c>
      <c r="W5" s="17">
        <v>27.39158505</v>
      </c>
      <c r="X5" s="17">
        <v>32.149800249999998</v>
      </c>
      <c r="Y5" s="17">
        <v>28.689947400000001</v>
      </c>
      <c r="Z5" s="17">
        <v>27.2239915</v>
      </c>
      <c r="AA5" s="17">
        <v>26.47947035</v>
      </c>
      <c r="AB5" s="17">
        <v>21.73386545</v>
      </c>
    </row>
    <row r="6" spans="1:28" x14ac:dyDescent="0.2">
      <c r="A6" s="17">
        <v>2</v>
      </c>
      <c r="B6" s="17">
        <v>72.740164699999994</v>
      </c>
      <c r="C6" s="17">
        <v>46.991972050000001</v>
      </c>
      <c r="D6" s="17">
        <v>68.664624500000002</v>
      </c>
      <c r="E6" s="17">
        <v>43.040871549999999</v>
      </c>
      <c r="F6" s="17">
        <v>36.752713499999999</v>
      </c>
      <c r="G6" s="17">
        <v>54.211281399999997</v>
      </c>
      <c r="H6" s="17">
        <v>56.605100049999997</v>
      </c>
      <c r="I6" s="17">
        <v>48.7748688</v>
      </c>
      <c r="J6" s="17" t="s">
        <v>44</v>
      </c>
      <c r="K6" s="17">
        <v>65.803623849999994</v>
      </c>
      <c r="L6" s="17">
        <v>58.840012899999998</v>
      </c>
      <c r="M6" s="17">
        <v>43.560328200000001</v>
      </c>
      <c r="N6" s="17">
        <v>49.516903200000002</v>
      </c>
      <c r="O6" s="17">
        <v>31.394417300000001</v>
      </c>
      <c r="P6" s="17">
        <v>31.300089549999999</v>
      </c>
      <c r="Q6" s="17">
        <v>75.436750149999995</v>
      </c>
      <c r="R6" s="17">
        <v>85.920658950000004</v>
      </c>
      <c r="S6" s="17">
        <v>69.355992099999995</v>
      </c>
      <c r="T6" s="17">
        <v>71.011344149999999</v>
      </c>
      <c r="U6" s="17">
        <v>51.944613349999997</v>
      </c>
      <c r="V6" s="17">
        <v>47.265046400000003</v>
      </c>
      <c r="W6" s="17">
        <v>43.504537200000001</v>
      </c>
      <c r="X6" s="17">
        <v>64.161237299999996</v>
      </c>
      <c r="Y6" s="17">
        <v>29.68001795</v>
      </c>
      <c r="Z6" s="17">
        <v>24.988553249999999</v>
      </c>
      <c r="AA6" s="17">
        <v>22.360324949999999</v>
      </c>
      <c r="AB6" s="17">
        <v>25.092265900000001</v>
      </c>
    </row>
    <row r="7" spans="1:28" x14ac:dyDescent="0.2">
      <c r="A7" s="17">
        <v>3</v>
      </c>
      <c r="B7" s="17">
        <v>51.740724350000001</v>
      </c>
      <c r="C7" s="17">
        <v>20.632791000000001</v>
      </c>
      <c r="D7" s="17">
        <v>67.1902951</v>
      </c>
      <c r="E7" s="17">
        <v>32.064035850000003</v>
      </c>
      <c r="F7" s="17">
        <v>22.9558705</v>
      </c>
      <c r="G7" s="17">
        <v>25.1244212</v>
      </c>
      <c r="H7" s="17">
        <v>45.440910600000002</v>
      </c>
      <c r="I7" s="17">
        <v>41.404669849999998</v>
      </c>
      <c r="J7" s="17" t="s">
        <v>44</v>
      </c>
      <c r="K7" s="17">
        <v>31.791321549999999</v>
      </c>
      <c r="L7" s="17">
        <v>50.311763200000001</v>
      </c>
      <c r="M7" s="17">
        <v>34.968620850000001</v>
      </c>
      <c r="N7" s="17">
        <v>59.766499949999996</v>
      </c>
      <c r="O7" s="17">
        <v>22.571882649999999</v>
      </c>
      <c r="P7" s="17">
        <v>23.76394745</v>
      </c>
      <c r="Q7" s="17">
        <v>13.3772947</v>
      </c>
      <c r="R7" s="17">
        <v>25.072168649999998</v>
      </c>
      <c r="S7" s="17">
        <v>33.4121594</v>
      </c>
      <c r="T7" s="17">
        <v>32.092266299999999</v>
      </c>
      <c r="U7" s="17">
        <v>41.0008257</v>
      </c>
      <c r="V7" s="17">
        <v>53.564644299999998</v>
      </c>
      <c r="W7" s="17">
        <v>27.592593900000001</v>
      </c>
      <c r="X7" s="17">
        <v>38.504036050000003</v>
      </c>
      <c r="Y7" s="17">
        <v>26.983749799999998</v>
      </c>
      <c r="Z7" s="17">
        <v>27.462734950000002</v>
      </c>
      <c r="AA7" s="17">
        <v>18.1665718</v>
      </c>
      <c r="AB7" s="17">
        <v>35.600131599999997</v>
      </c>
    </row>
    <row r="8" spans="1:28" x14ac:dyDescent="0.2">
      <c r="A8" s="17">
        <v>4</v>
      </c>
      <c r="B8" s="17">
        <v>17.245208300000002</v>
      </c>
      <c r="C8" s="17">
        <v>12.8199258</v>
      </c>
      <c r="D8" s="17">
        <v>37.381076649999997</v>
      </c>
      <c r="E8" s="17">
        <v>15.2198084</v>
      </c>
      <c r="F8" s="17">
        <v>17.4171309</v>
      </c>
      <c r="G8" s="17">
        <v>16.196426899999999</v>
      </c>
      <c r="H8" s="17">
        <v>21.680430049999998</v>
      </c>
      <c r="I8" s="17">
        <v>20.38485545</v>
      </c>
      <c r="J8" s="17">
        <v>24.2686156</v>
      </c>
      <c r="K8" s="17">
        <v>27.827801950000001</v>
      </c>
      <c r="L8" s="17">
        <v>17.276072800000001</v>
      </c>
      <c r="M8" s="17">
        <v>19.30294185</v>
      </c>
      <c r="N8" s="17">
        <v>39.819811100000003</v>
      </c>
      <c r="O8" s="17">
        <v>19.080583000000001</v>
      </c>
      <c r="P8" s="17">
        <v>19.564796950000002</v>
      </c>
      <c r="Q8" s="17">
        <v>14.320591950000001</v>
      </c>
      <c r="R8" s="17">
        <v>24.797306599999999</v>
      </c>
      <c r="S8" s="17">
        <v>36.932287700000003</v>
      </c>
      <c r="T8" s="17">
        <v>39.344089400000001</v>
      </c>
      <c r="U8" s="17">
        <v>42.123220699999997</v>
      </c>
      <c r="V8" s="17">
        <v>29.085607299999999</v>
      </c>
      <c r="W8" s="17">
        <v>51.355814000000002</v>
      </c>
      <c r="X8" s="17" t="s">
        <v>44</v>
      </c>
      <c r="Y8" s="17">
        <v>15.7006727</v>
      </c>
      <c r="Z8" s="17">
        <v>22.0319635</v>
      </c>
      <c r="AA8" s="17">
        <v>14.1924995</v>
      </c>
      <c r="AB8" s="17">
        <v>13.060630099999999</v>
      </c>
    </row>
    <row r="9" spans="1:28" x14ac:dyDescent="0.2">
      <c r="A9" s="17">
        <v>5</v>
      </c>
      <c r="B9" s="17">
        <v>29.4738933</v>
      </c>
      <c r="C9" s="17">
        <v>29.989141350000001</v>
      </c>
      <c r="D9" s="17" t="s">
        <v>44</v>
      </c>
      <c r="E9" s="17">
        <v>37.506886700000003</v>
      </c>
      <c r="F9" s="17">
        <v>33.410336700000002</v>
      </c>
      <c r="G9" s="17">
        <v>11.6213307</v>
      </c>
      <c r="H9" s="17">
        <v>32.939647700000002</v>
      </c>
      <c r="I9" s="17">
        <v>17.10398485</v>
      </c>
      <c r="J9" s="17" t="s">
        <v>44</v>
      </c>
      <c r="K9" s="17" t="s">
        <v>44</v>
      </c>
      <c r="L9" s="17" t="s">
        <v>44</v>
      </c>
      <c r="M9" s="17">
        <v>16.442346650000001</v>
      </c>
      <c r="N9" s="17">
        <v>48.4913667</v>
      </c>
      <c r="O9" s="17">
        <v>35.266502500000001</v>
      </c>
      <c r="P9" s="17">
        <v>30.085852800000001</v>
      </c>
      <c r="Q9" s="17">
        <v>24.0349909</v>
      </c>
      <c r="R9" s="17">
        <v>28.807449900000002</v>
      </c>
      <c r="S9" s="17" t="s">
        <v>44</v>
      </c>
      <c r="T9" s="17">
        <v>32.399267600000002</v>
      </c>
      <c r="U9" s="17">
        <v>10.5390199</v>
      </c>
      <c r="V9" s="17">
        <v>26.775055099999999</v>
      </c>
      <c r="W9" s="17">
        <v>32.470396649999998</v>
      </c>
      <c r="X9" s="17">
        <v>17.276204</v>
      </c>
      <c r="Y9" s="17">
        <v>8.37825445</v>
      </c>
      <c r="Z9" s="17">
        <v>24.1118883</v>
      </c>
      <c r="AA9" s="17">
        <v>9.7378219999999995</v>
      </c>
      <c r="AB9" s="17">
        <v>14.44042645</v>
      </c>
    </row>
    <row r="10" spans="1:28" x14ac:dyDescent="0.2">
      <c r="A10" s="17">
        <v>6</v>
      </c>
      <c r="B10" s="17">
        <v>25.0672797</v>
      </c>
      <c r="C10" s="17">
        <v>22.202495800000001</v>
      </c>
      <c r="D10" s="17">
        <v>16.677281399999998</v>
      </c>
      <c r="E10" s="17">
        <v>17.676050249999999</v>
      </c>
      <c r="F10" s="17">
        <v>14.7209486</v>
      </c>
      <c r="G10" s="17">
        <v>16.580590099999998</v>
      </c>
      <c r="H10" s="17">
        <v>26.812285599999999</v>
      </c>
      <c r="I10" s="17">
        <v>12.564030450000001</v>
      </c>
      <c r="J10" s="17">
        <v>77.359773050000001</v>
      </c>
      <c r="K10" s="17">
        <v>9.8284061000000005</v>
      </c>
      <c r="L10" s="17" t="s">
        <v>44</v>
      </c>
      <c r="M10" s="17">
        <v>14.62021805</v>
      </c>
      <c r="N10" s="17">
        <v>16.137794800000002</v>
      </c>
      <c r="O10" s="17">
        <v>15.186114</v>
      </c>
      <c r="P10" s="17">
        <v>7.1645507999999998</v>
      </c>
      <c r="Q10" s="17">
        <v>30.8355009</v>
      </c>
      <c r="R10" s="17">
        <v>27.2850492</v>
      </c>
      <c r="S10" s="17">
        <v>20.440329200000001</v>
      </c>
      <c r="T10" s="17">
        <v>33.496857300000002</v>
      </c>
      <c r="U10" s="17">
        <v>13.80499285</v>
      </c>
      <c r="V10" s="17">
        <v>20.265080999999999</v>
      </c>
      <c r="W10" s="17">
        <v>21.163729150000002</v>
      </c>
      <c r="X10" s="17">
        <v>20.788357850000001</v>
      </c>
      <c r="Y10" s="17" t="s">
        <v>44</v>
      </c>
      <c r="Z10" s="17">
        <v>22.720309499999999</v>
      </c>
      <c r="AA10" s="17">
        <v>12.348113850000001</v>
      </c>
      <c r="AB10" s="17">
        <v>9.5928301000000005</v>
      </c>
    </row>
    <row r="11" spans="1:28" x14ac:dyDescent="0.2">
      <c r="A11" s="17">
        <v>7</v>
      </c>
      <c r="B11" s="17">
        <v>23.452485599999999</v>
      </c>
      <c r="C11" s="17">
        <v>18.1760743</v>
      </c>
      <c r="D11" s="17">
        <v>33.920562250000003</v>
      </c>
      <c r="E11" s="17">
        <v>35.875543200000003</v>
      </c>
      <c r="F11" s="17">
        <v>16.436312000000001</v>
      </c>
      <c r="G11" s="17">
        <v>31.696590050000001</v>
      </c>
      <c r="H11" s="17">
        <v>21.311546700000001</v>
      </c>
      <c r="I11" s="17">
        <v>20.127258300000001</v>
      </c>
      <c r="J11" s="17">
        <v>17.46229795</v>
      </c>
      <c r="K11" s="17">
        <v>36.726058399999999</v>
      </c>
      <c r="L11" s="17">
        <v>32.868564849999999</v>
      </c>
      <c r="M11" s="17">
        <v>20.424002600000001</v>
      </c>
      <c r="N11" s="17">
        <v>35.283918900000003</v>
      </c>
      <c r="O11" s="17">
        <v>22.776893900000001</v>
      </c>
      <c r="P11" s="17">
        <v>16.856828799999999</v>
      </c>
      <c r="Q11" s="17">
        <v>31.183818299999999</v>
      </c>
      <c r="R11" s="17">
        <v>24.273724000000001</v>
      </c>
      <c r="S11" s="17">
        <v>30.168523199999999</v>
      </c>
      <c r="T11" s="17">
        <v>34.5908017</v>
      </c>
      <c r="U11" s="17">
        <v>27.26108095</v>
      </c>
      <c r="V11" s="17">
        <v>26.187935899999999</v>
      </c>
      <c r="W11" s="17">
        <v>24.6994629</v>
      </c>
      <c r="X11" s="17">
        <v>36.504057600000003</v>
      </c>
      <c r="Y11" s="17">
        <v>22.0915128</v>
      </c>
      <c r="Z11" s="17">
        <v>31.135523500000001</v>
      </c>
      <c r="AA11" s="17">
        <v>15.803286050000001</v>
      </c>
      <c r="AB11" s="17">
        <v>19.38015205</v>
      </c>
    </row>
    <row r="12" spans="1:28" x14ac:dyDescent="0.2">
      <c r="A12" s="17">
        <v>8</v>
      </c>
      <c r="B12" s="17">
        <v>22.086462000000001</v>
      </c>
      <c r="C12" s="17">
        <v>29.5993277</v>
      </c>
      <c r="D12" s="17">
        <v>24.5799463</v>
      </c>
      <c r="E12" s="17">
        <v>45.35954435</v>
      </c>
      <c r="F12" s="17">
        <v>37.778735750000003</v>
      </c>
      <c r="G12" s="17">
        <v>18.47679595</v>
      </c>
      <c r="H12" s="17">
        <v>18.328190849999999</v>
      </c>
      <c r="I12" s="17">
        <v>37.491414200000001</v>
      </c>
      <c r="J12" s="17">
        <v>32.152321499999999</v>
      </c>
      <c r="K12" s="17">
        <v>32.640902349999998</v>
      </c>
      <c r="L12" s="17">
        <v>21.609192499999999</v>
      </c>
      <c r="M12" s="17">
        <v>26.980229349999998</v>
      </c>
      <c r="N12" s="17">
        <v>17.341780700000001</v>
      </c>
      <c r="O12" s="17">
        <v>16.172525650000001</v>
      </c>
      <c r="P12" s="17">
        <v>24.82890385</v>
      </c>
      <c r="Q12" s="17">
        <v>22.5129166</v>
      </c>
      <c r="R12" s="17">
        <v>27.674406749999999</v>
      </c>
      <c r="S12" s="17">
        <v>26.1216005</v>
      </c>
      <c r="T12" s="17">
        <v>15.676197050000001</v>
      </c>
      <c r="U12" s="17">
        <v>26.504460850000001</v>
      </c>
      <c r="V12" s="17">
        <v>16.3724436</v>
      </c>
      <c r="W12" s="17">
        <v>37.559955899999999</v>
      </c>
      <c r="X12" s="17">
        <v>24.712378999999999</v>
      </c>
      <c r="Y12" s="17">
        <v>19.473099250000001</v>
      </c>
      <c r="Z12" s="17">
        <v>31.021138199999999</v>
      </c>
      <c r="AA12" s="17">
        <v>38.55214075</v>
      </c>
      <c r="AB12" s="17">
        <v>51.663837899999997</v>
      </c>
    </row>
    <row r="13" spans="1:28" x14ac:dyDescent="0.2">
      <c r="A13" s="17">
        <v>9</v>
      </c>
      <c r="B13" s="17">
        <v>33.019847900000002</v>
      </c>
      <c r="C13" s="17">
        <v>73.562624</v>
      </c>
      <c r="D13" s="17" t="s">
        <v>44</v>
      </c>
      <c r="E13" s="17">
        <v>24.036362799999999</v>
      </c>
      <c r="F13" s="17">
        <v>19.555843400000001</v>
      </c>
      <c r="G13" s="17">
        <v>51.364388099999999</v>
      </c>
      <c r="H13" s="17">
        <v>40.764226549999997</v>
      </c>
      <c r="I13" s="17">
        <v>30.5283607</v>
      </c>
      <c r="J13" s="17">
        <v>27.253917749999999</v>
      </c>
      <c r="K13" s="17">
        <v>35.720956950000001</v>
      </c>
      <c r="L13" s="17" t="s">
        <v>44</v>
      </c>
      <c r="M13" s="17">
        <v>34.892651549999997</v>
      </c>
      <c r="N13" s="17">
        <v>25.408404350000001</v>
      </c>
      <c r="O13" s="17">
        <v>21.420750999999999</v>
      </c>
      <c r="P13" s="17">
        <v>43.350472099999998</v>
      </c>
      <c r="Q13" s="17">
        <v>26.129019249999999</v>
      </c>
      <c r="R13" s="17">
        <v>57.645793349999998</v>
      </c>
      <c r="S13" s="17">
        <v>30.572023300000001</v>
      </c>
      <c r="T13" s="17">
        <v>43.805826000000003</v>
      </c>
      <c r="U13" s="17">
        <v>18.686510200000001</v>
      </c>
      <c r="V13" s="17">
        <v>69.797370400000005</v>
      </c>
      <c r="W13" s="17">
        <v>31.6925667</v>
      </c>
      <c r="X13" s="17">
        <v>46.442041600000003</v>
      </c>
      <c r="Y13" s="17" t="s">
        <v>44</v>
      </c>
      <c r="Z13" s="17" t="s">
        <v>44</v>
      </c>
      <c r="AA13" s="17" t="s">
        <v>44</v>
      </c>
      <c r="AB13" s="17" t="s">
        <v>44</v>
      </c>
    </row>
    <row r="14" spans="1:28" x14ac:dyDescent="0.2">
      <c r="A14" s="17">
        <v>10</v>
      </c>
      <c r="B14" s="17">
        <v>17.411739600000001</v>
      </c>
      <c r="C14" s="17">
        <v>67.119943849999999</v>
      </c>
      <c r="D14" s="17">
        <v>109.23630025</v>
      </c>
      <c r="E14" s="17">
        <v>20.208807199999999</v>
      </c>
      <c r="F14" s="17">
        <v>41.6889222</v>
      </c>
      <c r="G14" s="17">
        <v>59.100399549999999</v>
      </c>
      <c r="H14" s="17">
        <v>75.430952849999997</v>
      </c>
      <c r="I14" s="17">
        <v>24.625219999999999</v>
      </c>
      <c r="J14" s="17" t="s">
        <v>44</v>
      </c>
      <c r="K14" s="17">
        <v>36.355797500000001</v>
      </c>
      <c r="L14" s="17">
        <v>40.687138300000001</v>
      </c>
      <c r="M14" s="17">
        <v>34.256655100000003</v>
      </c>
      <c r="N14" s="17">
        <v>24.356542350000002</v>
      </c>
      <c r="O14" s="17">
        <v>26.54436535</v>
      </c>
      <c r="P14" s="17">
        <v>19.466061249999999</v>
      </c>
      <c r="Q14" s="17">
        <v>49.356958300000002</v>
      </c>
      <c r="R14" s="17">
        <v>55.25617115</v>
      </c>
      <c r="S14" s="17">
        <v>33.62045775</v>
      </c>
      <c r="T14" s="17">
        <v>48.985548950000002</v>
      </c>
      <c r="U14" s="17">
        <v>45.145413599999998</v>
      </c>
      <c r="V14" s="17">
        <v>27.072524550000001</v>
      </c>
      <c r="W14" s="17">
        <v>22.416020899999999</v>
      </c>
      <c r="X14" s="17">
        <v>15.7876408</v>
      </c>
      <c r="Y14" s="17">
        <v>17.38340415</v>
      </c>
      <c r="Z14" s="17">
        <v>31.6009745</v>
      </c>
      <c r="AA14" s="17">
        <v>25.5806279</v>
      </c>
      <c r="AB14" s="17">
        <v>34.839452000000001</v>
      </c>
    </row>
    <row r="15" spans="1:28" x14ac:dyDescent="0.2">
      <c r="A15" s="17">
        <v>11</v>
      </c>
      <c r="B15" s="17">
        <v>42.6279398</v>
      </c>
      <c r="C15" s="17">
        <v>26.89717065</v>
      </c>
      <c r="D15" s="17">
        <v>30.2686113</v>
      </c>
      <c r="E15" s="17">
        <v>20.647605349999999</v>
      </c>
      <c r="F15" s="17">
        <v>14.384463999999999</v>
      </c>
      <c r="G15" s="17">
        <v>41.453392999999998</v>
      </c>
      <c r="H15" s="17">
        <v>41.772085300000001</v>
      </c>
      <c r="I15" s="17">
        <v>27.600289799999999</v>
      </c>
      <c r="J15" s="17">
        <v>33.044936200000002</v>
      </c>
      <c r="K15" s="17">
        <v>38.428578250000001</v>
      </c>
      <c r="L15" s="17">
        <v>25.529126349999999</v>
      </c>
      <c r="M15" s="17">
        <v>24.81117205</v>
      </c>
      <c r="N15" s="17">
        <v>27.350819699999999</v>
      </c>
      <c r="O15" s="17">
        <v>28.945027100000001</v>
      </c>
      <c r="P15" s="17">
        <v>16.045311699999999</v>
      </c>
      <c r="Q15" s="17">
        <v>32.532204200000002</v>
      </c>
      <c r="R15" s="17">
        <v>19.70083245</v>
      </c>
      <c r="S15" s="17">
        <v>37.391459599999997</v>
      </c>
      <c r="T15" s="17">
        <v>33.55297375</v>
      </c>
      <c r="U15" s="17">
        <v>29.932335949999999</v>
      </c>
      <c r="V15" s="17">
        <v>25.644249899999998</v>
      </c>
      <c r="W15" s="17">
        <v>35.917504600000001</v>
      </c>
      <c r="X15" s="17">
        <v>63.747937</v>
      </c>
      <c r="Y15" s="17">
        <v>45.732319400000002</v>
      </c>
      <c r="Z15" s="17">
        <v>49.952657100000003</v>
      </c>
      <c r="AA15" s="17">
        <v>22.400093049999999</v>
      </c>
      <c r="AB15" s="17">
        <v>27.7492561</v>
      </c>
    </row>
    <row r="16" spans="1:28" x14ac:dyDescent="0.2">
      <c r="A16" s="17">
        <v>12</v>
      </c>
      <c r="B16" s="17">
        <v>11.949572399999999</v>
      </c>
      <c r="C16" s="17">
        <v>15.69235555</v>
      </c>
      <c r="D16" s="17">
        <v>20.536139800000001</v>
      </c>
      <c r="E16" s="17">
        <v>28.088944349999998</v>
      </c>
      <c r="F16" s="17">
        <v>19.251354249999999</v>
      </c>
      <c r="G16" s="17">
        <v>10.771826799999999</v>
      </c>
      <c r="H16" s="17">
        <v>13.3644801</v>
      </c>
      <c r="I16" s="17">
        <v>13.90460105</v>
      </c>
      <c r="J16" s="17">
        <v>20.01649115</v>
      </c>
      <c r="K16" s="17">
        <v>23.967983149999998</v>
      </c>
      <c r="L16" s="17">
        <v>26.504217199999999</v>
      </c>
      <c r="M16" s="17">
        <v>16.245839499999999</v>
      </c>
      <c r="N16" s="17">
        <v>17.964513499999999</v>
      </c>
      <c r="O16" s="17">
        <v>9.3732556000000002</v>
      </c>
      <c r="P16" s="17">
        <v>10.472494749999999</v>
      </c>
      <c r="Q16" s="17">
        <v>11.35297965</v>
      </c>
      <c r="R16" s="17">
        <v>18.993485199999999</v>
      </c>
      <c r="S16" s="17">
        <v>12.68119345</v>
      </c>
      <c r="T16" s="17">
        <v>13.648972000000001</v>
      </c>
      <c r="U16" s="17">
        <v>16.225170200000001</v>
      </c>
      <c r="V16" s="17">
        <v>35.992798450000002</v>
      </c>
      <c r="W16" s="17">
        <v>22.428613500000001</v>
      </c>
      <c r="X16" s="17">
        <v>24.484983</v>
      </c>
      <c r="Y16" s="17">
        <v>28.886495799999999</v>
      </c>
      <c r="Z16" s="17">
        <v>21.855722249999999</v>
      </c>
      <c r="AA16" s="17">
        <v>13.124693300000001</v>
      </c>
      <c r="AB16" s="17">
        <v>18.1924286</v>
      </c>
    </row>
    <row r="17" spans="1:28" x14ac:dyDescent="0.2">
      <c r="A17" s="17">
        <v>13</v>
      </c>
      <c r="B17" s="17" t="s">
        <v>44</v>
      </c>
      <c r="C17" s="17">
        <v>28.378798</v>
      </c>
      <c r="D17" s="17">
        <v>24.329599000000002</v>
      </c>
      <c r="E17" s="17">
        <v>20.273478149999999</v>
      </c>
      <c r="F17" s="17">
        <v>27.48738865</v>
      </c>
      <c r="G17" s="17">
        <v>35.404642899999999</v>
      </c>
      <c r="H17" s="17">
        <v>20.875385000000001</v>
      </c>
      <c r="I17" s="17">
        <v>24.310549900000002</v>
      </c>
      <c r="J17" s="17">
        <v>36.110556950000003</v>
      </c>
      <c r="K17" s="17">
        <v>31.708590950000001</v>
      </c>
      <c r="L17" s="17">
        <v>24.323404700000001</v>
      </c>
      <c r="M17" s="17">
        <v>29.052556500000001</v>
      </c>
      <c r="N17" s="17">
        <v>23.65065865</v>
      </c>
      <c r="O17" s="17" t="s">
        <v>44</v>
      </c>
      <c r="P17" s="17">
        <v>14.629212300000001</v>
      </c>
      <c r="Q17" s="17">
        <v>24.625783699999999</v>
      </c>
      <c r="R17" s="17">
        <v>40.379007049999998</v>
      </c>
      <c r="S17" s="17">
        <v>24.996233849999999</v>
      </c>
      <c r="T17" s="17">
        <v>23.9262105</v>
      </c>
      <c r="U17" s="17">
        <v>24.416054500000001</v>
      </c>
      <c r="V17" s="17">
        <v>39.671220949999999</v>
      </c>
      <c r="W17" s="17">
        <v>39.023626100000001</v>
      </c>
      <c r="X17" s="17" t="s">
        <v>44</v>
      </c>
      <c r="Y17" s="17">
        <v>11.317802950000001</v>
      </c>
      <c r="Z17" s="17">
        <v>24.015329900000001</v>
      </c>
      <c r="AA17" s="17">
        <v>14.2705012</v>
      </c>
      <c r="AB17" s="17">
        <v>16.6870935</v>
      </c>
    </row>
    <row r="18" spans="1:28" x14ac:dyDescent="0.2">
      <c r="A18" s="17">
        <v>14</v>
      </c>
      <c r="B18" s="17">
        <v>11.06859455</v>
      </c>
      <c r="C18" s="17">
        <v>35.10868335</v>
      </c>
      <c r="D18" s="17">
        <v>37.716909700000002</v>
      </c>
      <c r="E18" s="17">
        <v>16.104935000000001</v>
      </c>
      <c r="F18" s="17">
        <v>18.110368749999999</v>
      </c>
      <c r="G18" s="17">
        <v>32.889495549999999</v>
      </c>
      <c r="H18" s="17">
        <v>22.976266500000001</v>
      </c>
      <c r="I18" s="17">
        <v>22.854089850000001</v>
      </c>
      <c r="J18" s="17" t="s">
        <v>44</v>
      </c>
      <c r="K18" s="17">
        <v>30.704584149999999</v>
      </c>
      <c r="L18" s="17">
        <v>16.7171658</v>
      </c>
      <c r="M18" s="17">
        <v>19.8573953</v>
      </c>
      <c r="N18" s="17">
        <v>32.779478900000001</v>
      </c>
      <c r="O18" s="17">
        <v>26.277009400000001</v>
      </c>
      <c r="P18" s="17">
        <v>12.57670495</v>
      </c>
      <c r="Q18" s="17">
        <v>27.699435149999999</v>
      </c>
      <c r="R18" s="17">
        <v>42.252627099999998</v>
      </c>
      <c r="S18" s="17">
        <v>32.68449665</v>
      </c>
      <c r="T18" s="17">
        <v>35.62877005</v>
      </c>
      <c r="U18" s="17">
        <v>32.623769899999999</v>
      </c>
      <c r="V18" s="17">
        <v>35.984729950000002</v>
      </c>
      <c r="W18" s="17">
        <v>32.068032950000003</v>
      </c>
      <c r="X18" s="17">
        <v>14.689327949999999</v>
      </c>
      <c r="Y18" s="17">
        <v>20.9128525</v>
      </c>
      <c r="Z18" s="17">
        <v>20.3572068</v>
      </c>
      <c r="AA18" s="17">
        <v>12.9327296</v>
      </c>
      <c r="AB18" s="17">
        <v>14.6279576</v>
      </c>
    </row>
    <row r="19" spans="1:28" x14ac:dyDescent="0.2">
      <c r="A19" s="17">
        <v>15</v>
      </c>
      <c r="B19" s="17">
        <v>45.976841800000003</v>
      </c>
      <c r="C19" s="17">
        <v>35.789273350000002</v>
      </c>
      <c r="D19" s="17">
        <v>50.920175399999998</v>
      </c>
      <c r="E19" s="17">
        <v>42.064846350000003</v>
      </c>
      <c r="F19" s="17">
        <v>45.660862049999999</v>
      </c>
      <c r="G19" s="17">
        <v>36.765167400000003</v>
      </c>
      <c r="H19" s="17">
        <v>69.203802949999996</v>
      </c>
      <c r="I19" s="17">
        <v>50.661210699999998</v>
      </c>
      <c r="J19" s="17">
        <v>82.940272699999994</v>
      </c>
      <c r="K19" s="17">
        <v>38.033775149999997</v>
      </c>
      <c r="L19" s="17">
        <v>33.137006200000002</v>
      </c>
      <c r="M19" s="17">
        <v>51.228744499999998</v>
      </c>
      <c r="N19" s="17">
        <v>18.696665500000002</v>
      </c>
      <c r="O19" s="17">
        <v>37.012330200000001</v>
      </c>
      <c r="P19" s="17">
        <v>33.048703349999997</v>
      </c>
      <c r="Q19" s="17">
        <v>34.513366699999999</v>
      </c>
      <c r="R19" s="17">
        <v>52.094962850000002</v>
      </c>
      <c r="S19" s="17">
        <v>30.104908099999999</v>
      </c>
      <c r="T19" s="17">
        <v>39.25240865</v>
      </c>
      <c r="U19" s="17">
        <v>18.969238099999998</v>
      </c>
      <c r="V19" s="17">
        <v>65.756365349999996</v>
      </c>
      <c r="W19" s="17">
        <v>124.08456085</v>
      </c>
      <c r="X19" s="17">
        <v>69.544215149999999</v>
      </c>
      <c r="Y19" s="17">
        <v>16.932937500000001</v>
      </c>
      <c r="Z19" s="17">
        <v>13.1719922</v>
      </c>
      <c r="AA19" s="17">
        <v>7.6256268499999997</v>
      </c>
      <c r="AB19" s="17">
        <v>13.096161199999999</v>
      </c>
    </row>
    <row r="20" spans="1:28" x14ac:dyDescent="0.2">
      <c r="A20" s="17">
        <v>16</v>
      </c>
      <c r="B20" s="17">
        <v>30.764660500000002</v>
      </c>
      <c r="C20" s="17">
        <v>27.412245200000001</v>
      </c>
      <c r="D20" s="17">
        <v>44.180895649999997</v>
      </c>
      <c r="E20" s="17">
        <v>35.923051600000001</v>
      </c>
      <c r="F20" s="17">
        <v>34.048448749999999</v>
      </c>
      <c r="G20" s="17">
        <v>53.207326449999996</v>
      </c>
      <c r="H20" s="17">
        <v>48.992179100000001</v>
      </c>
      <c r="I20" s="17">
        <v>35.605217449999998</v>
      </c>
      <c r="J20" s="17">
        <v>77.235978250000002</v>
      </c>
      <c r="K20" s="17">
        <v>74.589711399999999</v>
      </c>
      <c r="L20" s="17">
        <v>54.458091500000002</v>
      </c>
      <c r="M20" s="17">
        <v>45.241633350000001</v>
      </c>
      <c r="N20" s="17">
        <v>72.077327400000001</v>
      </c>
      <c r="O20" s="17">
        <v>26.800930449999999</v>
      </c>
      <c r="P20" s="17">
        <v>21.517485000000001</v>
      </c>
      <c r="Q20" s="17">
        <v>27.7716274</v>
      </c>
      <c r="R20" s="17">
        <v>46.734401099999999</v>
      </c>
      <c r="S20" s="17">
        <v>66.228339599999998</v>
      </c>
      <c r="T20" s="17">
        <v>109.46444575</v>
      </c>
      <c r="U20" s="17">
        <v>48.76584725</v>
      </c>
      <c r="V20" s="17">
        <v>48.883916499999998</v>
      </c>
      <c r="W20" s="17">
        <v>33.524914199999998</v>
      </c>
      <c r="X20" s="17">
        <v>84.660275049999996</v>
      </c>
      <c r="Y20" s="17">
        <v>53.245617549999999</v>
      </c>
      <c r="Z20" s="17">
        <v>62.724395450000003</v>
      </c>
      <c r="AA20" s="17">
        <v>18.8595276</v>
      </c>
      <c r="AB20" s="17">
        <v>26.36126075</v>
      </c>
    </row>
    <row r="21" spans="1:28" x14ac:dyDescent="0.2">
      <c r="A21" s="17">
        <v>17</v>
      </c>
      <c r="B21" s="17">
        <v>43.900269600000001</v>
      </c>
      <c r="C21" s="17">
        <v>18.2278208</v>
      </c>
      <c r="D21" s="17">
        <v>27.940111649999999</v>
      </c>
      <c r="E21" s="17">
        <v>12.732486700000001</v>
      </c>
      <c r="F21" s="17">
        <v>49.833622200000001</v>
      </c>
      <c r="G21" s="17">
        <v>16.866886300000001</v>
      </c>
      <c r="H21" s="17">
        <v>43.365817800000002</v>
      </c>
      <c r="I21" s="17">
        <v>49.036369800000003</v>
      </c>
      <c r="J21" s="17" t="s">
        <v>44</v>
      </c>
      <c r="K21" s="17">
        <v>25.5519943</v>
      </c>
      <c r="L21" s="17">
        <v>42.109480900000001</v>
      </c>
      <c r="M21" s="17">
        <v>31.895349400000001</v>
      </c>
      <c r="N21" s="17">
        <v>28.600688300000002</v>
      </c>
      <c r="O21" s="17">
        <v>40.416385400000003</v>
      </c>
      <c r="P21" s="17">
        <v>19.865438900000001</v>
      </c>
      <c r="Q21" s="17">
        <v>34.063271999999998</v>
      </c>
      <c r="R21" s="17">
        <v>34.329256800000003</v>
      </c>
      <c r="S21" s="17">
        <v>64.36393735</v>
      </c>
      <c r="T21" s="17">
        <v>38.403602200000002</v>
      </c>
      <c r="U21" s="17">
        <v>28.884049999999998</v>
      </c>
      <c r="V21" s="17">
        <v>26.8125824</v>
      </c>
      <c r="W21" s="17">
        <v>33.737198200000002</v>
      </c>
      <c r="X21" s="17">
        <v>24.500767199999999</v>
      </c>
      <c r="Y21" s="17">
        <v>25.851685499999999</v>
      </c>
      <c r="Z21" s="17">
        <v>73.696141350000005</v>
      </c>
      <c r="AA21" s="17">
        <v>32.3890745</v>
      </c>
      <c r="AB21" s="17">
        <v>31.256499699999999</v>
      </c>
    </row>
    <row r="22" spans="1:28" x14ac:dyDescent="0.2">
      <c r="A22" s="17">
        <v>18</v>
      </c>
      <c r="B22" s="17">
        <v>9.9795791999999999</v>
      </c>
      <c r="C22" s="17">
        <v>54.226577399999996</v>
      </c>
      <c r="D22" s="17">
        <v>23.423579149999998</v>
      </c>
      <c r="E22" s="17">
        <v>57.295661099999997</v>
      </c>
      <c r="F22" s="17">
        <v>12.5470694</v>
      </c>
      <c r="G22" s="17" t="s">
        <v>44</v>
      </c>
      <c r="H22" s="17">
        <v>33.132539149999999</v>
      </c>
      <c r="I22" s="17">
        <v>34.366857299999999</v>
      </c>
      <c r="J22" s="17" t="s">
        <v>44</v>
      </c>
      <c r="K22" s="17">
        <v>75.04310065</v>
      </c>
      <c r="L22" s="17">
        <v>57.3456969</v>
      </c>
      <c r="M22" s="17">
        <v>38.203082100000003</v>
      </c>
      <c r="N22" s="17">
        <v>63.993386999999998</v>
      </c>
      <c r="O22" s="17">
        <v>36.122382999999999</v>
      </c>
      <c r="P22" s="17">
        <v>24.506738299999999</v>
      </c>
      <c r="Q22" s="17">
        <v>46.482868949999997</v>
      </c>
      <c r="R22" s="17">
        <v>60.995522100000002</v>
      </c>
      <c r="S22" s="17">
        <v>50.066944700000001</v>
      </c>
      <c r="T22" s="17" t="s">
        <v>44</v>
      </c>
      <c r="U22" s="17">
        <v>46.443723349999999</v>
      </c>
      <c r="V22" s="17">
        <v>30.302980099999999</v>
      </c>
      <c r="W22" s="17">
        <v>51.034407799999997</v>
      </c>
      <c r="X22" s="17" t="s">
        <v>44</v>
      </c>
      <c r="Y22" s="17" t="s">
        <v>44</v>
      </c>
      <c r="Z22" s="17">
        <v>69.126597599999997</v>
      </c>
      <c r="AA22" s="17">
        <v>21.55461635</v>
      </c>
      <c r="AB22" s="17">
        <v>42.475542249999997</v>
      </c>
    </row>
    <row r="23" spans="1:28" x14ac:dyDescent="0.2">
      <c r="A23" s="17">
        <v>19</v>
      </c>
      <c r="B23" s="17">
        <v>20.339641449999998</v>
      </c>
      <c r="C23" s="17">
        <v>23.496420950000001</v>
      </c>
      <c r="D23" s="17">
        <v>19.37743755</v>
      </c>
      <c r="E23" s="17">
        <v>15.065758799999999</v>
      </c>
      <c r="F23" s="17">
        <v>17.700017200000001</v>
      </c>
      <c r="G23" s="17">
        <v>37.009703500000001</v>
      </c>
      <c r="H23" s="17">
        <v>48.176835750000002</v>
      </c>
      <c r="I23" s="17">
        <v>24.46357115</v>
      </c>
      <c r="J23" s="17" t="s">
        <v>44</v>
      </c>
      <c r="K23" s="17">
        <v>22.140192500000001</v>
      </c>
      <c r="L23" s="17">
        <v>44.947327799999997</v>
      </c>
      <c r="M23" s="17">
        <v>18.433016299999998</v>
      </c>
      <c r="N23" s="17">
        <v>37.667234800000003</v>
      </c>
      <c r="O23" s="17">
        <v>22.877559600000001</v>
      </c>
      <c r="P23" s="17">
        <v>20.880172300000002</v>
      </c>
      <c r="Q23" s="17">
        <v>16.168188199999999</v>
      </c>
      <c r="R23" s="17">
        <v>23.852002450000001</v>
      </c>
      <c r="S23" s="17">
        <v>36.901271549999997</v>
      </c>
      <c r="T23" s="17" t="s">
        <v>44</v>
      </c>
      <c r="U23" s="17">
        <v>13.7760081</v>
      </c>
      <c r="V23" s="17">
        <v>16.190952549999999</v>
      </c>
      <c r="W23" s="17">
        <v>20.01925095</v>
      </c>
      <c r="X23" s="17">
        <v>35.789160299999999</v>
      </c>
      <c r="Y23" s="17">
        <v>27.372844350000001</v>
      </c>
      <c r="Z23" s="17">
        <v>30.907103450000001</v>
      </c>
      <c r="AA23" s="17">
        <v>11.547184850000001</v>
      </c>
      <c r="AB23" s="17">
        <v>26.336486950000001</v>
      </c>
    </row>
    <row r="24" spans="1:28" x14ac:dyDescent="0.2">
      <c r="A24" s="17">
        <v>20</v>
      </c>
      <c r="B24" s="17">
        <v>37.687216450000001</v>
      </c>
      <c r="C24" s="17">
        <v>40.648507049999999</v>
      </c>
      <c r="D24" s="17">
        <v>35.790354950000001</v>
      </c>
      <c r="E24" s="17">
        <v>14.612579950000001</v>
      </c>
      <c r="F24" s="17">
        <v>30.664907150000001</v>
      </c>
      <c r="G24" s="17">
        <v>59.297246299999998</v>
      </c>
      <c r="H24" s="17">
        <v>33.804093950000002</v>
      </c>
      <c r="I24" s="17">
        <v>20.572878249999999</v>
      </c>
      <c r="J24" s="17" t="s">
        <v>44</v>
      </c>
      <c r="K24" s="17">
        <v>18.084128799999998</v>
      </c>
      <c r="L24" s="17">
        <v>27.703903950000001</v>
      </c>
      <c r="M24" s="17">
        <v>40.130083900000002</v>
      </c>
      <c r="N24" s="17">
        <v>50.917458500000002</v>
      </c>
      <c r="O24" s="17">
        <v>44.212978700000001</v>
      </c>
      <c r="P24" s="17">
        <v>81.325823499999998</v>
      </c>
      <c r="Q24" s="17">
        <v>24.4408189</v>
      </c>
      <c r="R24" s="17">
        <v>18.507442699999999</v>
      </c>
      <c r="S24" s="17">
        <v>20.4362572</v>
      </c>
      <c r="T24" s="17">
        <v>39.524628399999997</v>
      </c>
      <c r="U24" s="17">
        <v>25.249098700000001</v>
      </c>
      <c r="V24" s="17">
        <v>23.691919500000001</v>
      </c>
      <c r="W24" s="17">
        <v>34.989510150000001</v>
      </c>
      <c r="X24" s="17">
        <v>31.464828650000001</v>
      </c>
      <c r="Y24" s="17">
        <v>22.75210955</v>
      </c>
      <c r="Z24" s="17">
        <v>23.616464300000001</v>
      </c>
      <c r="AA24" s="17">
        <v>29.839734050000001</v>
      </c>
      <c r="AB24" s="17">
        <v>30.588465849999999</v>
      </c>
    </row>
    <row r="25" spans="1:28" x14ac:dyDescent="0.2">
      <c r="A25" s="17">
        <v>21</v>
      </c>
      <c r="B25" s="17">
        <v>19.915935350000002</v>
      </c>
      <c r="C25" s="17">
        <v>74.974504999999994</v>
      </c>
      <c r="D25" s="17">
        <v>49.893217999999997</v>
      </c>
      <c r="E25" s="17">
        <v>37.076810199999997</v>
      </c>
      <c r="F25" s="17">
        <v>37.564020550000002</v>
      </c>
      <c r="G25" s="17">
        <v>53.040745399999999</v>
      </c>
      <c r="H25" s="17">
        <v>19.01994195</v>
      </c>
      <c r="I25" s="17">
        <v>21.288668399999999</v>
      </c>
      <c r="J25" s="17" t="s">
        <v>44</v>
      </c>
      <c r="K25" s="17">
        <v>38.420322550000002</v>
      </c>
      <c r="L25" s="17">
        <v>40.14075665</v>
      </c>
      <c r="M25" s="17">
        <v>22.888501850000001</v>
      </c>
      <c r="N25" s="17">
        <v>29.66038125</v>
      </c>
      <c r="O25" s="17">
        <v>36.163854749999999</v>
      </c>
      <c r="P25" s="17">
        <v>27.932430249999999</v>
      </c>
      <c r="Q25" s="17">
        <v>28.0967877</v>
      </c>
      <c r="R25" s="17">
        <v>34.044849399999997</v>
      </c>
      <c r="S25" s="17">
        <v>34.284524050000002</v>
      </c>
      <c r="T25" s="17">
        <v>31.299194400000001</v>
      </c>
      <c r="U25" s="17">
        <v>27.736456650000001</v>
      </c>
      <c r="V25" s="17">
        <v>33.351199700000002</v>
      </c>
      <c r="W25" s="17">
        <v>42.252972550000003</v>
      </c>
      <c r="X25" s="17">
        <v>13.835477600000001</v>
      </c>
      <c r="Y25" s="17">
        <v>37.059842549999999</v>
      </c>
      <c r="Z25" s="17">
        <v>25.73601515</v>
      </c>
      <c r="AA25" s="17">
        <v>22.700411750000001</v>
      </c>
      <c r="AB25" s="17">
        <v>15.363962000000001</v>
      </c>
    </row>
    <row r="26" spans="1:28" x14ac:dyDescent="0.2">
      <c r="A26" s="17">
        <v>22</v>
      </c>
      <c r="B26" s="17">
        <v>22.920128900000002</v>
      </c>
      <c r="C26" s="17">
        <v>58.032585650000001</v>
      </c>
      <c r="D26" s="17">
        <v>43.176396150000002</v>
      </c>
      <c r="E26" s="17">
        <v>28.659635900000001</v>
      </c>
      <c r="F26" s="17">
        <v>28.459381199999999</v>
      </c>
      <c r="G26" s="17">
        <v>29.36096195</v>
      </c>
      <c r="H26" s="17">
        <v>19.571108250000002</v>
      </c>
      <c r="I26" s="17">
        <v>31.2589504</v>
      </c>
      <c r="J26" s="17" t="s">
        <v>44</v>
      </c>
      <c r="K26" s="17">
        <v>37.204839249999999</v>
      </c>
      <c r="L26" s="17">
        <v>44.559353549999997</v>
      </c>
      <c r="M26" s="17">
        <v>41.567909</v>
      </c>
      <c r="N26" s="17">
        <v>42.945486899999999</v>
      </c>
      <c r="O26" s="17">
        <v>30.904228400000001</v>
      </c>
      <c r="P26" s="17">
        <v>23.90348805</v>
      </c>
      <c r="Q26" s="17">
        <v>31.532650350000001</v>
      </c>
      <c r="R26" s="17">
        <v>32.385893350000003</v>
      </c>
      <c r="S26" s="17">
        <v>33.328109099999999</v>
      </c>
      <c r="T26" s="17">
        <v>28.980986850000001</v>
      </c>
      <c r="U26" s="17">
        <v>33.036594899999997</v>
      </c>
      <c r="V26" s="17">
        <v>45.4882724</v>
      </c>
      <c r="W26" s="17">
        <v>20.9840467</v>
      </c>
      <c r="X26" s="17">
        <v>9.0251333000000002</v>
      </c>
      <c r="Y26" s="17">
        <v>40.164113149999999</v>
      </c>
      <c r="Z26" s="17">
        <v>27.803321950000001</v>
      </c>
      <c r="AA26" s="17">
        <v>16.071945150000001</v>
      </c>
      <c r="AB26" s="17">
        <v>52.34462525</v>
      </c>
    </row>
    <row r="27" spans="1:28" x14ac:dyDescent="0.2">
      <c r="A27" s="17">
        <v>23</v>
      </c>
      <c r="B27" s="17">
        <v>9.8206533999999994</v>
      </c>
      <c r="C27" s="17">
        <v>13.276795549999999</v>
      </c>
      <c r="D27" s="17">
        <v>33.779576499999997</v>
      </c>
      <c r="E27" s="17">
        <v>22.54005755</v>
      </c>
      <c r="F27" s="17">
        <v>23.741213399999999</v>
      </c>
      <c r="G27" s="17">
        <v>10.5166383</v>
      </c>
      <c r="H27" s="17">
        <v>29.02809135</v>
      </c>
      <c r="I27" s="17">
        <v>22.6754377</v>
      </c>
      <c r="J27" s="17" t="s">
        <v>44</v>
      </c>
      <c r="K27" s="17">
        <v>31.6922353</v>
      </c>
      <c r="L27" s="17">
        <v>27.036705999999999</v>
      </c>
      <c r="M27" s="17">
        <v>13.863900449999999</v>
      </c>
      <c r="N27" s="17">
        <v>29.00902245</v>
      </c>
      <c r="O27" s="17">
        <v>33.269382899999997</v>
      </c>
      <c r="P27" s="17">
        <v>12.618975150000001</v>
      </c>
      <c r="Q27" s="17">
        <v>15.300433699999999</v>
      </c>
      <c r="R27" s="17">
        <v>31.69993225</v>
      </c>
      <c r="S27" s="17">
        <v>20.329371399999999</v>
      </c>
      <c r="T27" s="17">
        <v>24.368593950000001</v>
      </c>
      <c r="U27" s="17">
        <v>18.383191950000001</v>
      </c>
      <c r="V27" s="17">
        <v>17.856919950000002</v>
      </c>
      <c r="W27" s="17">
        <v>22.364688999999998</v>
      </c>
      <c r="X27" s="17">
        <v>24.767543499999999</v>
      </c>
      <c r="Y27" s="17">
        <v>35.896644000000002</v>
      </c>
      <c r="Z27" s="17">
        <v>14.13311625</v>
      </c>
      <c r="AA27" s="17">
        <v>26.432166949999999</v>
      </c>
      <c r="AB27" s="17">
        <v>26.787403149999999</v>
      </c>
    </row>
    <row r="28" spans="1:28" x14ac:dyDescent="0.2">
      <c r="A28" s="17">
        <v>24</v>
      </c>
      <c r="B28" s="17" t="s">
        <v>44</v>
      </c>
      <c r="C28" s="17">
        <v>41.24052975</v>
      </c>
      <c r="D28" s="17">
        <v>19.576551550000001</v>
      </c>
      <c r="E28" s="17">
        <v>16.949731549999999</v>
      </c>
      <c r="F28" s="17">
        <v>13.8240777</v>
      </c>
      <c r="G28" s="17" t="s">
        <v>44</v>
      </c>
      <c r="H28" s="17">
        <v>15.73631615</v>
      </c>
      <c r="I28" s="17">
        <v>21.533034300000001</v>
      </c>
      <c r="J28" s="17" t="s">
        <v>44</v>
      </c>
      <c r="K28" s="17">
        <v>19.384626050000001</v>
      </c>
      <c r="L28" s="17">
        <v>25.220667649999999</v>
      </c>
      <c r="M28" s="17">
        <v>22.864438849999999</v>
      </c>
      <c r="N28" s="17">
        <v>48.968909099999998</v>
      </c>
      <c r="O28" s="17">
        <v>24.936801599999999</v>
      </c>
      <c r="P28" s="17">
        <v>28.444645449999999</v>
      </c>
      <c r="Q28" s="17">
        <v>27.576067049999999</v>
      </c>
      <c r="R28" s="17">
        <v>36.139480800000001</v>
      </c>
      <c r="S28" s="17">
        <v>40.283668149999997</v>
      </c>
      <c r="T28" s="17">
        <v>18.475634450000001</v>
      </c>
      <c r="U28" s="17">
        <v>33.603882349999999</v>
      </c>
      <c r="V28" s="17">
        <v>27.32067335</v>
      </c>
      <c r="W28" s="17">
        <v>14.52430985</v>
      </c>
      <c r="X28" s="17" t="s">
        <v>44</v>
      </c>
      <c r="Y28" s="17">
        <v>11.659564100000001</v>
      </c>
      <c r="Z28" s="17">
        <v>10.67955195</v>
      </c>
      <c r="AA28" s="17" t="s">
        <v>44</v>
      </c>
      <c r="AB28" s="17">
        <v>11.18020055</v>
      </c>
    </row>
    <row r="29" spans="1:28" x14ac:dyDescent="0.2">
      <c r="A29" s="17">
        <v>25</v>
      </c>
      <c r="B29" s="17">
        <v>24.648293450000001</v>
      </c>
      <c r="C29" s="17">
        <v>11.677936300000001</v>
      </c>
      <c r="D29" s="17">
        <v>16.069131200000001</v>
      </c>
      <c r="E29" s="17">
        <v>32.728295250000002</v>
      </c>
      <c r="F29" s="17">
        <v>10.279531349999999</v>
      </c>
      <c r="G29" s="17">
        <v>16.108420800000001</v>
      </c>
      <c r="H29" s="17">
        <v>14.156485249999999</v>
      </c>
      <c r="I29" s="17">
        <v>19.444154300000001</v>
      </c>
      <c r="J29" s="17">
        <v>12.381933849999999</v>
      </c>
      <c r="K29" s="17">
        <v>10.659298700000001</v>
      </c>
      <c r="L29" s="17">
        <v>16.045040700000001</v>
      </c>
      <c r="M29" s="17">
        <v>21.967610650000001</v>
      </c>
      <c r="N29" s="17">
        <v>19.215525450000001</v>
      </c>
      <c r="O29" s="17">
        <v>24.377072349999999</v>
      </c>
      <c r="P29" s="17">
        <v>10.559416199999999</v>
      </c>
      <c r="Q29" s="17">
        <v>12.60750135</v>
      </c>
      <c r="R29" s="17">
        <v>21.418803449999999</v>
      </c>
      <c r="S29" s="17">
        <v>6.9935681499999998</v>
      </c>
      <c r="T29" s="17">
        <v>9.9525593000000008</v>
      </c>
      <c r="U29" s="17">
        <v>8.9204228000000008</v>
      </c>
      <c r="V29" s="17">
        <v>17.228074299999999</v>
      </c>
      <c r="W29" s="17">
        <v>47.591915749999998</v>
      </c>
      <c r="X29" s="17">
        <v>6.54744525</v>
      </c>
      <c r="Y29" s="17">
        <v>15.4359667</v>
      </c>
      <c r="Z29" s="17">
        <v>13.348413799999999</v>
      </c>
      <c r="AA29" s="17">
        <v>9.1567095999999992</v>
      </c>
      <c r="AB29" s="17">
        <v>10.912300549999999</v>
      </c>
    </row>
    <row r="30" spans="1:28" x14ac:dyDescent="0.2">
      <c r="A30" s="17">
        <v>26</v>
      </c>
      <c r="B30" s="17" t="s">
        <v>44</v>
      </c>
      <c r="C30" s="17">
        <v>39.983807149999997</v>
      </c>
      <c r="D30" s="17" t="s">
        <v>44</v>
      </c>
      <c r="E30" s="17">
        <v>22.111690150000001</v>
      </c>
      <c r="F30" s="17">
        <v>34.781933500000001</v>
      </c>
      <c r="G30" s="17">
        <v>34.979883000000001</v>
      </c>
      <c r="H30" s="17">
        <v>40.140456950000001</v>
      </c>
      <c r="I30" s="17">
        <v>28.240161199999999</v>
      </c>
      <c r="J30" s="17" t="s">
        <v>44</v>
      </c>
      <c r="K30" s="17">
        <v>48.336012400000001</v>
      </c>
      <c r="L30" s="17">
        <v>16.132682299999999</v>
      </c>
      <c r="M30" s="17">
        <v>41.032905399999997</v>
      </c>
      <c r="N30" s="17">
        <v>33.784298700000001</v>
      </c>
      <c r="O30" s="17" t="s">
        <v>44</v>
      </c>
      <c r="P30" s="17">
        <v>35.340091350000002</v>
      </c>
      <c r="Q30" s="17" t="s">
        <v>44</v>
      </c>
      <c r="R30" s="17">
        <v>48.535719550000003</v>
      </c>
      <c r="S30" s="17" t="s">
        <v>44</v>
      </c>
      <c r="T30" s="17">
        <v>24.888084450000001</v>
      </c>
      <c r="U30" s="17">
        <v>23.480704249999999</v>
      </c>
      <c r="V30" s="17">
        <v>28.524293950000001</v>
      </c>
      <c r="W30" s="17">
        <v>21.808562200000001</v>
      </c>
      <c r="X30" s="17">
        <v>15.188050199999999</v>
      </c>
      <c r="Y30" s="17">
        <v>23.100283999999998</v>
      </c>
      <c r="Z30" s="17">
        <v>58.915495</v>
      </c>
      <c r="AA30" s="17">
        <v>48.408109750000001</v>
      </c>
      <c r="AB30" s="17">
        <v>75.068222750000004</v>
      </c>
    </row>
    <row r="31" spans="1:28" x14ac:dyDescent="0.2">
      <c r="A31" s="17">
        <v>27</v>
      </c>
      <c r="B31" s="17">
        <v>55.391101450000001</v>
      </c>
      <c r="C31" s="17">
        <v>35.412852100000002</v>
      </c>
      <c r="D31" s="17">
        <v>33.548059049999999</v>
      </c>
      <c r="E31" s="17">
        <v>60.161181999999997</v>
      </c>
      <c r="F31" s="17">
        <v>32.322335799999998</v>
      </c>
      <c r="G31" s="17">
        <v>24.687385200000001</v>
      </c>
      <c r="H31" s="17">
        <v>54.2599339</v>
      </c>
      <c r="I31" s="17">
        <v>21.453057099999999</v>
      </c>
      <c r="J31" s="17">
        <v>67.563494050000003</v>
      </c>
      <c r="K31" s="17">
        <v>73.059540100000007</v>
      </c>
      <c r="L31" s="17">
        <v>41.126116549999999</v>
      </c>
      <c r="M31" s="17">
        <v>35.985925649999999</v>
      </c>
      <c r="N31" s="17">
        <v>49.702389650000001</v>
      </c>
      <c r="O31" s="17">
        <v>26.1188854</v>
      </c>
      <c r="P31" s="17">
        <v>27.502174499999999</v>
      </c>
      <c r="Q31" s="17">
        <v>39.874957500000001</v>
      </c>
      <c r="R31" s="17">
        <v>39.578689900000001</v>
      </c>
      <c r="S31" s="17">
        <v>38.687728900000003</v>
      </c>
      <c r="T31" s="17">
        <v>36.822489750000003</v>
      </c>
      <c r="U31" s="17">
        <v>33.541483499999998</v>
      </c>
      <c r="V31" s="17">
        <v>27.3505392</v>
      </c>
      <c r="W31" s="17">
        <v>60.051242500000001</v>
      </c>
      <c r="X31" s="17">
        <v>66.898580699999997</v>
      </c>
      <c r="Y31" s="17">
        <v>30.779580200000002</v>
      </c>
      <c r="Z31" s="17">
        <v>18.0348282</v>
      </c>
      <c r="AA31" s="17">
        <v>22.15828715</v>
      </c>
      <c r="AB31" s="17">
        <v>23.218977850000002</v>
      </c>
    </row>
    <row r="32" spans="1:28" x14ac:dyDescent="0.2">
      <c r="A32" s="17">
        <v>28</v>
      </c>
      <c r="B32" s="17">
        <v>23.076582399999999</v>
      </c>
      <c r="C32" s="17">
        <v>32.34033135</v>
      </c>
      <c r="D32" s="17">
        <v>35.6912953</v>
      </c>
      <c r="E32" s="17">
        <v>21.063580349999999</v>
      </c>
      <c r="F32" s="17">
        <v>26.463936499999999</v>
      </c>
      <c r="G32" s="17">
        <v>26.680790949999999</v>
      </c>
      <c r="H32" s="17">
        <v>22.303183350000001</v>
      </c>
      <c r="I32" s="17">
        <v>52.399980399999997</v>
      </c>
      <c r="J32" s="17" t="s">
        <v>44</v>
      </c>
      <c r="K32" s="17">
        <v>33.696309450000001</v>
      </c>
      <c r="L32" s="17">
        <v>35.85580925</v>
      </c>
      <c r="M32" s="17">
        <v>34.7006382</v>
      </c>
      <c r="N32" s="17">
        <v>37.564201050000001</v>
      </c>
      <c r="O32" s="17">
        <v>45.17872165</v>
      </c>
      <c r="P32" s="17">
        <v>15.288501200000001</v>
      </c>
      <c r="Q32" s="17">
        <v>17.27662995</v>
      </c>
      <c r="R32" s="17">
        <v>23.212121499999999</v>
      </c>
      <c r="S32" s="17">
        <v>22.4965522</v>
      </c>
      <c r="T32" s="17">
        <v>22.517421150000001</v>
      </c>
      <c r="U32" s="17">
        <v>20.801298750000001</v>
      </c>
      <c r="V32" s="17">
        <v>33.0848984</v>
      </c>
      <c r="W32" s="17">
        <v>40.827580849999997</v>
      </c>
      <c r="X32" s="17">
        <v>30.372752699999999</v>
      </c>
      <c r="Y32" s="17">
        <v>28.943563950000001</v>
      </c>
      <c r="Z32" s="17">
        <v>21.2240459</v>
      </c>
      <c r="AA32" s="17">
        <v>12.4079219</v>
      </c>
      <c r="AB32" s="17">
        <v>28.628671499999999</v>
      </c>
    </row>
    <row r="33" spans="1:28" x14ac:dyDescent="0.2">
      <c r="A33" s="17">
        <v>29</v>
      </c>
      <c r="B33" s="17">
        <v>45.436385199999997</v>
      </c>
      <c r="C33" s="17">
        <v>51.320077949999998</v>
      </c>
      <c r="D33" s="17">
        <v>27.691805299999999</v>
      </c>
      <c r="E33" s="17">
        <v>17.511695700000001</v>
      </c>
      <c r="F33" s="17">
        <v>49.931652450000001</v>
      </c>
      <c r="G33" s="17">
        <v>44.228037899999997</v>
      </c>
      <c r="H33" s="17">
        <v>52.092558949999997</v>
      </c>
      <c r="I33" s="17">
        <v>21.690389199999998</v>
      </c>
      <c r="J33" s="17" t="s">
        <v>44</v>
      </c>
      <c r="K33" s="17">
        <v>36.951523799999997</v>
      </c>
      <c r="L33" s="17">
        <v>39.339969250000003</v>
      </c>
      <c r="M33" s="17">
        <v>30.2046052</v>
      </c>
      <c r="N33" s="17">
        <v>38.0522183</v>
      </c>
      <c r="O33" s="17">
        <v>46.917620599999999</v>
      </c>
      <c r="P33" s="17">
        <v>23.4087894</v>
      </c>
      <c r="Q33" s="17">
        <v>36.68913525</v>
      </c>
      <c r="R33" s="17">
        <v>28.96358815</v>
      </c>
      <c r="S33" s="17">
        <v>42.964007199999998</v>
      </c>
      <c r="T33" s="17">
        <v>32.811084749999999</v>
      </c>
      <c r="U33" s="17">
        <v>40.905021249999997</v>
      </c>
      <c r="V33" s="17">
        <v>22.163659500000001</v>
      </c>
      <c r="W33" s="17">
        <v>18.716320700000001</v>
      </c>
      <c r="X33" s="17">
        <v>24.737135500000001</v>
      </c>
      <c r="Y33" s="17">
        <v>29.2571461</v>
      </c>
      <c r="Z33" s="17">
        <v>55.786327900000003</v>
      </c>
      <c r="AA33" s="17">
        <v>41.246799899999999</v>
      </c>
      <c r="AB33" s="17">
        <v>40.773240999999999</v>
      </c>
    </row>
    <row r="34" spans="1:28" x14ac:dyDescent="0.2">
      <c r="A34" s="17">
        <v>30</v>
      </c>
      <c r="B34" s="17">
        <v>27.052691150000001</v>
      </c>
      <c r="C34" s="17">
        <v>22.100035900000002</v>
      </c>
      <c r="D34" s="17">
        <v>23.913053049999998</v>
      </c>
      <c r="E34" s="17">
        <v>20.35602725</v>
      </c>
      <c r="F34" s="17">
        <v>25.691793700000002</v>
      </c>
      <c r="G34" s="17">
        <v>34.533149299999998</v>
      </c>
      <c r="H34" s="17">
        <v>19.9140309</v>
      </c>
      <c r="I34" s="17">
        <v>45.027936799999999</v>
      </c>
      <c r="J34" s="17" t="s">
        <v>44</v>
      </c>
      <c r="K34" s="17">
        <v>19.43774715</v>
      </c>
      <c r="L34" s="17">
        <v>26.024474649999998</v>
      </c>
      <c r="M34" s="17">
        <v>21.31234525</v>
      </c>
      <c r="N34" s="17">
        <v>34.224551349999999</v>
      </c>
      <c r="O34" s="17">
        <v>30.331836200000001</v>
      </c>
      <c r="P34" s="17">
        <v>19.800118149999999</v>
      </c>
      <c r="Q34" s="17">
        <v>22.732271300000001</v>
      </c>
      <c r="R34" s="17">
        <v>16.91113065</v>
      </c>
      <c r="S34" s="17">
        <v>15.78711515</v>
      </c>
      <c r="T34" s="17">
        <v>25.877438550000001</v>
      </c>
      <c r="U34" s="17">
        <v>9.6375694000000003</v>
      </c>
      <c r="V34" s="17">
        <v>17.5197064</v>
      </c>
      <c r="W34" s="17">
        <v>8.9192310999999993</v>
      </c>
      <c r="X34" s="17">
        <v>39.664148300000001</v>
      </c>
      <c r="Y34" s="17">
        <v>11.399915050000001</v>
      </c>
      <c r="Z34" s="17">
        <v>22.360342299999999</v>
      </c>
      <c r="AA34" s="17">
        <v>37.047548050000003</v>
      </c>
      <c r="AB34" s="17">
        <v>22.6083672</v>
      </c>
    </row>
    <row r="35" spans="1:28" x14ac:dyDescent="0.2">
      <c r="A35" s="17">
        <v>31</v>
      </c>
      <c r="B35" s="17">
        <v>10.6453226</v>
      </c>
      <c r="C35" s="17">
        <v>17.928043250000002</v>
      </c>
      <c r="D35" s="17">
        <v>13.372651599999999</v>
      </c>
      <c r="E35" s="17">
        <v>10.2650544</v>
      </c>
      <c r="F35" s="17">
        <v>16.115452749999999</v>
      </c>
      <c r="G35" s="17">
        <v>36.628251400000003</v>
      </c>
      <c r="H35" s="17">
        <v>18.4926204</v>
      </c>
      <c r="I35" s="17">
        <v>12.060472949999999</v>
      </c>
      <c r="J35" s="17">
        <v>12.185742599999999</v>
      </c>
      <c r="K35" s="17">
        <v>23.05998185</v>
      </c>
      <c r="L35" s="17">
        <v>18.14797085</v>
      </c>
      <c r="M35" s="17">
        <v>17.971923</v>
      </c>
      <c r="N35" s="17">
        <v>27.985351250000001</v>
      </c>
      <c r="O35" s="17">
        <v>14.62907775</v>
      </c>
      <c r="P35" s="17">
        <v>12.02460795</v>
      </c>
      <c r="Q35" s="17">
        <v>11.940385300000001</v>
      </c>
      <c r="R35" s="17">
        <v>14.452924100000001</v>
      </c>
      <c r="S35" s="17">
        <v>11.039630949999999</v>
      </c>
      <c r="T35" s="17">
        <v>5.3999800999999996</v>
      </c>
      <c r="U35" s="17">
        <v>7.2061241999999996</v>
      </c>
      <c r="V35" s="17">
        <v>14.255646949999999</v>
      </c>
      <c r="W35" s="17">
        <v>14.1642136</v>
      </c>
      <c r="X35" s="17">
        <v>6.7487402000000003</v>
      </c>
      <c r="Y35" s="17">
        <v>9.2325396499999997</v>
      </c>
      <c r="Z35" s="17">
        <v>14.725194999999999</v>
      </c>
      <c r="AA35" s="17">
        <v>5.5198872000000003</v>
      </c>
      <c r="AB35" s="17">
        <v>16.877434000000001</v>
      </c>
    </row>
    <row r="36" spans="1:28" x14ac:dyDescent="0.2">
      <c r="A36" s="17">
        <v>32</v>
      </c>
      <c r="B36" s="17">
        <v>43.782020899999999</v>
      </c>
      <c r="C36" s="17">
        <v>31.8786144</v>
      </c>
      <c r="D36" s="17">
        <v>33.515483750000001</v>
      </c>
      <c r="E36" s="17">
        <v>17.183488350000001</v>
      </c>
      <c r="F36" s="17">
        <v>58.134639049999997</v>
      </c>
      <c r="G36" s="17">
        <v>53.137595500000003</v>
      </c>
      <c r="H36" s="17">
        <v>27.573621249999999</v>
      </c>
      <c r="I36" s="17">
        <v>31.511582099999998</v>
      </c>
      <c r="J36" s="17">
        <v>32.698633749999999</v>
      </c>
      <c r="K36" s="17">
        <v>24.911372249999999</v>
      </c>
      <c r="L36" s="17">
        <v>35.730387800000003</v>
      </c>
      <c r="M36" s="17">
        <v>21.35586125</v>
      </c>
      <c r="N36" s="17">
        <v>21.622522799999999</v>
      </c>
      <c r="O36" s="17">
        <v>37.827299250000003</v>
      </c>
      <c r="P36" s="17">
        <v>34.413207700000001</v>
      </c>
      <c r="Q36" s="17">
        <v>20.839395400000001</v>
      </c>
      <c r="R36" s="17">
        <v>18.732506699999998</v>
      </c>
      <c r="S36" s="17">
        <v>32.92250335</v>
      </c>
      <c r="T36" s="17">
        <v>18.9148028</v>
      </c>
      <c r="U36" s="17">
        <v>44.971476750000001</v>
      </c>
      <c r="V36" s="17">
        <v>39.473310300000001</v>
      </c>
      <c r="W36" s="17">
        <v>29.934176799999999</v>
      </c>
      <c r="X36" s="17">
        <v>53.714048150000004</v>
      </c>
      <c r="Y36" s="17">
        <v>20.562795699999999</v>
      </c>
      <c r="Z36" s="17">
        <v>24.7110877</v>
      </c>
      <c r="AA36" s="17">
        <v>29.22726175</v>
      </c>
      <c r="AB36" s="17">
        <v>32.782107799999999</v>
      </c>
    </row>
    <row r="37" spans="1:28" x14ac:dyDescent="0.2">
      <c r="A37" s="17">
        <v>33</v>
      </c>
      <c r="B37" s="17">
        <v>51.899060599999999</v>
      </c>
      <c r="C37" s="17">
        <v>41.060063700000001</v>
      </c>
      <c r="D37" s="17">
        <v>17.72326215</v>
      </c>
      <c r="E37" s="17">
        <v>21.757453850000001</v>
      </c>
      <c r="F37" s="17">
        <v>21.056681999999999</v>
      </c>
      <c r="G37" s="17">
        <v>56.326994200000001</v>
      </c>
      <c r="H37" s="17">
        <v>24.697830799999998</v>
      </c>
      <c r="I37" s="17">
        <v>21.358257299999998</v>
      </c>
      <c r="J37" s="17" t="s">
        <v>44</v>
      </c>
      <c r="K37" s="17">
        <v>68.28902995</v>
      </c>
      <c r="L37" s="17">
        <v>28.115801999999999</v>
      </c>
      <c r="M37" s="17">
        <v>38.995730600000002</v>
      </c>
      <c r="N37" s="17">
        <v>19.072102650000001</v>
      </c>
      <c r="O37" s="17">
        <v>32.753558300000002</v>
      </c>
      <c r="P37" s="17">
        <v>19.750462349999999</v>
      </c>
      <c r="Q37" s="17">
        <v>20.2198131</v>
      </c>
      <c r="R37" s="17">
        <v>17.148055400000001</v>
      </c>
      <c r="S37" s="17">
        <v>24.951886300000002</v>
      </c>
      <c r="T37" s="17">
        <v>27.572251000000001</v>
      </c>
      <c r="U37" s="17">
        <v>23.531015849999999</v>
      </c>
      <c r="V37" s="17">
        <v>27.775403799999999</v>
      </c>
      <c r="W37" s="17">
        <v>29.327784000000001</v>
      </c>
      <c r="X37" s="17">
        <v>73.076747100000006</v>
      </c>
      <c r="Y37" s="17">
        <v>34.539422000000002</v>
      </c>
      <c r="Z37" s="17">
        <v>54.116154549999997</v>
      </c>
      <c r="AA37" s="17">
        <v>13.7536472</v>
      </c>
      <c r="AB37" s="17">
        <v>34.7590772</v>
      </c>
    </row>
    <row r="38" spans="1:28" x14ac:dyDescent="0.2">
      <c r="A38" s="17">
        <v>34</v>
      </c>
      <c r="B38" s="17">
        <v>49.002401200000001</v>
      </c>
      <c r="C38" s="17">
        <v>20.8325885</v>
      </c>
      <c r="D38" s="17">
        <v>39.760336700000003</v>
      </c>
      <c r="E38" s="17">
        <v>15.73188425</v>
      </c>
      <c r="F38" s="17">
        <v>15.83287035</v>
      </c>
      <c r="G38" s="17">
        <v>75.105637700000003</v>
      </c>
      <c r="H38" s="17">
        <v>39.60137915</v>
      </c>
      <c r="I38" s="17">
        <v>23.8728199</v>
      </c>
      <c r="J38" s="17" t="s">
        <v>44</v>
      </c>
      <c r="K38" s="17">
        <v>37.633178100000002</v>
      </c>
      <c r="L38" s="17">
        <v>42.585357399999999</v>
      </c>
      <c r="M38" s="17">
        <v>25.776769300000002</v>
      </c>
      <c r="N38" s="17">
        <v>25.822993499999999</v>
      </c>
      <c r="O38" s="17">
        <v>63.667935</v>
      </c>
      <c r="P38" s="17">
        <v>16.2642132</v>
      </c>
      <c r="Q38" s="17">
        <v>18.656439949999999</v>
      </c>
      <c r="R38" s="17">
        <v>17.496357549999999</v>
      </c>
      <c r="S38" s="17">
        <v>20.111845750000001</v>
      </c>
      <c r="T38" s="17">
        <v>35.6328575</v>
      </c>
      <c r="U38" s="17">
        <v>16.683295600000001</v>
      </c>
      <c r="V38" s="17">
        <v>25.299773699999999</v>
      </c>
      <c r="W38" s="17">
        <v>30.080777550000001</v>
      </c>
      <c r="X38" s="17">
        <v>69.532961799999995</v>
      </c>
      <c r="Y38" s="17">
        <v>19.5132534</v>
      </c>
      <c r="Z38" s="17">
        <v>60.336136750000001</v>
      </c>
      <c r="AA38" s="17">
        <v>14.232696750000001</v>
      </c>
      <c r="AB38" s="17">
        <v>17.476133399999998</v>
      </c>
    </row>
    <row r="39" spans="1:28" x14ac:dyDescent="0.2">
      <c r="A39" s="17">
        <v>35</v>
      </c>
      <c r="B39" s="17">
        <v>54.955429100000003</v>
      </c>
      <c r="C39" s="17">
        <v>20.859246200000001</v>
      </c>
      <c r="D39" s="17">
        <v>9.9827551000000003</v>
      </c>
      <c r="E39" s="17">
        <v>26.017775149999999</v>
      </c>
      <c r="F39" s="17">
        <v>18.45145715</v>
      </c>
      <c r="G39" s="17">
        <v>13.728164700000001</v>
      </c>
      <c r="H39" s="17">
        <v>12.05931275</v>
      </c>
      <c r="I39" s="17">
        <v>15.325503700000001</v>
      </c>
      <c r="J39" s="17" t="s">
        <v>44</v>
      </c>
      <c r="K39" s="17">
        <v>12.636055349999999</v>
      </c>
      <c r="L39" s="17">
        <v>14.52123855</v>
      </c>
      <c r="M39" s="17">
        <v>18.856454100000001</v>
      </c>
      <c r="N39" s="17">
        <v>19.20496485</v>
      </c>
      <c r="O39" s="17">
        <v>13.98374465</v>
      </c>
      <c r="P39" s="17">
        <v>17.1272834</v>
      </c>
      <c r="Q39" s="17">
        <v>10.179387200000001</v>
      </c>
      <c r="R39" s="17">
        <v>19.700096500000001</v>
      </c>
      <c r="S39" s="17">
        <v>18.704635100000001</v>
      </c>
      <c r="T39" s="17">
        <v>19.459280750000001</v>
      </c>
      <c r="U39" s="17">
        <v>18.72435355</v>
      </c>
      <c r="V39" s="17">
        <v>20.556334799999998</v>
      </c>
      <c r="W39" s="17">
        <v>25.709143900000001</v>
      </c>
      <c r="X39" s="17">
        <v>7.8787710000000004</v>
      </c>
      <c r="Y39" s="17">
        <v>14.5796993</v>
      </c>
      <c r="Z39" s="17">
        <v>18.900601649999999</v>
      </c>
      <c r="AA39" s="17">
        <v>11.7848208</v>
      </c>
      <c r="AB39" s="17">
        <v>11.70474595</v>
      </c>
    </row>
    <row r="40" spans="1:28" x14ac:dyDescent="0.2">
      <c r="A40" s="17">
        <v>36</v>
      </c>
      <c r="B40" s="17">
        <v>15.935601950000001</v>
      </c>
      <c r="C40" s="17">
        <v>17.7728036</v>
      </c>
      <c r="D40" s="17">
        <v>18.952561750000001</v>
      </c>
      <c r="E40" s="17">
        <v>33.540810499999999</v>
      </c>
      <c r="F40" s="17">
        <v>15.767541</v>
      </c>
      <c r="G40" s="17">
        <v>9.7657831999999996</v>
      </c>
      <c r="H40" s="17">
        <v>28.163547950000002</v>
      </c>
      <c r="I40" s="17">
        <v>26.392438200000001</v>
      </c>
      <c r="J40" s="17" t="s">
        <v>44</v>
      </c>
      <c r="K40" s="17">
        <v>28.5957027</v>
      </c>
      <c r="L40" s="17">
        <v>11.7044876</v>
      </c>
      <c r="M40" s="17">
        <v>23.044436149999999</v>
      </c>
      <c r="N40" s="17">
        <v>17.727474999999998</v>
      </c>
      <c r="O40" s="17">
        <v>16.4218923</v>
      </c>
      <c r="P40" s="17">
        <v>10.7122914</v>
      </c>
      <c r="Q40" s="17">
        <v>27.68612925</v>
      </c>
      <c r="R40" s="17">
        <v>27.336595200000001</v>
      </c>
      <c r="S40" s="17">
        <v>52.380780700000003</v>
      </c>
      <c r="T40" s="17">
        <v>27.1095161</v>
      </c>
      <c r="U40" s="17">
        <v>11.9290068</v>
      </c>
      <c r="V40" s="17">
        <v>18.904289049999999</v>
      </c>
      <c r="W40" s="17">
        <v>22.90707115</v>
      </c>
      <c r="X40" s="17">
        <v>11.213211449999999</v>
      </c>
      <c r="Y40" s="17">
        <v>20.568244700000001</v>
      </c>
      <c r="Z40" s="17">
        <v>39.238280850000002</v>
      </c>
      <c r="AA40" s="17">
        <v>22.3766085</v>
      </c>
      <c r="AB40" s="17">
        <v>13.219981649999999</v>
      </c>
    </row>
    <row r="41" spans="1:28" x14ac:dyDescent="0.2">
      <c r="A41" s="17">
        <v>37</v>
      </c>
      <c r="B41" s="17">
        <v>34.834745300000002</v>
      </c>
      <c r="C41" s="17">
        <v>52.127403100000002</v>
      </c>
      <c r="D41" s="17">
        <v>60.131737100000002</v>
      </c>
      <c r="E41" s="17">
        <v>21.9693057</v>
      </c>
      <c r="F41" s="17">
        <v>26.512565299999999</v>
      </c>
      <c r="G41" s="17">
        <v>39.647623250000002</v>
      </c>
      <c r="H41" s="17">
        <v>41.320391549999997</v>
      </c>
      <c r="I41" s="17">
        <v>24.456809</v>
      </c>
      <c r="J41" s="17">
        <v>27.170840399999999</v>
      </c>
      <c r="K41" s="17">
        <v>23.649124</v>
      </c>
      <c r="L41" s="17">
        <v>53.980633349999998</v>
      </c>
      <c r="M41" s="17">
        <v>32.028254400000002</v>
      </c>
      <c r="N41" s="17">
        <v>32.53989335</v>
      </c>
      <c r="O41" s="17">
        <v>31.547390350000001</v>
      </c>
      <c r="P41" s="17">
        <v>18.568822950000001</v>
      </c>
      <c r="Q41" s="17">
        <v>34.516605800000001</v>
      </c>
      <c r="R41" s="17">
        <v>51.916238249999999</v>
      </c>
      <c r="S41" s="17">
        <v>35.284172499999997</v>
      </c>
      <c r="T41" s="17">
        <v>25.660849500000001</v>
      </c>
      <c r="U41" s="17">
        <v>29.25223665</v>
      </c>
      <c r="V41" s="17">
        <v>39.988984700000003</v>
      </c>
      <c r="W41" s="17">
        <v>85.547558649999999</v>
      </c>
      <c r="X41" s="17">
        <v>33.269060000000003</v>
      </c>
      <c r="Y41" s="17">
        <v>41.867337050000003</v>
      </c>
      <c r="Z41" s="17">
        <v>47.396932</v>
      </c>
      <c r="AA41" s="17">
        <v>32.58910805</v>
      </c>
      <c r="AB41" s="17">
        <v>25.991684150000001</v>
      </c>
    </row>
    <row r="42" spans="1:28" x14ac:dyDescent="0.2">
      <c r="A42" s="17">
        <v>38</v>
      </c>
      <c r="B42" s="17" t="s">
        <v>44</v>
      </c>
      <c r="C42" s="17">
        <v>25.1454971</v>
      </c>
      <c r="D42" s="17">
        <v>21.080557500000001</v>
      </c>
      <c r="E42" s="17">
        <v>14.307739099999999</v>
      </c>
      <c r="F42" s="17">
        <v>24.246900050000001</v>
      </c>
      <c r="G42" s="17">
        <v>43.0741917</v>
      </c>
      <c r="H42" s="17">
        <v>37.561131799999998</v>
      </c>
      <c r="I42" s="17">
        <v>33.180654949999997</v>
      </c>
      <c r="J42" s="17" t="s">
        <v>44</v>
      </c>
      <c r="K42" s="17">
        <v>15.7881073</v>
      </c>
      <c r="L42" s="17">
        <v>26.920229899999999</v>
      </c>
      <c r="M42" s="17">
        <v>22.97681875</v>
      </c>
      <c r="N42" s="17">
        <v>12.89633295</v>
      </c>
      <c r="O42" s="17">
        <v>26.555365800000001</v>
      </c>
      <c r="P42" s="17">
        <v>17.544349400000002</v>
      </c>
      <c r="Q42" s="17">
        <v>15.1180419</v>
      </c>
      <c r="R42" s="17">
        <v>27.316511649999999</v>
      </c>
      <c r="S42" s="17">
        <v>41.007656249999997</v>
      </c>
      <c r="T42" s="17">
        <v>10.0531171</v>
      </c>
      <c r="U42" s="17" t="s">
        <v>44</v>
      </c>
      <c r="V42" s="17">
        <v>34.464863800000003</v>
      </c>
      <c r="W42" s="17">
        <v>25.120322600000002</v>
      </c>
      <c r="X42" s="17">
        <v>22.588305200000001</v>
      </c>
      <c r="Y42" s="17">
        <v>10.031677950000001</v>
      </c>
      <c r="Z42" s="17">
        <v>23.9723544</v>
      </c>
      <c r="AA42" s="17">
        <v>14.3649948</v>
      </c>
      <c r="AB42" s="17">
        <v>13.768896850000001</v>
      </c>
    </row>
    <row r="43" spans="1:28" x14ac:dyDescent="0.2">
      <c r="A43" s="17">
        <v>39</v>
      </c>
      <c r="B43" s="17">
        <v>70.5248177</v>
      </c>
      <c r="C43" s="17">
        <v>25.560552000000001</v>
      </c>
      <c r="D43" s="17">
        <v>39.7085103</v>
      </c>
      <c r="E43" s="17">
        <v>35.665657699999997</v>
      </c>
      <c r="F43" s="17">
        <v>55.523883150000003</v>
      </c>
      <c r="G43" s="17">
        <v>49.144836050000002</v>
      </c>
      <c r="H43" s="17">
        <v>53.3002994</v>
      </c>
      <c r="I43" s="17">
        <v>65.887825899999996</v>
      </c>
      <c r="J43" s="17">
        <v>53.792897699999997</v>
      </c>
      <c r="K43" s="17">
        <v>71.744728600000002</v>
      </c>
      <c r="L43" s="17">
        <v>37.460044600000003</v>
      </c>
      <c r="M43" s="17">
        <v>43.11710025</v>
      </c>
      <c r="N43" s="17">
        <v>33.192594450000001</v>
      </c>
      <c r="O43" s="17">
        <v>48.323448499999998</v>
      </c>
      <c r="P43" s="17">
        <v>40.765285650000003</v>
      </c>
      <c r="Q43" s="17">
        <v>56.193424550000003</v>
      </c>
      <c r="R43" s="17">
        <v>36.357062450000001</v>
      </c>
      <c r="S43" s="17">
        <v>28.1056411</v>
      </c>
      <c r="T43" s="17">
        <v>43.1364649</v>
      </c>
      <c r="U43" s="17">
        <v>52.276441749999996</v>
      </c>
      <c r="V43" s="17">
        <v>31.07700715</v>
      </c>
      <c r="W43" s="17">
        <v>42.577566750000003</v>
      </c>
      <c r="X43" s="17">
        <v>69.6725146</v>
      </c>
      <c r="Y43" s="17">
        <v>43.9286478</v>
      </c>
      <c r="Z43" s="17">
        <v>37.78853565</v>
      </c>
      <c r="AA43" s="17">
        <v>23.4161191</v>
      </c>
      <c r="AB43" s="17">
        <v>28.3169608</v>
      </c>
    </row>
    <row r="44" spans="1:28" x14ac:dyDescent="0.2">
      <c r="A44" s="17">
        <v>40</v>
      </c>
      <c r="B44" s="17">
        <v>19.875029649999998</v>
      </c>
      <c r="C44" s="17">
        <v>32.155238349999998</v>
      </c>
      <c r="D44" s="17">
        <v>18.416733700000002</v>
      </c>
      <c r="E44" s="17">
        <v>25.862144700000002</v>
      </c>
      <c r="F44" s="17">
        <v>26.1634806</v>
      </c>
      <c r="G44" s="17">
        <v>24.105784400000001</v>
      </c>
      <c r="H44" s="17">
        <v>31.250544949999998</v>
      </c>
      <c r="I44" s="17">
        <v>27.15200085</v>
      </c>
      <c r="J44" s="17" t="s">
        <v>44</v>
      </c>
      <c r="K44" s="17">
        <v>21.311996650000001</v>
      </c>
      <c r="L44" s="17">
        <v>27.1392825</v>
      </c>
      <c r="M44" s="17">
        <v>33.251967800000003</v>
      </c>
      <c r="N44" s="17">
        <v>18.473773000000001</v>
      </c>
      <c r="O44" s="17">
        <v>35.874471149999998</v>
      </c>
      <c r="P44" s="17">
        <v>11.922820850000001</v>
      </c>
      <c r="Q44" s="17">
        <v>23.065801749999999</v>
      </c>
      <c r="R44" s="17">
        <v>27.062271249999998</v>
      </c>
      <c r="S44" s="17">
        <v>24.333793750000002</v>
      </c>
      <c r="T44" s="17">
        <v>29.004247400000001</v>
      </c>
      <c r="U44" s="17">
        <v>11.2148263</v>
      </c>
      <c r="V44" s="17">
        <v>34.372814050000002</v>
      </c>
      <c r="W44" s="17">
        <v>33.547652599999999</v>
      </c>
      <c r="X44" s="17">
        <v>13.164012100000001</v>
      </c>
      <c r="Y44" s="17">
        <v>25.395537900000001</v>
      </c>
      <c r="Z44" s="17">
        <v>24.246810249999999</v>
      </c>
      <c r="AA44" s="17">
        <v>32.170541749999998</v>
      </c>
      <c r="AB44" s="17">
        <v>34.538477450000002</v>
      </c>
    </row>
    <row r="45" spans="1:28" x14ac:dyDescent="0.2">
      <c r="A45" s="17">
        <v>41</v>
      </c>
      <c r="B45" s="17">
        <v>15.2279044</v>
      </c>
      <c r="C45" s="17">
        <v>28.0414937</v>
      </c>
      <c r="D45" s="17">
        <v>29.767579699999999</v>
      </c>
      <c r="E45" s="17">
        <v>31.783178599999999</v>
      </c>
      <c r="F45" s="17">
        <v>21.136900499999999</v>
      </c>
      <c r="G45" s="17">
        <v>74.970711199999997</v>
      </c>
      <c r="H45" s="17">
        <v>27.395850599999999</v>
      </c>
      <c r="I45" s="17">
        <v>20.755937750000001</v>
      </c>
      <c r="J45" s="17" t="s">
        <v>44</v>
      </c>
      <c r="K45" s="17">
        <v>21.103732399999998</v>
      </c>
      <c r="L45" s="17">
        <v>37.604985249999999</v>
      </c>
      <c r="M45" s="17">
        <v>26.418872199999999</v>
      </c>
      <c r="N45" s="17">
        <v>31.890359199999999</v>
      </c>
      <c r="O45" s="17">
        <v>25.155691600000001</v>
      </c>
      <c r="P45" s="17">
        <v>57.7776991</v>
      </c>
      <c r="Q45" s="17">
        <v>26.342174199999999</v>
      </c>
      <c r="R45" s="17">
        <v>20.384829799999999</v>
      </c>
      <c r="S45" s="17">
        <v>24.1816572</v>
      </c>
      <c r="T45" s="17">
        <v>24.933467</v>
      </c>
      <c r="U45" s="17">
        <v>16.716932700000001</v>
      </c>
      <c r="V45" s="17">
        <v>45.048253649999999</v>
      </c>
      <c r="W45" s="17">
        <v>17.20319155</v>
      </c>
      <c r="X45" s="17">
        <v>36.669659950000003</v>
      </c>
      <c r="Y45" s="17">
        <v>23.192598</v>
      </c>
      <c r="Z45" s="17">
        <v>27.9098431</v>
      </c>
      <c r="AA45" s="17">
        <v>16.74013325</v>
      </c>
      <c r="AB45" s="17">
        <v>25.780645400000001</v>
      </c>
    </row>
    <row r="46" spans="1:28" x14ac:dyDescent="0.2">
      <c r="A46" s="17">
        <v>42</v>
      </c>
      <c r="B46" s="17">
        <v>7.7404345000000001</v>
      </c>
      <c r="C46" s="17">
        <v>14.068687000000001</v>
      </c>
      <c r="D46" s="17">
        <v>15.3091355</v>
      </c>
      <c r="E46" s="17">
        <v>22.467993199999999</v>
      </c>
      <c r="F46" s="17">
        <v>21.491501</v>
      </c>
      <c r="G46" s="17">
        <v>14.924445800000001</v>
      </c>
      <c r="H46" s="17">
        <v>19.436359800000002</v>
      </c>
      <c r="I46" s="17" t="s">
        <v>44</v>
      </c>
      <c r="J46" s="17">
        <v>30.68418265</v>
      </c>
      <c r="K46" s="17">
        <v>22.777276449999999</v>
      </c>
      <c r="L46" s="17">
        <v>25.1804807</v>
      </c>
      <c r="M46" s="17">
        <v>17.061145</v>
      </c>
      <c r="N46" s="17">
        <v>21.100415550000001</v>
      </c>
      <c r="O46" s="17">
        <v>19.66393965</v>
      </c>
      <c r="P46" s="17">
        <v>11.990013149999999</v>
      </c>
      <c r="Q46" s="17">
        <v>14.659239700000001</v>
      </c>
      <c r="R46" s="17">
        <v>27.044169149999998</v>
      </c>
      <c r="S46" s="17">
        <v>30.7803881</v>
      </c>
      <c r="T46" s="17">
        <v>17.83996045</v>
      </c>
      <c r="U46" s="17">
        <v>15.980031</v>
      </c>
      <c r="V46" s="17">
        <v>18.923611399999999</v>
      </c>
      <c r="W46" s="17">
        <v>11.46001775</v>
      </c>
      <c r="X46" s="17">
        <v>29.612369099999999</v>
      </c>
      <c r="Y46" s="17">
        <v>19.219369749999998</v>
      </c>
      <c r="Z46" s="17">
        <v>11.02834945</v>
      </c>
      <c r="AA46" s="17">
        <v>15.641453200000001</v>
      </c>
      <c r="AB46" s="17">
        <v>15.30056175</v>
      </c>
    </row>
    <row r="47" spans="1:28" x14ac:dyDescent="0.2">
      <c r="A47" s="17">
        <v>43</v>
      </c>
      <c r="B47" s="17" t="s">
        <v>44</v>
      </c>
      <c r="C47" s="17">
        <v>61.8678825</v>
      </c>
      <c r="D47" s="17">
        <v>113.02732</v>
      </c>
      <c r="E47" s="17">
        <v>10.520239200000001</v>
      </c>
      <c r="F47" s="17">
        <v>83.684660699999995</v>
      </c>
      <c r="G47" s="17">
        <v>169.32943614999999</v>
      </c>
      <c r="H47" s="17">
        <v>109.8481453</v>
      </c>
      <c r="I47" s="17">
        <v>93.350966900000003</v>
      </c>
      <c r="J47" s="17">
        <v>84.720883749999999</v>
      </c>
      <c r="K47" s="17">
        <v>19.700741600000001</v>
      </c>
      <c r="L47" s="17">
        <v>15.1313592</v>
      </c>
      <c r="M47" s="17">
        <v>53.336126950000001</v>
      </c>
      <c r="N47" s="17">
        <v>26.583020650000002</v>
      </c>
      <c r="O47" s="17" t="s">
        <v>44</v>
      </c>
      <c r="P47" s="17">
        <v>16.621775800000002</v>
      </c>
      <c r="Q47" s="17">
        <v>34.262412449999999</v>
      </c>
      <c r="R47" s="17">
        <v>33.328185249999997</v>
      </c>
      <c r="S47" s="17">
        <v>138.80328595</v>
      </c>
      <c r="T47" s="17">
        <v>23.4483034</v>
      </c>
      <c r="U47" s="17">
        <v>65.348134999999999</v>
      </c>
      <c r="V47" s="17">
        <v>51.132522250000001</v>
      </c>
      <c r="W47" s="17">
        <v>33.25609755</v>
      </c>
      <c r="X47" s="17">
        <v>24.471691100000001</v>
      </c>
      <c r="Y47" s="17">
        <v>31.071974099999998</v>
      </c>
      <c r="Z47" s="17">
        <v>31.28708005</v>
      </c>
      <c r="AA47" s="17">
        <v>14.268834650000001</v>
      </c>
      <c r="AB47" s="17">
        <v>19.484389650000001</v>
      </c>
    </row>
    <row r="48" spans="1:28" x14ac:dyDescent="0.2">
      <c r="A48" s="17">
        <v>44</v>
      </c>
      <c r="B48" s="17" t="s">
        <v>44</v>
      </c>
      <c r="C48" s="17">
        <v>22.948121</v>
      </c>
      <c r="D48" s="17">
        <v>70.701106999999993</v>
      </c>
      <c r="E48" s="17">
        <v>32.675696600000002</v>
      </c>
      <c r="F48" s="17">
        <v>21.280275199999998</v>
      </c>
      <c r="G48" s="17" t="s">
        <v>44</v>
      </c>
      <c r="H48" s="17" t="s">
        <v>44</v>
      </c>
      <c r="I48" s="17">
        <v>31.795821249999999</v>
      </c>
      <c r="J48" s="17">
        <v>90.964932200000007</v>
      </c>
      <c r="K48" s="17">
        <v>38.618850999999999</v>
      </c>
      <c r="L48" s="17">
        <v>25.604881550000002</v>
      </c>
      <c r="M48" s="17">
        <v>39.404052200000002</v>
      </c>
      <c r="N48" s="17" t="s">
        <v>44</v>
      </c>
      <c r="O48" s="17">
        <v>50.080699799999998</v>
      </c>
      <c r="P48" s="17">
        <v>31.107682700000002</v>
      </c>
      <c r="Q48" s="17">
        <v>28.208999049999999</v>
      </c>
      <c r="R48" s="17">
        <v>38.812565900000003</v>
      </c>
      <c r="S48" s="17">
        <v>40.773064750000003</v>
      </c>
      <c r="T48" s="17">
        <v>42.428464200000001</v>
      </c>
      <c r="U48" s="17">
        <v>19.340317599999999</v>
      </c>
      <c r="V48" s="17" t="s">
        <v>44</v>
      </c>
      <c r="W48" s="17" t="s">
        <v>44</v>
      </c>
      <c r="X48" s="17" t="s">
        <v>44</v>
      </c>
      <c r="Y48" s="17">
        <v>18.91974445</v>
      </c>
      <c r="Z48" s="17">
        <v>16.35702075</v>
      </c>
      <c r="AA48" s="17">
        <v>11.852884550000001</v>
      </c>
      <c r="AB48" s="17">
        <v>16.199563999999999</v>
      </c>
    </row>
    <row r="49" spans="1:28" x14ac:dyDescent="0.2">
      <c r="A49" s="17">
        <v>45</v>
      </c>
      <c r="B49" s="17" t="s">
        <v>44</v>
      </c>
      <c r="C49" s="17">
        <v>34.954478999999999</v>
      </c>
      <c r="D49" s="17">
        <v>26.031642349999998</v>
      </c>
      <c r="E49" s="17">
        <v>31.387280400000002</v>
      </c>
      <c r="F49" s="17">
        <v>25.933653</v>
      </c>
      <c r="G49" s="17">
        <v>42.4977223</v>
      </c>
      <c r="H49" s="17">
        <v>35.863546200000002</v>
      </c>
      <c r="I49" s="17">
        <v>19.659283899999998</v>
      </c>
      <c r="J49" s="17">
        <v>18.438829649999999</v>
      </c>
      <c r="K49" s="17">
        <v>26.055362599999999</v>
      </c>
      <c r="L49" s="17">
        <v>18.519288299999999</v>
      </c>
      <c r="M49" s="17">
        <v>29.583061799999999</v>
      </c>
      <c r="N49" s="17">
        <v>19.83538725</v>
      </c>
      <c r="O49" s="17">
        <v>15.0549456</v>
      </c>
      <c r="P49" s="17">
        <v>11.122734749999999</v>
      </c>
      <c r="Q49" s="17">
        <v>29.3150674</v>
      </c>
      <c r="R49" s="17">
        <v>27.53287435</v>
      </c>
      <c r="S49" s="17">
        <v>14.21880885</v>
      </c>
      <c r="T49" s="17">
        <v>21.8190344</v>
      </c>
      <c r="U49" s="17">
        <v>17.74703465</v>
      </c>
      <c r="V49" s="17">
        <v>25.485857800000002</v>
      </c>
      <c r="W49" s="17">
        <v>17.914445700000002</v>
      </c>
      <c r="X49" s="17">
        <v>13.4446666</v>
      </c>
      <c r="Y49" s="17">
        <v>30.869872099999998</v>
      </c>
      <c r="Z49" s="17">
        <v>11.50252175</v>
      </c>
      <c r="AA49" s="17">
        <v>14.93034795</v>
      </c>
      <c r="AB49" s="17">
        <v>24.619600899999998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B5DD-4A5F-425E-881E-B5805872446A}">
  <dimension ref="A1:AC43"/>
  <sheetViews>
    <sheetView workbookViewId="0">
      <selection activeCell="B4" sqref="B4:B43"/>
    </sheetView>
  </sheetViews>
  <sheetFormatPr defaultColWidth="8.625" defaultRowHeight="11.25" x14ac:dyDescent="0.2"/>
  <cols>
    <col min="1" max="3" width="8.625" style="17"/>
    <col min="4" max="4" width="8.625" style="17" customWidth="1"/>
    <col min="5" max="16384" width="8.625" style="17"/>
  </cols>
  <sheetData>
    <row r="1" spans="1:29" s="9" customFormat="1" x14ac:dyDescent="0.2">
      <c r="C1" s="9" t="s">
        <v>46</v>
      </c>
      <c r="D1" s="10">
        <v>2</v>
      </c>
      <c r="E1" s="10">
        <v>11</v>
      </c>
      <c r="F1" s="10">
        <v>12</v>
      </c>
      <c r="G1" s="10">
        <v>18</v>
      </c>
      <c r="H1" s="10">
        <v>15</v>
      </c>
      <c r="I1" s="10">
        <v>3</v>
      </c>
      <c r="J1" s="10">
        <v>20</v>
      </c>
      <c r="K1" s="10">
        <v>19</v>
      </c>
      <c r="L1" s="10">
        <v>7</v>
      </c>
      <c r="M1" s="10">
        <v>8</v>
      </c>
      <c r="N1" s="10">
        <v>1</v>
      </c>
      <c r="O1" s="10">
        <v>16</v>
      </c>
      <c r="P1" s="10">
        <v>9</v>
      </c>
      <c r="Q1" s="10">
        <v>4</v>
      </c>
      <c r="R1" s="10">
        <v>5</v>
      </c>
      <c r="S1" s="10">
        <v>13</v>
      </c>
      <c r="T1" s="10">
        <v>17</v>
      </c>
      <c r="U1" s="10">
        <v>14</v>
      </c>
      <c r="V1" s="10">
        <v>10</v>
      </c>
      <c r="W1" s="10">
        <v>6</v>
      </c>
    </row>
    <row r="2" spans="1:29" s="9" customFormat="1" x14ac:dyDescent="0.2">
      <c r="C2" s="9" t="s">
        <v>47</v>
      </c>
      <c r="D2" s="10">
        <v>1</v>
      </c>
      <c r="E2" s="11">
        <v>2</v>
      </c>
      <c r="F2" s="11">
        <v>3</v>
      </c>
      <c r="G2" s="12">
        <v>4</v>
      </c>
      <c r="H2" s="13">
        <v>5</v>
      </c>
      <c r="I2" s="14">
        <v>6</v>
      </c>
      <c r="J2" s="10">
        <v>7</v>
      </c>
      <c r="K2" s="12">
        <v>8</v>
      </c>
      <c r="L2" s="15">
        <v>9</v>
      </c>
      <c r="M2" s="15">
        <v>10</v>
      </c>
      <c r="N2" s="16">
        <v>11</v>
      </c>
      <c r="O2" s="13">
        <v>12</v>
      </c>
      <c r="P2" s="15">
        <v>13</v>
      </c>
      <c r="Q2" s="14">
        <v>14</v>
      </c>
      <c r="R2" s="14">
        <v>15</v>
      </c>
      <c r="S2" s="11">
        <v>16</v>
      </c>
      <c r="T2" s="13">
        <v>17</v>
      </c>
      <c r="U2" s="11">
        <v>18</v>
      </c>
      <c r="V2" s="15">
        <v>19</v>
      </c>
      <c r="W2" s="14">
        <v>20</v>
      </c>
      <c r="X2" s="9">
        <v>21</v>
      </c>
      <c r="Y2" s="9">
        <v>22</v>
      </c>
      <c r="Z2" s="9">
        <v>23</v>
      </c>
      <c r="AA2" s="9">
        <v>24</v>
      </c>
      <c r="AB2" s="9">
        <v>25</v>
      </c>
      <c r="AC2" s="9">
        <v>26</v>
      </c>
    </row>
    <row r="3" spans="1:29" s="9" customFormat="1" x14ac:dyDescent="0.2">
      <c r="D3" s="10" t="s">
        <v>0</v>
      </c>
      <c r="E3" s="11" t="s">
        <v>2</v>
      </c>
      <c r="F3" s="11" t="s">
        <v>4</v>
      </c>
      <c r="G3" s="12" t="s">
        <v>6</v>
      </c>
      <c r="H3" s="13" t="s">
        <v>8</v>
      </c>
      <c r="I3" s="14" t="s">
        <v>10</v>
      </c>
      <c r="J3" s="10" t="s">
        <v>12</v>
      </c>
      <c r="K3" s="12" t="s">
        <v>14</v>
      </c>
      <c r="L3" s="15" t="s">
        <v>16</v>
      </c>
      <c r="M3" s="15" t="s">
        <v>18</v>
      </c>
      <c r="N3" s="16" t="s">
        <v>20</v>
      </c>
      <c r="O3" s="13" t="s">
        <v>22</v>
      </c>
      <c r="P3" s="15" t="s">
        <v>24</v>
      </c>
      <c r="Q3" s="14" t="s">
        <v>26</v>
      </c>
      <c r="R3" s="14" t="s">
        <v>28</v>
      </c>
      <c r="S3" s="11" t="s">
        <v>30</v>
      </c>
      <c r="T3" s="13" t="s">
        <v>32</v>
      </c>
      <c r="U3" s="11" t="s">
        <v>34</v>
      </c>
      <c r="V3" s="15" t="s">
        <v>36</v>
      </c>
      <c r="W3" s="14" t="s">
        <v>38</v>
      </c>
    </row>
    <row r="4" spans="1:29" s="9" customFormat="1" ht="22.5" x14ac:dyDescent="0.2">
      <c r="A4" s="9" t="s">
        <v>94</v>
      </c>
      <c r="B4" s="9" t="s">
        <v>58</v>
      </c>
      <c r="C4" s="17" t="s">
        <v>45</v>
      </c>
      <c r="D4" s="10" t="s">
        <v>1</v>
      </c>
      <c r="E4" s="11" t="s">
        <v>3</v>
      </c>
      <c r="F4" s="11" t="s">
        <v>5</v>
      </c>
      <c r="G4" s="12" t="s">
        <v>7</v>
      </c>
      <c r="H4" s="13" t="s">
        <v>9</v>
      </c>
      <c r="I4" s="14" t="s">
        <v>11</v>
      </c>
      <c r="J4" s="10" t="s">
        <v>13</v>
      </c>
      <c r="K4" s="12" t="s">
        <v>15</v>
      </c>
      <c r="L4" s="15" t="s">
        <v>17</v>
      </c>
      <c r="M4" s="15" t="s">
        <v>19</v>
      </c>
      <c r="N4" s="16" t="s">
        <v>21</v>
      </c>
      <c r="O4" s="13" t="s">
        <v>23</v>
      </c>
      <c r="P4" s="15" t="s">
        <v>25</v>
      </c>
      <c r="Q4" s="14" t="s">
        <v>27</v>
      </c>
      <c r="R4" s="14" t="s">
        <v>29</v>
      </c>
      <c r="S4" s="11" t="s">
        <v>31</v>
      </c>
      <c r="T4" s="13" t="s">
        <v>33</v>
      </c>
      <c r="U4" s="11" t="s">
        <v>35</v>
      </c>
      <c r="V4" s="15" t="s">
        <v>37</v>
      </c>
      <c r="W4" s="14" t="s">
        <v>39</v>
      </c>
      <c r="X4" s="9" t="s">
        <v>59</v>
      </c>
      <c r="Y4" s="9" t="s">
        <v>60</v>
      </c>
      <c r="Z4" s="9" t="s">
        <v>61</v>
      </c>
      <c r="AA4" s="9" t="s">
        <v>62</v>
      </c>
      <c r="AB4" s="9" t="s">
        <v>63</v>
      </c>
      <c r="AC4" s="9" t="s">
        <v>64</v>
      </c>
    </row>
    <row r="5" spans="1:29" x14ac:dyDescent="0.2">
      <c r="A5" s="17">
        <f>AVERAGE(D5:AC5)</f>
        <v>10.417924726498757</v>
      </c>
      <c r="B5" s="17">
        <v>100</v>
      </c>
      <c r="C5" s="17">
        <v>1</v>
      </c>
      <c r="D5" s="17" t="s">
        <v>44</v>
      </c>
      <c r="E5" s="17">
        <v>9.4267610887115794</v>
      </c>
      <c r="F5" s="17">
        <v>7.0278880409446201</v>
      </c>
      <c r="G5" s="17">
        <v>14.7747011150781</v>
      </c>
      <c r="H5" s="17">
        <v>6.69833756045439</v>
      </c>
      <c r="I5" s="17" t="s">
        <v>44</v>
      </c>
      <c r="J5" s="17">
        <v>26.447070518177998</v>
      </c>
      <c r="K5" s="17">
        <v>12.2940991360549</v>
      </c>
      <c r="L5" s="17">
        <v>11.285087781964201</v>
      </c>
      <c r="M5" s="17">
        <v>6.4818987867966102</v>
      </c>
      <c r="N5" s="17">
        <v>5.5373493840360197</v>
      </c>
      <c r="O5" s="17">
        <v>6.7847005642647202</v>
      </c>
      <c r="P5" s="17">
        <v>3.7683276306485398</v>
      </c>
      <c r="Q5" s="17">
        <v>7.5607987831133601</v>
      </c>
      <c r="R5" s="17">
        <v>10.3037794926854</v>
      </c>
      <c r="S5" s="17">
        <v>5.3435981210614498</v>
      </c>
      <c r="T5" s="17">
        <v>1.8656913489906699</v>
      </c>
      <c r="U5" s="17">
        <v>4.9532215243868896</v>
      </c>
      <c r="V5" s="17">
        <v>11.2239936158332</v>
      </c>
      <c r="W5" s="17">
        <v>9.8756171778596595</v>
      </c>
      <c r="X5" s="17" t="s">
        <v>44</v>
      </c>
      <c r="Y5" s="17">
        <v>10.0328296850093</v>
      </c>
      <c r="Z5" s="17">
        <v>17.296322791912299</v>
      </c>
      <c r="AA5" s="17">
        <v>16.348905781614398</v>
      </c>
      <c r="AB5" s="17">
        <v>17.7293027568676</v>
      </c>
      <c r="AC5" s="17">
        <v>16.551986023005501</v>
      </c>
    </row>
    <row r="6" spans="1:29" x14ac:dyDescent="0.2">
      <c r="A6" s="17" t="e">
        <f t="shared" ref="A6:A43" si="0">AVERAGE(D6:AC6)</f>
        <v>#DIV/0!</v>
      </c>
      <c r="B6" s="17">
        <v>103</v>
      </c>
      <c r="C6" s="17">
        <v>2</v>
      </c>
      <c r="D6" s="17" t="s">
        <v>44</v>
      </c>
      <c r="E6" s="17" t="s">
        <v>44</v>
      </c>
      <c r="F6" s="17" t="s">
        <v>44</v>
      </c>
      <c r="G6" s="17" t="s">
        <v>44</v>
      </c>
      <c r="H6" s="17" t="s">
        <v>44</v>
      </c>
      <c r="I6" s="17" t="s">
        <v>44</v>
      </c>
      <c r="J6" s="17" t="s">
        <v>44</v>
      </c>
      <c r="K6" s="17" t="s">
        <v>44</v>
      </c>
      <c r="L6" s="17" t="s">
        <v>44</v>
      </c>
      <c r="M6" s="17" t="s">
        <v>44</v>
      </c>
      <c r="N6" s="17" t="s">
        <v>44</v>
      </c>
      <c r="O6" s="17" t="s">
        <v>44</v>
      </c>
      <c r="P6" s="17" t="s">
        <v>44</v>
      </c>
      <c r="Q6" s="17" t="s">
        <v>44</v>
      </c>
      <c r="R6" s="17" t="s">
        <v>44</v>
      </c>
      <c r="S6" s="17" t="s">
        <v>44</v>
      </c>
      <c r="T6" s="17" t="s">
        <v>44</v>
      </c>
      <c r="U6" s="17" t="s">
        <v>44</v>
      </c>
      <c r="V6" s="17" t="s">
        <v>44</v>
      </c>
      <c r="W6" s="17" t="s">
        <v>44</v>
      </c>
      <c r="X6" s="17" t="s">
        <v>44</v>
      </c>
      <c r="Y6" s="17" t="s">
        <v>44</v>
      </c>
      <c r="Z6" s="17" t="s">
        <v>44</v>
      </c>
      <c r="AA6" s="17" t="s">
        <v>44</v>
      </c>
      <c r="AB6" s="17" t="s">
        <v>44</v>
      </c>
      <c r="AC6" s="17" t="s">
        <v>44</v>
      </c>
    </row>
    <row r="7" spans="1:29" x14ac:dyDescent="0.2">
      <c r="A7" s="17">
        <f t="shared" si="0"/>
        <v>8.6648355014449407</v>
      </c>
      <c r="B7" s="17">
        <v>105</v>
      </c>
      <c r="C7" s="17">
        <v>3</v>
      </c>
      <c r="D7" s="17">
        <v>19.005748989601202</v>
      </c>
      <c r="E7" s="17">
        <v>5.0398010549475201</v>
      </c>
      <c r="F7" s="17">
        <v>4.6726103017981204</v>
      </c>
      <c r="G7" s="17">
        <v>10.2645836446241</v>
      </c>
      <c r="H7" s="17">
        <v>5.8404975500230503</v>
      </c>
      <c r="I7" s="17" t="s">
        <v>44</v>
      </c>
      <c r="J7" s="17">
        <v>7.6493236005818304</v>
      </c>
      <c r="K7" s="17">
        <v>9.8639069564134392</v>
      </c>
      <c r="L7" s="17">
        <v>4.1137161861558802</v>
      </c>
      <c r="M7" s="17">
        <v>12.6838443851939</v>
      </c>
      <c r="N7" s="17">
        <v>10.7667266462167</v>
      </c>
      <c r="O7" s="17">
        <v>7.1366207567722597</v>
      </c>
      <c r="P7" s="17">
        <v>3.2171616028530599</v>
      </c>
      <c r="Q7" s="17">
        <v>13.226045877422999</v>
      </c>
      <c r="R7" s="17">
        <v>3.5941624088582</v>
      </c>
      <c r="S7" s="17">
        <v>8.0529518109429503</v>
      </c>
      <c r="T7" s="17">
        <v>5.20935899124526</v>
      </c>
      <c r="U7" s="17">
        <v>5.9472139120002696</v>
      </c>
      <c r="V7" s="17">
        <v>10.5697789080305</v>
      </c>
      <c r="W7" s="17">
        <v>20.1883503455031</v>
      </c>
      <c r="X7" s="17">
        <v>3.9220951532561998</v>
      </c>
      <c r="Y7" s="17" t="s">
        <v>44</v>
      </c>
      <c r="Z7" s="17">
        <v>8.1788984091050096</v>
      </c>
      <c r="AA7" s="17">
        <v>9.4793200681310701</v>
      </c>
      <c r="AB7" s="17">
        <v>8.0490326115257105</v>
      </c>
      <c r="AC7" s="17">
        <v>11.2843018634762</v>
      </c>
    </row>
    <row r="8" spans="1:29" x14ac:dyDescent="0.2">
      <c r="A8" s="17">
        <f t="shared" si="0"/>
        <v>9.7155473008755493</v>
      </c>
      <c r="B8" s="17">
        <v>107</v>
      </c>
      <c r="C8" s="17">
        <v>4</v>
      </c>
      <c r="D8" s="17" t="s">
        <v>44</v>
      </c>
      <c r="E8" s="17">
        <v>11.1256530005265</v>
      </c>
      <c r="F8" s="17">
        <v>15.500412274597799</v>
      </c>
      <c r="G8" s="17">
        <v>4.7564790298711799</v>
      </c>
      <c r="H8" s="17">
        <v>5.4889438878781203</v>
      </c>
      <c r="I8" s="17">
        <v>14.96214282607</v>
      </c>
      <c r="J8" s="17">
        <v>3.90234891321666</v>
      </c>
      <c r="K8" s="17">
        <v>4.4729253377512599</v>
      </c>
      <c r="L8" s="17">
        <v>19.135269006490201</v>
      </c>
      <c r="M8" s="17">
        <v>18.163033030162701</v>
      </c>
      <c r="N8" s="17">
        <v>5.0543315139006397</v>
      </c>
      <c r="O8" s="17">
        <v>5.16604754363778</v>
      </c>
      <c r="P8" s="17">
        <v>13.454776973606201</v>
      </c>
      <c r="Q8" s="17">
        <v>7.9916679784616598</v>
      </c>
      <c r="R8" s="17">
        <v>7.6777697662832702</v>
      </c>
      <c r="S8" s="17">
        <v>8.2378620598249803</v>
      </c>
      <c r="T8" s="17">
        <v>3.8190263458304101</v>
      </c>
      <c r="U8" s="17">
        <v>21.460350300811399</v>
      </c>
      <c r="V8" s="17">
        <v>3.3090724829388898</v>
      </c>
      <c r="W8" s="17">
        <v>7.4046464955605398</v>
      </c>
      <c r="X8" s="17">
        <v>9.7574541251085698</v>
      </c>
      <c r="Y8" s="17">
        <v>8.4416503702251102</v>
      </c>
      <c r="Z8" s="17">
        <v>7.1597493390988198</v>
      </c>
      <c r="AA8" s="17">
        <v>6.9598894791483801</v>
      </c>
      <c r="AB8" s="17">
        <v>17.9164637090227</v>
      </c>
      <c r="AC8" s="17">
        <v>11.5707167318649</v>
      </c>
    </row>
    <row r="9" spans="1:29" x14ac:dyDescent="0.2">
      <c r="A9" s="17">
        <f t="shared" si="0"/>
        <v>8.9391868733217752</v>
      </c>
      <c r="B9" s="17">
        <v>10</v>
      </c>
      <c r="C9" s="17">
        <v>5</v>
      </c>
      <c r="D9" s="17">
        <v>7.3282742368112403</v>
      </c>
      <c r="E9" s="17">
        <v>10.3260745068762</v>
      </c>
      <c r="F9" s="17">
        <v>6.0733106500935499</v>
      </c>
      <c r="G9" s="17">
        <v>15.798519235723401</v>
      </c>
      <c r="H9" s="17">
        <v>6.27954534654019</v>
      </c>
      <c r="I9" s="17">
        <v>13.686232575475</v>
      </c>
      <c r="J9" s="17">
        <v>9.3412835374186702</v>
      </c>
      <c r="K9" s="17">
        <v>12.301645015500901</v>
      </c>
      <c r="L9" s="17">
        <v>1.4040471986918399</v>
      </c>
      <c r="M9" s="17">
        <v>14.260374843402699</v>
      </c>
      <c r="N9" s="17">
        <v>15.1190421197989</v>
      </c>
      <c r="O9" s="17">
        <v>7.4330226193944702</v>
      </c>
      <c r="P9" s="17">
        <v>6.9144879203755298</v>
      </c>
      <c r="Q9" s="17">
        <v>6.3392703692044101</v>
      </c>
      <c r="R9" s="17">
        <v>14.7662760629209</v>
      </c>
      <c r="S9" s="17">
        <v>10.3570370360134</v>
      </c>
      <c r="T9" s="17">
        <v>8.0209195392153898</v>
      </c>
      <c r="U9" s="17">
        <v>7.9749079670530403</v>
      </c>
      <c r="V9" s="17">
        <v>6.8027606487497598</v>
      </c>
      <c r="W9" s="17">
        <v>5.8987055451762602</v>
      </c>
      <c r="X9" s="17">
        <v>8.6625102057328203</v>
      </c>
      <c r="Y9" s="17">
        <v>6.5636991760022401</v>
      </c>
      <c r="Z9" s="17">
        <v>3.0161320365236901</v>
      </c>
      <c r="AA9" s="17">
        <v>14.2227752927603</v>
      </c>
      <c r="AB9" s="17">
        <v>4.5938796219308404</v>
      </c>
      <c r="AC9" s="17">
        <v>8.9341253989805001</v>
      </c>
    </row>
    <row r="10" spans="1:29" x14ac:dyDescent="0.2">
      <c r="A10" s="17">
        <f t="shared" si="0"/>
        <v>8.593356982118749</v>
      </c>
      <c r="B10" s="17">
        <v>13</v>
      </c>
      <c r="C10" s="17">
        <v>6</v>
      </c>
      <c r="D10" s="17">
        <v>6.62905747915124</v>
      </c>
      <c r="E10" s="17">
        <v>10.956781721251399</v>
      </c>
      <c r="F10" s="17">
        <v>7.8568014336341996</v>
      </c>
      <c r="G10" s="17">
        <v>9.1754071154100494</v>
      </c>
      <c r="H10" s="17">
        <v>11.117881784843901</v>
      </c>
      <c r="I10" s="17">
        <v>4.6690059754259803</v>
      </c>
      <c r="J10" s="17">
        <v>9.2193224140412706</v>
      </c>
      <c r="K10" s="17">
        <v>11.8173334949285</v>
      </c>
      <c r="L10" s="17">
        <v>5.0802099901254403</v>
      </c>
      <c r="M10" s="17">
        <v>11.0365143390234</v>
      </c>
      <c r="N10" s="17">
        <v>3.9694761295496601</v>
      </c>
      <c r="O10" s="17">
        <v>3.35356227617094</v>
      </c>
      <c r="P10" s="17">
        <v>5.4455561410840696</v>
      </c>
      <c r="Q10" s="17">
        <v>11.985170003653799</v>
      </c>
      <c r="R10" s="17">
        <v>13.688995386853801</v>
      </c>
      <c r="S10" s="17">
        <v>9.6094058465765393</v>
      </c>
      <c r="T10" s="17">
        <v>16.150663286883201</v>
      </c>
      <c r="U10" s="17">
        <v>6.4929928768284597</v>
      </c>
      <c r="V10" s="17">
        <v>10.657129250566999</v>
      </c>
      <c r="W10" s="17">
        <v>5.7233625729462103</v>
      </c>
      <c r="X10" s="17">
        <v>6.7017501712488796</v>
      </c>
      <c r="Y10" s="17">
        <v>8.0235048876610993</v>
      </c>
      <c r="Z10" s="17">
        <v>9.2828536505321306</v>
      </c>
      <c r="AA10" s="17">
        <v>12.6551918680974</v>
      </c>
      <c r="AB10" s="17">
        <v>7.6095926405205301</v>
      </c>
      <c r="AC10" s="17">
        <v>4.5197587980783798</v>
      </c>
    </row>
    <row r="11" spans="1:29" x14ac:dyDescent="0.2">
      <c r="A11" s="17">
        <f t="shared" si="0"/>
        <v>15.544099845700423</v>
      </c>
      <c r="B11" s="17">
        <v>14</v>
      </c>
      <c r="C11" s="17">
        <v>7</v>
      </c>
      <c r="D11" s="17">
        <v>30.117177492362899</v>
      </c>
      <c r="E11" s="17">
        <v>13.379941654573001</v>
      </c>
      <c r="F11" s="17">
        <v>21.360301834069801</v>
      </c>
      <c r="G11" s="17">
        <v>11.698275962564599</v>
      </c>
      <c r="H11" s="17">
        <v>15.035260084438301</v>
      </c>
      <c r="I11" s="17">
        <v>28.6870681597883</v>
      </c>
      <c r="J11" s="17">
        <v>7.8525295193387601</v>
      </c>
      <c r="K11" s="17">
        <v>11.0578111276788</v>
      </c>
      <c r="L11" s="17">
        <v>17.997465698724501</v>
      </c>
      <c r="M11" s="17">
        <v>19.5686540540698</v>
      </c>
      <c r="N11" s="17">
        <v>22.166483603963201</v>
      </c>
      <c r="O11" s="17">
        <v>18.752949733069698</v>
      </c>
      <c r="P11" s="17">
        <v>10.010542758323099</v>
      </c>
      <c r="Q11" s="17">
        <v>6.0028801856917804</v>
      </c>
      <c r="R11" s="17">
        <v>10.6886712934967</v>
      </c>
      <c r="S11" s="17">
        <v>9.7215835656326792</v>
      </c>
      <c r="T11" s="17">
        <v>4.1641325122681998</v>
      </c>
      <c r="U11" s="17">
        <v>5.3372362053324904</v>
      </c>
      <c r="V11" s="17">
        <v>12.2962419123369</v>
      </c>
      <c r="W11" s="17">
        <v>5.8336842590696696</v>
      </c>
      <c r="X11" s="17">
        <v>20.170574447322199</v>
      </c>
      <c r="Y11" s="17">
        <v>18.4493999802256</v>
      </c>
      <c r="Z11" s="17">
        <v>19.117351090750901</v>
      </c>
      <c r="AA11" s="17">
        <v>16.432009855714298</v>
      </c>
      <c r="AB11" s="17">
        <v>32.704269151704302</v>
      </c>
      <c r="AC11" s="17" t="s">
        <v>44</v>
      </c>
    </row>
    <row r="12" spans="1:29" x14ac:dyDescent="0.2">
      <c r="A12" s="17">
        <f t="shared" si="0"/>
        <v>14.03947301283937</v>
      </c>
      <c r="B12" s="17">
        <v>19</v>
      </c>
      <c r="C12" s="17">
        <v>8</v>
      </c>
      <c r="D12" s="17">
        <v>14.9377690425598</v>
      </c>
      <c r="E12" s="17">
        <v>19.171589135831901</v>
      </c>
      <c r="F12" s="17">
        <v>20.795337974572</v>
      </c>
      <c r="G12" s="17">
        <v>15.125069915662801</v>
      </c>
      <c r="H12" s="17">
        <v>11.2322604771241</v>
      </c>
      <c r="I12" s="17">
        <v>15.2169334120487</v>
      </c>
      <c r="J12" s="17">
        <v>7.6220466574799604</v>
      </c>
      <c r="K12" s="17">
        <v>31.2658677872844</v>
      </c>
      <c r="L12" s="17">
        <v>16.487821792761999</v>
      </c>
      <c r="M12" s="17">
        <v>11.593880391792901</v>
      </c>
      <c r="N12" s="17">
        <v>21.499834567515201</v>
      </c>
      <c r="O12" s="17">
        <v>16.092414749401801</v>
      </c>
      <c r="P12" s="17" t="s">
        <v>44</v>
      </c>
      <c r="Q12" s="17">
        <v>11.162214299942599</v>
      </c>
      <c r="R12" s="17">
        <v>27.140411273070502</v>
      </c>
      <c r="S12" s="17">
        <v>20.507204694307099</v>
      </c>
      <c r="T12" s="17">
        <v>15.285864030200999</v>
      </c>
      <c r="U12" s="17" t="s">
        <v>44</v>
      </c>
      <c r="V12" s="17" t="s">
        <v>44</v>
      </c>
      <c r="W12" s="17">
        <v>9.2136052729877296</v>
      </c>
      <c r="X12" s="17">
        <v>1.97480679538135</v>
      </c>
      <c r="Y12" s="17">
        <v>6.9008711741942204</v>
      </c>
      <c r="Z12" s="17">
        <v>1.16778036131442</v>
      </c>
      <c r="AA12" s="17">
        <v>11.761303777689999</v>
      </c>
      <c r="AB12" s="17">
        <v>13.615509058253</v>
      </c>
      <c r="AC12" s="17">
        <v>3.1374826539280498</v>
      </c>
    </row>
    <row r="13" spans="1:29" x14ac:dyDescent="0.2">
      <c r="A13" s="17">
        <f t="shared" si="0"/>
        <v>12.32949776009314</v>
      </c>
      <c r="B13" s="17">
        <v>21</v>
      </c>
      <c r="C13" s="17">
        <v>9</v>
      </c>
      <c r="D13" s="17">
        <v>21.0893654608582</v>
      </c>
      <c r="E13" s="17">
        <v>11.058405752575601</v>
      </c>
      <c r="F13" s="17">
        <v>5.2081806578044496</v>
      </c>
      <c r="G13" s="17">
        <v>23.709053307098301</v>
      </c>
      <c r="H13" s="17">
        <v>2.19396777290273</v>
      </c>
      <c r="I13" s="17">
        <v>18.613423727081301</v>
      </c>
      <c r="J13" s="17">
        <v>2.1123778404300202</v>
      </c>
      <c r="K13" s="17">
        <v>4.6519359148569901</v>
      </c>
      <c r="L13" s="17">
        <v>23.1573549612086</v>
      </c>
      <c r="M13" s="17">
        <v>5.80260694357366</v>
      </c>
      <c r="N13" s="17">
        <v>10.0810424985211</v>
      </c>
      <c r="O13" s="17">
        <v>15.104202929745799</v>
      </c>
      <c r="P13" s="17">
        <v>5.1787037430720897</v>
      </c>
      <c r="Q13" s="17">
        <v>4.8641398493670698</v>
      </c>
      <c r="R13" s="17">
        <v>17.808229818880601</v>
      </c>
      <c r="S13" s="17">
        <v>9.6584347047945993</v>
      </c>
      <c r="T13" s="17">
        <v>3.1903267403456499</v>
      </c>
      <c r="U13" s="17">
        <v>10.157392576032199</v>
      </c>
      <c r="V13" s="17">
        <v>14.417730008546901</v>
      </c>
      <c r="W13" s="17">
        <v>9.2201287977875506</v>
      </c>
      <c r="X13" s="17">
        <v>15.821679928362</v>
      </c>
      <c r="Y13" s="17">
        <v>14.783908114038899</v>
      </c>
      <c r="Z13" s="17">
        <v>14.697177059259401</v>
      </c>
      <c r="AA13" s="17">
        <v>34.578579649163501</v>
      </c>
      <c r="AB13" s="17">
        <v>14.225454553327999</v>
      </c>
      <c r="AC13" s="17">
        <v>9.1831384527865403</v>
      </c>
    </row>
    <row r="14" spans="1:29" x14ac:dyDescent="0.2">
      <c r="A14" s="17">
        <f t="shared" si="0"/>
        <v>7.7833760935636489</v>
      </c>
      <c r="B14" s="17">
        <v>23</v>
      </c>
      <c r="C14" s="17">
        <v>10</v>
      </c>
      <c r="D14" s="17" t="s">
        <v>44</v>
      </c>
      <c r="E14" s="17">
        <v>10.8653965735366</v>
      </c>
      <c r="F14" s="17">
        <v>5.5887897808215197</v>
      </c>
      <c r="G14" s="17">
        <v>9.4974961789141101</v>
      </c>
      <c r="H14" s="17">
        <v>4.6193430299791602</v>
      </c>
      <c r="I14" s="17">
        <v>1.9318639090504499</v>
      </c>
      <c r="J14" s="17">
        <v>5.6107134332857598</v>
      </c>
      <c r="K14" s="17">
        <v>5.8886635283705697</v>
      </c>
      <c r="L14" s="17">
        <v>11.6237482434715</v>
      </c>
      <c r="M14" s="17">
        <v>6.1779430592222999</v>
      </c>
      <c r="N14" s="17">
        <v>6.6354702930669003</v>
      </c>
      <c r="O14" s="17">
        <v>14.5387350904369</v>
      </c>
      <c r="P14" s="17">
        <v>4.4125039142853701</v>
      </c>
      <c r="Q14" s="17">
        <v>4.7412687908151003</v>
      </c>
      <c r="R14" s="17">
        <v>4.4761288644837496</v>
      </c>
      <c r="S14" s="17">
        <v>10.032417628455899</v>
      </c>
      <c r="T14" s="17">
        <v>6.0470095099830701</v>
      </c>
      <c r="U14" s="17">
        <v>13.507295046040401</v>
      </c>
      <c r="V14" s="17">
        <v>5.6882256074336697</v>
      </c>
      <c r="W14" s="17">
        <v>5.1760610364044402</v>
      </c>
      <c r="X14" s="17">
        <v>9.7906024221779209</v>
      </c>
      <c r="Y14" s="17">
        <v>8.17116369701648</v>
      </c>
      <c r="Z14" s="17">
        <v>5.1964531778400396</v>
      </c>
      <c r="AA14" s="17">
        <v>10.654493493298499</v>
      </c>
      <c r="AB14" s="17">
        <v>13.703767659261599</v>
      </c>
      <c r="AC14" s="17">
        <v>10.0088483714392</v>
      </c>
    </row>
    <row r="15" spans="1:29" x14ac:dyDescent="0.2">
      <c r="A15" s="17">
        <f t="shared" si="0"/>
        <v>11.189776488060357</v>
      </c>
      <c r="B15" s="17">
        <v>27</v>
      </c>
      <c r="C15" s="17">
        <v>11</v>
      </c>
      <c r="D15" s="17">
        <v>11.0503355501339</v>
      </c>
      <c r="E15" s="17">
        <v>10.3968622455005</v>
      </c>
      <c r="F15" s="17">
        <v>26.620618726952301</v>
      </c>
      <c r="G15" s="17">
        <v>9.7097343157550906</v>
      </c>
      <c r="H15" s="17">
        <v>7.8840844925693103</v>
      </c>
      <c r="I15" s="17">
        <v>7.5694070419207398</v>
      </c>
      <c r="J15" s="17">
        <v>3.9674513958503002</v>
      </c>
      <c r="K15" s="17">
        <v>7.2805043877023996</v>
      </c>
      <c r="L15" s="17">
        <v>17.712743551357701</v>
      </c>
      <c r="M15" s="17">
        <v>10.380480693595899</v>
      </c>
      <c r="N15" s="17">
        <v>12.5295956983524</v>
      </c>
      <c r="O15" s="17">
        <v>12.5523832298146</v>
      </c>
      <c r="P15" s="17">
        <v>14.3804530239328</v>
      </c>
      <c r="Q15" s="17">
        <v>6.49137590929924</v>
      </c>
      <c r="R15" s="17">
        <v>11.224820483414801</v>
      </c>
      <c r="S15" s="17">
        <v>12.035194886189901</v>
      </c>
      <c r="T15" s="17">
        <v>9.8510775244290301</v>
      </c>
      <c r="U15" s="17">
        <v>9.0886549732813204</v>
      </c>
      <c r="V15" s="17">
        <v>9.5367133063002196</v>
      </c>
      <c r="W15" s="17">
        <v>8.58226462407446</v>
      </c>
      <c r="X15" s="17">
        <v>9.0476347727434607</v>
      </c>
      <c r="Y15" s="17">
        <v>7.8231393521172699</v>
      </c>
      <c r="Z15" s="17">
        <v>15.1171410901635</v>
      </c>
      <c r="AA15" s="17">
        <v>21.614580014209999</v>
      </c>
      <c r="AB15" s="17">
        <v>13.104658693093301</v>
      </c>
      <c r="AC15" s="17">
        <v>5.3822787068148203</v>
      </c>
    </row>
    <row r="16" spans="1:29" x14ac:dyDescent="0.2">
      <c r="A16" s="17">
        <f t="shared" si="0"/>
        <v>11.679130892352982</v>
      </c>
      <c r="B16" s="17">
        <v>28</v>
      </c>
      <c r="C16" s="17">
        <v>12</v>
      </c>
      <c r="D16" s="17" t="s">
        <v>44</v>
      </c>
      <c r="E16" s="17">
        <v>7.7625215410713801</v>
      </c>
      <c r="F16" s="17" t="s">
        <v>44</v>
      </c>
      <c r="G16" s="17">
        <v>12.143568186993599</v>
      </c>
      <c r="H16" s="17">
        <v>3.86592222707139</v>
      </c>
      <c r="I16" s="17">
        <v>9.8290575452006195</v>
      </c>
      <c r="J16" s="17">
        <v>10.988252110013001</v>
      </c>
      <c r="K16" s="17">
        <v>9.6737056293234698</v>
      </c>
      <c r="L16" s="17">
        <v>20.849383260314699</v>
      </c>
      <c r="M16" s="17">
        <v>20.533550254213502</v>
      </c>
      <c r="N16" s="17">
        <v>6.3161521800953704</v>
      </c>
      <c r="O16" s="17">
        <v>5.0813822621231601</v>
      </c>
      <c r="P16" s="17">
        <v>16.935706529476199</v>
      </c>
      <c r="Q16" s="17">
        <v>19.649779016886001</v>
      </c>
      <c r="R16" s="17">
        <v>8.6243074041150702</v>
      </c>
      <c r="S16" s="17">
        <v>15.249646700590301</v>
      </c>
      <c r="T16" s="17">
        <v>6.8136902877230199</v>
      </c>
      <c r="U16" s="17">
        <v>15.8655996060515</v>
      </c>
      <c r="V16" s="17">
        <v>11.468623799711199</v>
      </c>
      <c r="W16" s="17">
        <v>3.3949895806584398</v>
      </c>
      <c r="X16" s="17">
        <v>17.092053479653401</v>
      </c>
      <c r="Y16" s="17">
        <v>9.9619197872054706</v>
      </c>
      <c r="Z16" s="17">
        <v>14.200414960836</v>
      </c>
      <c r="AA16" s="17">
        <v>17.724658551934201</v>
      </c>
      <c r="AB16" s="17">
        <v>10.0146883069855</v>
      </c>
      <c r="AC16" s="17">
        <v>6.25956820822514</v>
      </c>
    </row>
    <row r="17" spans="1:29" x14ac:dyDescent="0.2">
      <c r="A17" s="17">
        <f t="shared" si="0"/>
        <v>9.6816514624266325</v>
      </c>
      <c r="B17" s="17">
        <v>35</v>
      </c>
      <c r="C17" s="17">
        <v>13</v>
      </c>
      <c r="D17" s="17">
        <v>20.097111308672801</v>
      </c>
      <c r="E17" s="17">
        <v>2.5098210083257202</v>
      </c>
      <c r="F17" s="17">
        <v>10.308511621750601</v>
      </c>
      <c r="G17" s="17">
        <v>10.5135903782271</v>
      </c>
      <c r="H17" s="17">
        <v>11.6585120991242</v>
      </c>
      <c r="I17" s="17">
        <v>19.7910593535603</v>
      </c>
      <c r="J17" s="17">
        <v>4.8320347342830603</v>
      </c>
      <c r="K17" s="17">
        <v>12.0910983370366</v>
      </c>
      <c r="L17" s="17">
        <v>13.7034454008973</v>
      </c>
      <c r="M17" s="17">
        <v>13.5971340393729</v>
      </c>
      <c r="N17" s="17">
        <v>12.518962916271599</v>
      </c>
      <c r="O17" s="17">
        <v>15.795231225724701</v>
      </c>
      <c r="P17" s="17">
        <v>6.5765151646330002</v>
      </c>
      <c r="Q17" s="17">
        <v>11.124719045105801</v>
      </c>
      <c r="R17" s="17">
        <v>8.8056787066799895</v>
      </c>
      <c r="S17" s="17">
        <v>9.71739603559476</v>
      </c>
      <c r="T17" s="17">
        <v>9.97599509720777</v>
      </c>
      <c r="U17" s="17">
        <v>6.2071101825671002</v>
      </c>
      <c r="V17" s="17">
        <v>10.7722710077391</v>
      </c>
      <c r="W17" s="17">
        <v>6.9985026049221899</v>
      </c>
      <c r="X17" s="17">
        <v>3.97402010694038</v>
      </c>
      <c r="Y17" s="17">
        <v>2.5956595942495801</v>
      </c>
      <c r="Z17" s="17">
        <v>4.2651260756851803</v>
      </c>
      <c r="AA17" s="17">
        <v>7.7570771938404404</v>
      </c>
      <c r="AB17" s="17">
        <v>7.4167903659913099</v>
      </c>
      <c r="AC17" s="17">
        <v>8.1195644186889506</v>
      </c>
    </row>
    <row r="18" spans="1:29" x14ac:dyDescent="0.2">
      <c r="A18" s="17">
        <f t="shared" si="0"/>
        <v>9.0197620285645286</v>
      </c>
      <c r="B18" s="17">
        <v>38</v>
      </c>
      <c r="C18" s="17">
        <v>14</v>
      </c>
      <c r="D18" s="17">
        <v>13.8309717774607</v>
      </c>
      <c r="E18" s="17" t="s">
        <v>44</v>
      </c>
      <c r="F18" s="17">
        <v>6.0226962145052996</v>
      </c>
      <c r="G18" s="17">
        <v>3.3368860831882099</v>
      </c>
      <c r="H18" s="17">
        <v>5.9935750921944804</v>
      </c>
      <c r="I18" s="17">
        <v>4.7073596717001198</v>
      </c>
      <c r="J18" s="17" t="s">
        <v>44</v>
      </c>
      <c r="K18" s="17">
        <v>8.3556926462408807</v>
      </c>
      <c r="L18" s="17">
        <v>10.2683464997559</v>
      </c>
      <c r="M18" s="17">
        <v>10.4086419922756</v>
      </c>
      <c r="N18" s="17">
        <v>11.978759325223299</v>
      </c>
      <c r="O18" s="17">
        <v>10.4854429827096</v>
      </c>
      <c r="P18" s="17">
        <v>1.12954854093382</v>
      </c>
      <c r="Q18" s="17">
        <v>6.1690459748578803</v>
      </c>
      <c r="R18" s="17">
        <v>3.0923270025127398</v>
      </c>
      <c r="S18" s="17">
        <v>13.6593471093954</v>
      </c>
      <c r="T18" s="17">
        <v>5.1140989675053099</v>
      </c>
      <c r="U18" s="17">
        <v>8.2818345356156993</v>
      </c>
      <c r="V18" s="17">
        <v>14.1508516221281</v>
      </c>
      <c r="W18" s="17">
        <v>5.1088858443680802</v>
      </c>
      <c r="X18" s="17">
        <v>10.684761277977</v>
      </c>
      <c r="Y18" s="17">
        <v>15.619467386527999</v>
      </c>
      <c r="Z18" s="17">
        <v>6.0752853471415804</v>
      </c>
      <c r="AA18" s="17">
        <v>15.630339931554801</v>
      </c>
      <c r="AB18" s="17">
        <v>14.234961776903001</v>
      </c>
      <c r="AC18" s="17">
        <v>12.1351610828732</v>
      </c>
    </row>
    <row r="19" spans="1:29" x14ac:dyDescent="0.2">
      <c r="A19" s="17">
        <f t="shared" si="0"/>
        <v>8.0377084053095817</v>
      </c>
      <c r="B19" s="17">
        <v>43</v>
      </c>
      <c r="C19" s="17">
        <v>15</v>
      </c>
      <c r="D19" s="17">
        <v>8.15005472247128</v>
      </c>
      <c r="E19" s="17">
        <v>9.7875605681336406</v>
      </c>
      <c r="F19" s="17">
        <v>4.2904645273907596</v>
      </c>
      <c r="G19" s="17">
        <v>5.1039095955149598</v>
      </c>
      <c r="H19" s="17">
        <v>3.9497282639998499</v>
      </c>
      <c r="I19" s="17">
        <v>8.8364411081793008</v>
      </c>
      <c r="J19" s="17">
        <v>5.3854173619639898</v>
      </c>
      <c r="K19" s="17">
        <v>5.1939201445614902</v>
      </c>
      <c r="L19" s="17">
        <v>12.7257840288607</v>
      </c>
      <c r="M19" s="17">
        <v>6.5237402806046703</v>
      </c>
      <c r="N19" s="17">
        <v>13.8461021675383</v>
      </c>
      <c r="O19" s="17">
        <v>8.3565881462396305</v>
      </c>
      <c r="P19" s="17">
        <v>3.46677854987183</v>
      </c>
      <c r="Q19" s="17">
        <v>5.3489981863554199</v>
      </c>
      <c r="R19" s="17">
        <v>8.51187965733045</v>
      </c>
      <c r="S19" s="17">
        <v>3.09562590092506</v>
      </c>
      <c r="T19" s="17">
        <v>17.151259769051801</v>
      </c>
      <c r="U19" s="17">
        <v>1.45116633687088</v>
      </c>
      <c r="V19" s="17">
        <v>13.090545990231901</v>
      </c>
      <c r="W19" s="17">
        <v>4.3211199016573296</v>
      </c>
      <c r="X19" s="17">
        <v>10.004178841040501</v>
      </c>
      <c r="Y19" s="17">
        <v>9.1028886580227208</v>
      </c>
      <c r="Z19" s="17">
        <v>8.6196950438436701</v>
      </c>
      <c r="AA19" s="17">
        <v>13.1367796213724</v>
      </c>
      <c r="AB19" s="17">
        <v>9.3156701388417993</v>
      </c>
      <c r="AC19" s="17">
        <v>10.2141210271748</v>
      </c>
    </row>
    <row r="20" spans="1:29" x14ac:dyDescent="0.2">
      <c r="A20" s="17">
        <f t="shared" si="0"/>
        <v>9.2775209636106855</v>
      </c>
      <c r="B20" s="17">
        <v>44</v>
      </c>
      <c r="C20" s="17">
        <v>16</v>
      </c>
      <c r="D20" s="17">
        <v>3.9662748757596198</v>
      </c>
      <c r="E20" s="17">
        <v>14.9116654866496</v>
      </c>
      <c r="F20" s="17">
        <v>14.172042021527099</v>
      </c>
      <c r="G20" s="17">
        <v>7.0798336678572102</v>
      </c>
      <c r="H20" s="17">
        <v>10.933063917476201</v>
      </c>
      <c r="I20" s="17">
        <v>21.3425354927124</v>
      </c>
      <c r="J20" s="17">
        <v>7.7376615905109301</v>
      </c>
      <c r="K20" s="17">
        <v>13.822223720228701</v>
      </c>
      <c r="L20" s="17">
        <v>10.5560671974944</v>
      </c>
      <c r="M20" s="17">
        <v>17.841540985390001</v>
      </c>
      <c r="N20" s="17">
        <v>21.146333883284299</v>
      </c>
      <c r="O20" s="17">
        <v>7.7386171888802604</v>
      </c>
      <c r="P20" s="17">
        <v>8.1447409824078392</v>
      </c>
      <c r="Q20" s="17">
        <v>6.4871518531320103</v>
      </c>
      <c r="R20" s="17">
        <v>6.5988514739296402</v>
      </c>
      <c r="S20" s="17">
        <v>3.3606930941321602</v>
      </c>
      <c r="T20" s="17">
        <v>9.1906470917287901</v>
      </c>
      <c r="U20" s="17">
        <v>11.439488850255101</v>
      </c>
      <c r="V20" s="17">
        <v>9.0602209717883309</v>
      </c>
      <c r="W20" s="17">
        <v>5.7017230986297003</v>
      </c>
      <c r="X20" s="17">
        <v>3.4088171339898699</v>
      </c>
      <c r="Y20" s="17">
        <v>4.7215183009658004</v>
      </c>
      <c r="Z20" s="17">
        <v>4.8854364222482198</v>
      </c>
      <c r="AA20" s="17">
        <v>4.2508240681315401</v>
      </c>
      <c r="AB20" s="17">
        <v>7.9822898569099099</v>
      </c>
      <c r="AC20" s="17">
        <v>4.7352818278581701</v>
      </c>
    </row>
    <row r="21" spans="1:29" x14ac:dyDescent="0.2">
      <c r="A21" s="17">
        <f t="shared" si="0"/>
        <v>8.9095017034803785</v>
      </c>
      <c r="B21" s="17">
        <v>45</v>
      </c>
      <c r="C21" s="17">
        <v>17</v>
      </c>
      <c r="D21" s="17">
        <v>12.1797286413479</v>
      </c>
      <c r="E21" s="17">
        <v>6.8810031099137001</v>
      </c>
      <c r="F21" s="17">
        <v>13.0291946574694</v>
      </c>
      <c r="G21" s="17">
        <v>7.29902184974818</v>
      </c>
      <c r="H21" s="17">
        <v>9.9121276941861396</v>
      </c>
      <c r="I21" s="17">
        <v>9.9481398384012802</v>
      </c>
      <c r="J21" s="17">
        <v>9.9722459512113897</v>
      </c>
      <c r="K21" s="17">
        <v>16.1612398473201</v>
      </c>
      <c r="L21" s="17">
        <v>2.3186217857718598</v>
      </c>
      <c r="M21" s="17">
        <v>4.9179878323515904</v>
      </c>
      <c r="N21" s="17">
        <v>11.214487674380299</v>
      </c>
      <c r="O21" s="17">
        <v>14.103702431085299</v>
      </c>
      <c r="P21" s="17">
        <v>10.0014216234285</v>
      </c>
      <c r="Q21" s="17" t="s">
        <v>44</v>
      </c>
      <c r="R21" s="17">
        <v>7.57520735702147</v>
      </c>
      <c r="S21" s="17">
        <v>18.4404330683466</v>
      </c>
      <c r="T21" s="17">
        <v>1.29769501765942</v>
      </c>
      <c r="U21" s="17">
        <v>13.6126536122855</v>
      </c>
      <c r="V21" s="17">
        <v>6.0884981700654199</v>
      </c>
      <c r="W21" s="17">
        <v>13.300317779931399</v>
      </c>
      <c r="X21" s="17">
        <v>4.1877478524962397</v>
      </c>
      <c r="Y21" s="17">
        <v>6.0815662984959502</v>
      </c>
      <c r="Z21" s="17">
        <v>7.8206856139389602</v>
      </c>
      <c r="AA21" s="17">
        <v>5.2151726012447996</v>
      </c>
      <c r="AB21" s="17">
        <v>7.39557535604043</v>
      </c>
      <c r="AC21" s="17">
        <v>3.7830669228676399</v>
      </c>
    </row>
    <row r="22" spans="1:29" x14ac:dyDescent="0.2">
      <c r="A22" s="17">
        <f t="shared" si="0"/>
        <v>8.09301979830453</v>
      </c>
      <c r="B22" s="17">
        <v>48</v>
      </c>
      <c r="C22" s="17">
        <v>18</v>
      </c>
      <c r="D22" s="17">
        <v>15.411536802717499</v>
      </c>
      <c r="E22" s="17">
        <v>4.8663142797666099</v>
      </c>
      <c r="F22" s="17">
        <v>9.6830332767250393</v>
      </c>
      <c r="G22" s="17">
        <v>5.6110676200278604</v>
      </c>
      <c r="H22" s="17">
        <v>0.70794978987993895</v>
      </c>
      <c r="I22" s="17" t="s">
        <v>44</v>
      </c>
      <c r="J22" s="17">
        <v>2.7668380323242801</v>
      </c>
      <c r="K22" s="17">
        <v>6.5334053146973901</v>
      </c>
      <c r="L22" s="17">
        <v>6.8383689846111997</v>
      </c>
      <c r="M22" s="17">
        <v>7.0911468184435602</v>
      </c>
      <c r="N22" s="17">
        <v>17.430027644202401</v>
      </c>
      <c r="O22" s="17">
        <v>5.1358055491491301</v>
      </c>
      <c r="P22" s="17">
        <v>3.26139877093533</v>
      </c>
      <c r="Q22" s="17">
        <v>13.2220131525134</v>
      </c>
      <c r="R22" s="17">
        <v>9.5267018527933196</v>
      </c>
      <c r="S22" s="17">
        <v>20.465820544323101</v>
      </c>
      <c r="T22" s="17">
        <v>10.6379112953994</v>
      </c>
      <c r="U22" s="17">
        <v>2.02083937748387</v>
      </c>
      <c r="V22" s="17">
        <v>1.26723201105221</v>
      </c>
      <c r="W22" s="17">
        <v>12.116822892440799</v>
      </c>
      <c r="X22" s="17">
        <v>14.781566760673799</v>
      </c>
      <c r="Y22" s="17">
        <v>4.6084159299626704</v>
      </c>
      <c r="Z22" s="17">
        <v>7.1239303406703298</v>
      </c>
      <c r="AA22" s="17">
        <v>4.8527907404549797</v>
      </c>
      <c r="AB22" s="17">
        <v>8.2715373780605699</v>
      </c>
      <c r="AC22" s="17" t="s">
        <v>44</v>
      </c>
    </row>
    <row r="23" spans="1:29" x14ac:dyDescent="0.2">
      <c r="A23" s="17">
        <f t="shared" si="0"/>
        <v>11.810822147619811</v>
      </c>
      <c r="B23" s="17">
        <v>49</v>
      </c>
      <c r="C23" s="17">
        <v>19</v>
      </c>
      <c r="D23" s="17" t="s">
        <v>44</v>
      </c>
      <c r="E23" s="17">
        <v>20.254943074900201</v>
      </c>
      <c r="F23" s="17">
        <v>11.1232225042036</v>
      </c>
      <c r="G23" s="17">
        <v>6.7362371490671604</v>
      </c>
      <c r="H23" s="17">
        <v>14.0498489162635</v>
      </c>
      <c r="I23" s="17">
        <v>17.737520406282002</v>
      </c>
      <c r="J23" s="17">
        <v>6.5276324163534403</v>
      </c>
      <c r="K23" s="17">
        <v>8.87566006460324</v>
      </c>
      <c r="L23" s="17">
        <v>16.115406096038502</v>
      </c>
      <c r="M23" s="17">
        <v>9.4292831408183293</v>
      </c>
      <c r="N23" s="17">
        <v>6.6577652221214096</v>
      </c>
      <c r="O23" s="17">
        <v>18.772761317208701</v>
      </c>
      <c r="P23" s="17" t="s">
        <v>44</v>
      </c>
      <c r="Q23" s="17">
        <v>15.9134470322855</v>
      </c>
      <c r="R23" s="17">
        <v>4.5213402785567496</v>
      </c>
      <c r="S23" s="17">
        <v>12.7808785147236</v>
      </c>
      <c r="T23" s="17">
        <v>12.938059036554</v>
      </c>
      <c r="U23" s="17">
        <v>12.5703133773755</v>
      </c>
      <c r="V23" s="17">
        <v>8.8103121178431696</v>
      </c>
      <c r="W23" s="17">
        <v>11.4340366205102</v>
      </c>
      <c r="X23" s="17" t="s">
        <v>44</v>
      </c>
      <c r="Y23" s="17" t="s">
        <v>44</v>
      </c>
      <c r="Z23" s="17">
        <v>14.927456677724001</v>
      </c>
      <c r="AA23" s="17">
        <v>6.0403189889634303</v>
      </c>
      <c r="AB23" s="17" t="s">
        <v>44</v>
      </c>
      <c r="AC23" s="17" t="s">
        <v>44</v>
      </c>
    </row>
    <row r="24" spans="1:29" x14ac:dyDescent="0.2">
      <c r="A24" s="17">
        <f t="shared" si="0"/>
        <v>10.182530120984845</v>
      </c>
      <c r="B24" s="17">
        <v>51</v>
      </c>
      <c r="C24" s="17">
        <v>20</v>
      </c>
      <c r="D24" s="17">
        <v>8.1044601841573396</v>
      </c>
      <c r="E24" s="17">
        <v>9.9189317394134093</v>
      </c>
      <c r="F24" s="17">
        <v>10.4779685000188</v>
      </c>
      <c r="G24" s="17">
        <v>3.1242642036305699</v>
      </c>
      <c r="H24" s="17">
        <v>7.1109333642503696</v>
      </c>
      <c r="I24" s="17">
        <v>33.064835946604497</v>
      </c>
      <c r="J24" s="17">
        <v>12.1634983016748</v>
      </c>
      <c r="K24" s="17">
        <v>9.8145762467072295</v>
      </c>
      <c r="L24" s="17">
        <v>9.0898786126022504</v>
      </c>
      <c r="M24" s="17">
        <v>18.050606686937101</v>
      </c>
      <c r="N24" s="17">
        <v>15.3531543627742</v>
      </c>
      <c r="O24" s="17">
        <v>5.3249794620600097</v>
      </c>
      <c r="P24" s="17">
        <v>6.2701880174871203</v>
      </c>
      <c r="Q24" s="17">
        <v>8.3045541530802094</v>
      </c>
      <c r="R24" s="17">
        <v>4.89297329721889</v>
      </c>
      <c r="S24" s="17">
        <v>13.3909975838584</v>
      </c>
      <c r="T24" s="17">
        <v>15.2278462740209</v>
      </c>
      <c r="U24" s="17">
        <v>9.0949463213690702</v>
      </c>
      <c r="V24" s="17">
        <v>4.1653397592774803</v>
      </c>
      <c r="W24" s="17">
        <v>2.9823091882935402</v>
      </c>
      <c r="X24" s="17">
        <v>6.0565956096923603</v>
      </c>
      <c r="Y24" s="17">
        <v>7.2638077093815596</v>
      </c>
      <c r="Z24" s="17">
        <v>6.2049241954341703</v>
      </c>
      <c r="AA24" s="17">
        <v>13.9376518849252</v>
      </c>
      <c r="AB24" s="17">
        <v>14.1177589398799</v>
      </c>
      <c r="AC24" s="17">
        <v>11.2378026008566</v>
      </c>
    </row>
    <row r="25" spans="1:29" x14ac:dyDescent="0.2">
      <c r="A25" s="17">
        <f t="shared" si="0"/>
        <v>11.002092954354801</v>
      </c>
      <c r="B25" s="17">
        <v>53</v>
      </c>
      <c r="C25" s="17">
        <v>21</v>
      </c>
      <c r="D25" s="17">
        <v>12.629636332686999</v>
      </c>
      <c r="E25" s="17">
        <v>13.0121280265761</v>
      </c>
      <c r="F25" s="17">
        <v>12.4406372583645</v>
      </c>
      <c r="G25" s="17">
        <v>7.7792378321772899</v>
      </c>
      <c r="H25" s="17">
        <v>14.4296084103214</v>
      </c>
      <c r="I25" s="17" t="s">
        <v>44</v>
      </c>
      <c r="J25" s="17">
        <v>8.3795315967068404</v>
      </c>
      <c r="K25" s="17">
        <v>26.603530454953098</v>
      </c>
      <c r="L25" s="17">
        <v>12.993589685494101</v>
      </c>
      <c r="M25" s="17">
        <v>3.7600686117406399</v>
      </c>
      <c r="N25" s="17">
        <v>7.0838360478014497</v>
      </c>
      <c r="O25" s="17">
        <v>12.3655578689037</v>
      </c>
      <c r="P25" s="17">
        <v>3.5432532031242898</v>
      </c>
      <c r="Q25" s="17">
        <v>6.73904358948203</v>
      </c>
      <c r="R25" s="17">
        <v>6.2372937261807202</v>
      </c>
      <c r="S25" s="17">
        <v>20.229875212953999</v>
      </c>
      <c r="T25" s="17">
        <v>13.6001237214805</v>
      </c>
      <c r="U25" s="17">
        <v>12.941066983311501</v>
      </c>
      <c r="V25" s="17">
        <v>12.226078537150199</v>
      </c>
      <c r="W25" s="17">
        <v>4.0147472204871102</v>
      </c>
      <c r="X25" s="17" t="s">
        <v>44</v>
      </c>
      <c r="Y25" s="17" t="s">
        <v>44</v>
      </c>
      <c r="Z25" s="17">
        <v>15.018091320679501</v>
      </c>
      <c r="AA25" s="17">
        <v>11.0288245327146</v>
      </c>
      <c r="AB25" s="17" t="s">
        <v>44</v>
      </c>
      <c r="AC25" s="17">
        <v>4.9902848225150498</v>
      </c>
    </row>
    <row r="26" spans="1:29" x14ac:dyDescent="0.2">
      <c r="A26" s="17">
        <f t="shared" si="0"/>
        <v>7.8913108607426192</v>
      </c>
      <c r="B26" s="17">
        <v>55</v>
      </c>
      <c r="C26" s="17">
        <v>22</v>
      </c>
      <c r="D26" s="17">
        <v>10.265404189609599</v>
      </c>
      <c r="E26" s="17">
        <v>16.009207620752999</v>
      </c>
      <c r="F26" s="17">
        <v>4.5610897297896704</v>
      </c>
      <c r="G26" s="17">
        <v>10.499423874202099</v>
      </c>
      <c r="H26" s="17">
        <v>9.0773974891735296</v>
      </c>
      <c r="I26" s="17">
        <v>26.7228811320301</v>
      </c>
      <c r="J26" s="17">
        <v>10.468693706203201</v>
      </c>
      <c r="K26" s="17">
        <v>6.6885651341608297</v>
      </c>
      <c r="L26" s="17">
        <v>4.8610706903574696</v>
      </c>
      <c r="M26" s="17">
        <v>4.0912627731978102</v>
      </c>
      <c r="N26" s="17">
        <v>5.7587510883537298</v>
      </c>
      <c r="O26" s="17">
        <v>14.413757260633099</v>
      </c>
      <c r="P26" s="17">
        <v>3.3601072472327802</v>
      </c>
      <c r="Q26" s="17">
        <v>9.8870779579205603</v>
      </c>
      <c r="R26" s="17">
        <v>3.5178301809329402</v>
      </c>
      <c r="S26" s="17">
        <v>5.0342543970516802</v>
      </c>
      <c r="T26" s="17">
        <v>10.7392977027254</v>
      </c>
      <c r="U26" s="17">
        <v>5.6206856916577399</v>
      </c>
      <c r="V26" s="17">
        <v>7.3146218242793601</v>
      </c>
      <c r="W26" s="17">
        <v>5.4479470738998597</v>
      </c>
      <c r="X26" s="17">
        <v>6.0395940199275797</v>
      </c>
      <c r="Y26" s="17">
        <v>6.3624981419909101</v>
      </c>
      <c r="Z26" s="17">
        <v>3.4623174818747802</v>
      </c>
      <c r="AA26" s="17">
        <v>9.3439909863272295</v>
      </c>
      <c r="AB26" s="17">
        <v>4.6976303433659998</v>
      </c>
      <c r="AC26" s="17">
        <v>0.92872464165712998</v>
      </c>
    </row>
    <row r="27" spans="1:29" x14ac:dyDescent="0.2">
      <c r="A27" s="17">
        <f t="shared" si="0"/>
        <v>12.284946746075239</v>
      </c>
      <c r="B27" s="17">
        <v>57</v>
      </c>
      <c r="C27" s="17">
        <v>23</v>
      </c>
      <c r="D27" s="17">
        <v>22.037839495893</v>
      </c>
      <c r="E27" s="17">
        <v>8.2467321303135908</v>
      </c>
      <c r="F27" s="17">
        <v>19.7643018874675</v>
      </c>
      <c r="G27" s="17">
        <v>12.2715978885724</v>
      </c>
      <c r="H27" s="17">
        <v>1.7633819524830701</v>
      </c>
      <c r="I27" s="17">
        <v>54.140602791986097</v>
      </c>
      <c r="J27" s="17">
        <v>11.1441560051205</v>
      </c>
      <c r="K27" s="17">
        <v>11.7119953557123</v>
      </c>
      <c r="L27" s="17">
        <v>3.0256413442564698</v>
      </c>
      <c r="M27" s="17">
        <v>3.9430137710970898</v>
      </c>
      <c r="N27" s="17">
        <v>14.2051390549787</v>
      </c>
      <c r="O27" s="17">
        <v>8.77599149299472</v>
      </c>
      <c r="P27" s="17">
        <v>9.8571413815797495</v>
      </c>
      <c r="Q27" s="17">
        <v>5.5444746543661498</v>
      </c>
      <c r="R27" s="17">
        <v>9.8190564062506809</v>
      </c>
      <c r="S27" s="17">
        <v>13.0317211325494</v>
      </c>
      <c r="T27" s="17">
        <v>9.7983530211526908</v>
      </c>
      <c r="U27" s="17">
        <v>12.105817084608599</v>
      </c>
      <c r="V27" s="17">
        <v>6.5224977855336297</v>
      </c>
      <c r="W27" s="17">
        <v>13.201757945970799</v>
      </c>
      <c r="X27" s="17">
        <v>12.253742973027601</v>
      </c>
      <c r="Y27" s="17">
        <v>10.3784998883444</v>
      </c>
      <c r="Z27" s="17">
        <v>10.245649087972801</v>
      </c>
      <c r="AA27" s="17">
        <v>7.2043975308008896</v>
      </c>
      <c r="AB27" s="17">
        <v>12.8418487167813</v>
      </c>
      <c r="AC27" s="17">
        <v>15.573264618142099</v>
      </c>
    </row>
    <row r="28" spans="1:29" x14ac:dyDescent="0.2">
      <c r="A28" s="17">
        <f t="shared" si="0"/>
        <v>9.5375813225483359</v>
      </c>
      <c r="B28" s="17">
        <v>60</v>
      </c>
      <c r="C28" s="17">
        <v>24</v>
      </c>
      <c r="D28" s="17">
        <v>23.279407969218699</v>
      </c>
      <c r="E28" s="17">
        <v>7.7390166250136101</v>
      </c>
      <c r="F28" s="17">
        <v>8.2736792865274005</v>
      </c>
      <c r="G28" s="17">
        <v>4.7906200390836</v>
      </c>
      <c r="H28" s="17">
        <v>5.5507063161831596</v>
      </c>
      <c r="I28" s="17">
        <v>20.9193844847047</v>
      </c>
      <c r="J28" s="17">
        <v>6.6234212239188803</v>
      </c>
      <c r="K28" s="17">
        <v>4.1416523969245098</v>
      </c>
      <c r="L28" s="17">
        <v>3.4813794309939801</v>
      </c>
      <c r="M28" s="17">
        <v>6.3991698214743202</v>
      </c>
      <c r="N28" s="17">
        <v>8.0605288381725106</v>
      </c>
      <c r="O28" s="17">
        <v>11.909457991429999</v>
      </c>
      <c r="P28" s="17">
        <v>9.5570497192833308</v>
      </c>
      <c r="Q28" s="17">
        <v>6.12100343489994</v>
      </c>
      <c r="R28" s="17">
        <v>4.4952411680586799</v>
      </c>
      <c r="S28" s="17">
        <v>22.989023370627599</v>
      </c>
      <c r="T28" s="17">
        <v>6.9630051966753301</v>
      </c>
      <c r="U28" s="17">
        <v>5.2142621032481902</v>
      </c>
      <c r="V28" s="17">
        <v>5.2501352701966999</v>
      </c>
      <c r="W28" s="17">
        <v>11.3473485670114</v>
      </c>
      <c r="X28" s="17" t="s">
        <v>44</v>
      </c>
      <c r="Y28" s="17" t="s">
        <v>44</v>
      </c>
      <c r="Z28" s="17">
        <v>9.2057477808700092</v>
      </c>
      <c r="AA28" s="17" t="s">
        <v>44</v>
      </c>
      <c r="AB28" s="17">
        <v>20.383656691201299</v>
      </c>
      <c r="AC28" s="17">
        <v>6.6694726928938897</v>
      </c>
    </row>
    <row r="29" spans="1:29" x14ac:dyDescent="0.2">
      <c r="A29" s="17">
        <f t="shared" si="0"/>
        <v>9.1530739745296383</v>
      </c>
      <c r="B29" s="17">
        <v>62</v>
      </c>
      <c r="C29" s="17">
        <v>25</v>
      </c>
      <c r="D29" s="17">
        <v>11.926493874004199</v>
      </c>
      <c r="E29" s="17">
        <v>7.5445358841261001</v>
      </c>
      <c r="F29" s="17">
        <v>13.5009862619233</v>
      </c>
      <c r="G29" s="17">
        <v>6.5950950439158804</v>
      </c>
      <c r="H29" s="17">
        <v>4.5642449905187199</v>
      </c>
      <c r="I29" s="17">
        <v>19.779985207942801</v>
      </c>
      <c r="J29" s="17">
        <v>2.02724968277963</v>
      </c>
      <c r="K29" s="17">
        <v>4.6876920341995199</v>
      </c>
      <c r="L29" s="17">
        <v>3.9841918136966199</v>
      </c>
      <c r="M29" s="17">
        <v>8.0740104865059106</v>
      </c>
      <c r="N29" s="17">
        <v>12.1784489094112</v>
      </c>
      <c r="O29" s="17">
        <v>6.9484968644564402</v>
      </c>
      <c r="P29" s="17">
        <v>8.7049074136101598</v>
      </c>
      <c r="Q29" s="17">
        <v>11.138086538318801</v>
      </c>
      <c r="R29" s="17">
        <v>12.9180659550654</v>
      </c>
      <c r="S29" s="17">
        <v>21.116322155515601</v>
      </c>
      <c r="T29" s="17">
        <v>6.4106940987541003</v>
      </c>
      <c r="U29" s="17">
        <v>10.907405184556699</v>
      </c>
      <c r="V29" s="17">
        <v>7.6877547379601303</v>
      </c>
      <c r="W29" s="17">
        <v>5.8696833151066503</v>
      </c>
      <c r="X29" s="17" t="s">
        <v>44</v>
      </c>
      <c r="Y29" s="17" t="s">
        <v>44</v>
      </c>
      <c r="Z29" s="17">
        <v>5.6502030127545702</v>
      </c>
      <c r="AA29" s="17" t="s">
        <v>44</v>
      </c>
      <c r="AB29" s="17" t="s">
        <v>44</v>
      </c>
      <c r="AC29" s="17" t="s">
        <v>44</v>
      </c>
    </row>
    <row r="30" spans="1:29" x14ac:dyDescent="0.2">
      <c r="A30" s="17">
        <f t="shared" si="0"/>
        <v>10.260632264799302</v>
      </c>
      <c r="B30" s="17">
        <v>64</v>
      </c>
      <c r="C30" s="17">
        <v>26</v>
      </c>
      <c r="D30" s="17">
        <v>7.6279872642802502</v>
      </c>
      <c r="E30" s="17">
        <v>18.494876738814501</v>
      </c>
      <c r="F30" s="17">
        <v>9.1175708736543797</v>
      </c>
      <c r="G30" s="17">
        <v>12.879217304509501</v>
      </c>
      <c r="H30" s="17">
        <v>4.7801242876145</v>
      </c>
      <c r="I30" s="17">
        <v>17.078898961287599</v>
      </c>
      <c r="J30" s="17">
        <v>5.0242940031234102</v>
      </c>
      <c r="K30" s="17">
        <v>17.741651124066198</v>
      </c>
      <c r="L30" s="17">
        <v>7.0649198893249601</v>
      </c>
      <c r="M30" s="17">
        <v>5.0657751025990301</v>
      </c>
      <c r="N30" s="17">
        <v>18.005672309766599</v>
      </c>
      <c r="O30" s="17">
        <v>4.5288077812231897</v>
      </c>
      <c r="P30" s="17">
        <v>4.6772777355220896</v>
      </c>
      <c r="Q30" s="17">
        <v>10.456983240807199</v>
      </c>
      <c r="R30" s="17">
        <v>10.2649681659206</v>
      </c>
      <c r="S30" s="17">
        <v>11.3807176620743</v>
      </c>
      <c r="T30" s="17">
        <v>8.9776193115196499</v>
      </c>
      <c r="U30" s="17">
        <v>20.220599002035701</v>
      </c>
      <c r="V30" s="17">
        <v>4.9871534854070099</v>
      </c>
      <c r="W30" s="17" t="s">
        <v>44</v>
      </c>
      <c r="X30" s="17">
        <v>4.48089190788422</v>
      </c>
      <c r="Y30" s="17">
        <v>13.5900413653376</v>
      </c>
      <c r="Z30" s="17">
        <v>14.9882632564338</v>
      </c>
      <c r="AA30" s="17">
        <v>13.1902971604495</v>
      </c>
      <c r="AB30" s="17">
        <v>7.2747382755895504</v>
      </c>
      <c r="AC30" s="17">
        <v>4.6164604107371199</v>
      </c>
    </row>
    <row r="31" spans="1:29" x14ac:dyDescent="0.2">
      <c r="A31" s="17">
        <f t="shared" si="0"/>
        <v>10.35483335841282</v>
      </c>
      <c r="B31" s="17">
        <v>66</v>
      </c>
      <c r="C31" s="17">
        <v>27</v>
      </c>
      <c r="D31" s="17">
        <v>12.816387710209799</v>
      </c>
      <c r="E31" s="17">
        <v>16.890486404363099</v>
      </c>
      <c r="F31" s="17">
        <v>9.5394564673643796</v>
      </c>
      <c r="G31" s="17">
        <v>12.719939730441199</v>
      </c>
      <c r="H31" s="17">
        <v>5.6022463206870903</v>
      </c>
      <c r="I31" s="17">
        <v>22.4896888168226</v>
      </c>
      <c r="J31" s="17">
        <v>10.2715721531547</v>
      </c>
      <c r="K31" s="17">
        <v>7.4278830523002304</v>
      </c>
      <c r="L31" s="17">
        <v>18.453816734969301</v>
      </c>
      <c r="M31" s="17">
        <v>10.755792535129499</v>
      </c>
      <c r="N31" s="17">
        <v>5.5637801398643898</v>
      </c>
      <c r="O31" s="17">
        <v>7.6271671770137601</v>
      </c>
      <c r="P31" s="17">
        <v>9.5860732685035401</v>
      </c>
      <c r="Q31" s="17">
        <v>5.3360955464251196</v>
      </c>
      <c r="R31" s="17">
        <v>7.7921197234371702</v>
      </c>
      <c r="S31" s="17">
        <v>4.8555413790355901</v>
      </c>
      <c r="T31" s="17">
        <v>9.4685877555990494</v>
      </c>
      <c r="U31" s="17">
        <v>11.129038192511</v>
      </c>
      <c r="V31" s="17">
        <v>14.463448736072801</v>
      </c>
      <c r="W31" s="17">
        <v>14.500996295631801</v>
      </c>
      <c r="X31" s="17">
        <v>5.5014122037538904</v>
      </c>
      <c r="Y31" s="17">
        <v>9.4684958151444096</v>
      </c>
      <c r="Z31" s="17">
        <v>9.0151343820547503</v>
      </c>
      <c r="AA31" s="17">
        <v>13.7916302363962</v>
      </c>
      <c r="AB31" s="17">
        <v>7.87052899719545</v>
      </c>
      <c r="AC31" s="17">
        <v>6.2883475446525496</v>
      </c>
    </row>
    <row r="32" spans="1:29" x14ac:dyDescent="0.2">
      <c r="A32" s="17">
        <f t="shared" si="0"/>
        <v>8.1752293586441809</v>
      </c>
      <c r="B32" s="17">
        <v>68</v>
      </c>
      <c r="C32" s="17">
        <v>28</v>
      </c>
      <c r="D32" s="17">
        <v>9.2620862390471697</v>
      </c>
      <c r="E32" s="17">
        <v>4.9842784223112098</v>
      </c>
      <c r="F32" s="17">
        <v>5.2170403781127401</v>
      </c>
      <c r="G32" s="17">
        <v>2.1971641001115501</v>
      </c>
      <c r="H32" s="17">
        <v>6.1894470486044799</v>
      </c>
      <c r="I32" s="17">
        <v>6.5291800826347099</v>
      </c>
      <c r="J32" s="17">
        <v>14.8087610195007</v>
      </c>
      <c r="K32" s="17">
        <v>4.7963398814823197</v>
      </c>
      <c r="L32" s="17">
        <v>3.7286199166282099</v>
      </c>
      <c r="M32" s="17" t="s">
        <v>44</v>
      </c>
      <c r="N32" s="17">
        <v>2.6760586670950501</v>
      </c>
      <c r="O32" s="17">
        <v>9.5583209839040801</v>
      </c>
      <c r="P32" s="17">
        <v>2.4015751262917999</v>
      </c>
      <c r="Q32" s="17">
        <v>14.463870667915501</v>
      </c>
      <c r="R32" s="17">
        <v>22.061588332307199</v>
      </c>
      <c r="S32" s="17">
        <v>5.1210194724691203</v>
      </c>
      <c r="T32" s="17">
        <v>8.6707160650378707</v>
      </c>
      <c r="U32" s="17">
        <v>15.4110317387669</v>
      </c>
      <c r="V32" s="17">
        <v>11.578269049034001</v>
      </c>
      <c r="W32" s="17">
        <v>9.6585750806665303</v>
      </c>
      <c r="X32" s="17">
        <v>6.0507176031860599</v>
      </c>
      <c r="Y32" s="17">
        <v>8.3544267996894899</v>
      </c>
      <c r="Z32" s="17">
        <v>7.1045406259589399</v>
      </c>
      <c r="AA32" s="17">
        <v>5.8668345473146797</v>
      </c>
      <c r="AB32" s="17" t="s">
        <v>44</v>
      </c>
      <c r="AC32" s="17">
        <v>9.51504275939004</v>
      </c>
    </row>
    <row r="33" spans="1:29" x14ac:dyDescent="0.2">
      <c r="A33" s="17">
        <f t="shared" si="0"/>
        <v>10.464245917455033</v>
      </c>
      <c r="B33" s="17">
        <v>71</v>
      </c>
      <c r="C33" s="17">
        <v>29</v>
      </c>
      <c r="D33" s="17" t="s">
        <v>44</v>
      </c>
      <c r="E33" s="17">
        <v>4.6903370106864699</v>
      </c>
      <c r="F33" s="17">
        <v>13.364440665859201</v>
      </c>
      <c r="G33" s="17">
        <v>12.2261721153954</v>
      </c>
      <c r="H33" s="17">
        <v>4.1714007399913999</v>
      </c>
      <c r="I33" s="17">
        <v>14.414581010486801</v>
      </c>
      <c r="J33" s="17">
        <v>19.731898315686799</v>
      </c>
      <c r="K33" s="17">
        <v>11.720064935099799</v>
      </c>
      <c r="L33" s="17">
        <v>17.637768303628899</v>
      </c>
      <c r="M33" s="17">
        <v>14.763724039202399</v>
      </c>
      <c r="N33" s="17">
        <v>12.644707688472201</v>
      </c>
      <c r="O33" s="17">
        <v>10.070652400536</v>
      </c>
      <c r="P33" s="17">
        <v>4.8952418820755002</v>
      </c>
      <c r="Q33" s="17">
        <v>23.4940762447339</v>
      </c>
      <c r="R33" s="17">
        <v>5.46139918276985</v>
      </c>
      <c r="S33" s="17">
        <v>14.4857479457237</v>
      </c>
      <c r="T33" s="17">
        <v>8.2781998208536596</v>
      </c>
      <c r="U33" s="17">
        <v>17.991904760478501</v>
      </c>
      <c r="V33" s="17">
        <v>6.05439875268039</v>
      </c>
      <c r="W33" s="17">
        <v>5.8559133606028304</v>
      </c>
      <c r="X33" s="17">
        <v>5.3369533740600597</v>
      </c>
      <c r="Y33" s="17">
        <v>4.7241094071637102</v>
      </c>
      <c r="Z33" s="17">
        <v>7.9281708730635501</v>
      </c>
      <c r="AA33" s="17">
        <v>7.2847135291310501</v>
      </c>
      <c r="AB33" s="17">
        <v>7.1779241973420902</v>
      </c>
      <c r="AC33" s="17">
        <v>7.2016473806516501</v>
      </c>
    </row>
    <row r="34" spans="1:29" x14ac:dyDescent="0.2">
      <c r="A34" s="17">
        <f t="shared" si="0"/>
        <v>10.870193576302452</v>
      </c>
      <c r="B34" s="17">
        <v>73</v>
      </c>
      <c r="C34" s="17">
        <v>30</v>
      </c>
      <c r="D34" s="17">
        <v>12.926791573778299</v>
      </c>
      <c r="E34" s="17">
        <v>7.5795501966995902</v>
      </c>
      <c r="F34" s="17">
        <v>12.8361259648907</v>
      </c>
      <c r="G34" s="17">
        <v>7.5695780934878103</v>
      </c>
      <c r="H34" s="17">
        <v>1.8496034443382301</v>
      </c>
      <c r="I34" s="17">
        <v>16.790526277283099</v>
      </c>
      <c r="J34" s="17">
        <v>5.9895961962269402</v>
      </c>
      <c r="K34" s="17">
        <v>9.9419293852273896</v>
      </c>
      <c r="L34" s="17">
        <v>5.6865606521604901</v>
      </c>
      <c r="M34" s="17">
        <v>11.743663218286001</v>
      </c>
      <c r="N34" s="17">
        <v>20.2281948244378</v>
      </c>
      <c r="O34" s="17">
        <v>4.4634186830510796</v>
      </c>
      <c r="P34" s="17">
        <v>4.6465233357810698</v>
      </c>
      <c r="Q34" s="17">
        <v>9.8428170653607001</v>
      </c>
      <c r="R34" s="17">
        <v>7.76109715688386</v>
      </c>
      <c r="S34" s="17">
        <v>17.053778753442199</v>
      </c>
      <c r="T34" s="17">
        <v>7.2287932146879497</v>
      </c>
      <c r="U34" s="17">
        <v>22.5033333171728</v>
      </c>
      <c r="V34" s="17">
        <v>14.6605630172995</v>
      </c>
      <c r="W34" s="17">
        <v>20.931102465041299</v>
      </c>
      <c r="X34" s="17">
        <v>17.896245101177001</v>
      </c>
      <c r="Y34" s="17">
        <v>9.9812885432979197</v>
      </c>
      <c r="Z34" s="17">
        <v>7.8670376406510396</v>
      </c>
      <c r="AA34" s="17">
        <v>5.7794228109441903</v>
      </c>
      <c r="AB34" s="17">
        <v>12.8881743923963</v>
      </c>
      <c r="AC34" s="17">
        <v>5.9793176598603903</v>
      </c>
    </row>
    <row r="35" spans="1:29" x14ac:dyDescent="0.2">
      <c r="A35" s="17">
        <f t="shared" si="0"/>
        <v>7.1174736431272843</v>
      </c>
      <c r="B35" s="17">
        <v>76</v>
      </c>
      <c r="C35" s="17">
        <v>31</v>
      </c>
      <c r="D35" s="17">
        <v>8.4105387293744904</v>
      </c>
      <c r="E35" s="17">
        <v>5.7326121716052096</v>
      </c>
      <c r="F35" s="17">
        <v>4.8045036179656604</v>
      </c>
      <c r="G35" s="17">
        <v>10.958210512364801</v>
      </c>
      <c r="H35" s="17">
        <v>4.5350437483860704</v>
      </c>
      <c r="I35" s="17" t="s">
        <v>44</v>
      </c>
      <c r="J35" s="17">
        <v>6.1684235840183099</v>
      </c>
      <c r="K35" s="17">
        <v>6.9288466775172903</v>
      </c>
      <c r="L35" s="17">
        <v>10.5333651812097</v>
      </c>
      <c r="M35" s="17">
        <v>7.2363698517793198</v>
      </c>
      <c r="N35" s="17">
        <v>5.0256921766577598</v>
      </c>
      <c r="O35" s="17">
        <v>8.7171131141919709</v>
      </c>
      <c r="P35" s="17" t="s">
        <v>44</v>
      </c>
      <c r="Q35" s="17">
        <v>7.0626724472639903</v>
      </c>
      <c r="R35" s="17">
        <v>6.2118804174643296</v>
      </c>
      <c r="S35" s="17">
        <v>6.9465547242649102</v>
      </c>
      <c r="T35" s="17">
        <v>6.7933834566934097</v>
      </c>
      <c r="U35" s="17">
        <v>8.7965192755465402</v>
      </c>
      <c r="V35" s="17">
        <v>10.7907193908464</v>
      </c>
      <c r="W35" s="17">
        <v>0.60583667064284297</v>
      </c>
      <c r="X35" s="17">
        <v>8.3088367605275</v>
      </c>
      <c r="Y35" s="17">
        <v>5.5073509924180497</v>
      </c>
      <c r="Z35" s="17">
        <v>8.88380928477509</v>
      </c>
      <c r="AA35" s="17">
        <v>10.4786931367418</v>
      </c>
      <c r="AB35" s="17">
        <v>6.33253063982899</v>
      </c>
      <c r="AC35" s="17">
        <v>5.0498608729703696</v>
      </c>
    </row>
    <row r="36" spans="1:29" x14ac:dyDescent="0.2">
      <c r="A36" s="17">
        <f t="shared" si="0"/>
        <v>10.21822156860623</v>
      </c>
      <c r="B36" s="17">
        <v>77</v>
      </c>
      <c r="C36" s="17">
        <v>32</v>
      </c>
      <c r="D36" s="17">
        <v>14.4846515610088</v>
      </c>
      <c r="E36" s="17" t="s">
        <v>44</v>
      </c>
      <c r="F36" s="17">
        <v>13.4271153171028</v>
      </c>
      <c r="G36" s="17">
        <v>8.0270358082830207</v>
      </c>
      <c r="H36" s="17">
        <v>8.5986702601336198</v>
      </c>
      <c r="I36" s="17" t="s">
        <v>44</v>
      </c>
      <c r="J36" s="17">
        <v>9.1348713653921205</v>
      </c>
      <c r="K36" s="17">
        <v>3.67583063030427</v>
      </c>
      <c r="L36" s="17">
        <v>16.6173113084755</v>
      </c>
      <c r="M36" s="17">
        <v>8.4253431653044206</v>
      </c>
      <c r="N36" s="17">
        <v>22.2722303049738</v>
      </c>
      <c r="O36" s="17">
        <v>5.4533183995690999</v>
      </c>
      <c r="P36" s="17">
        <v>10.5509671934821</v>
      </c>
      <c r="Q36" s="17" t="s">
        <v>44</v>
      </c>
      <c r="R36" s="17">
        <v>7.8415570523256299</v>
      </c>
      <c r="S36" s="17">
        <v>5.7475679588327102</v>
      </c>
      <c r="T36" s="17">
        <v>7.2706520021577203</v>
      </c>
      <c r="U36" s="17">
        <v>6.7497201741334596</v>
      </c>
      <c r="V36" s="17">
        <v>6.9194517294539901</v>
      </c>
      <c r="W36" s="17">
        <v>4.3141975376661899</v>
      </c>
      <c r="X36" s="17">
        <v>14.461957995959899</v>
      </c>
      <c r="Y36" s="17">
        <v>13.353593954351201</v>
      </c>
      <c r="Z36" s="17">
        <v>11.950743936780601</v>
      </c>
      <c r="AA36" s="17">
        <v>11.475318604465</v>
      </c>
      <c r="AB36" s="17">
        <v>12.539923056310201</v>
      </c>
      <c r="AC36" s="17">
        <v>11.727066761477101</v>
      </c>
    </row>
    <row r="37" spans="1:29" x14ac:dyDescent="0.2">
      <c r="A37" s="17">
        <f t="shared" si="0"/>
        <v>10.465773492550484</v>
      </c>
      <c r="B37" s="17">
        <v>79</v>
      </c>
      <c r="C37" s="17">
        <v>33</v>
      </c>
      <c r="D37" s="17">
        <v>7.4767010369449496</v>
      </c>
      <c r="E37" s="17">
        <v>9.8989329370013195</v>
      </c>
      <c r="F37" s="17">
        <v>8.5661153442997904</v>
      </c>
      <c r="G37" s="17">
        <v>10.796733973419</v>
      </c>
      <c r="H37" s="17">
        <v>7.6452094414098397</v>
      </c>
      <c r="I37" s="17">
        <v>14.944308236003399</v>
      </c>
      <c r="J37" s="17">
        <v>5.9677339218245198</v>
      </c>
      <c r="K37" s="17">
        <v>6.6326753057914898</v>
      </c>
      <c r="L37" s="17" t="s">
        <v>44</v>
      </c>
      <c r="M37" s="17">
        <v>4.4914369817616997</v>
      </c>
      <c r="N37" s="17">
        <v>4.1929105508781701</v>
      </c>
      <c r="O37" s="17">
        <v>4.3403648559358503</v>
      </c>
      <c r="P37" s="17">
        <v>12.5751688873269</v>
      </c>
      <c r="Q37" s="17">
        <v>7.84622444319153</v>
      </c>
      <c r="R37" s="17">
        <v>11.346347254007</v>
      </c>
      <c r="S37" s="17">
        <v>23.754278593173499</v>
      </c>
      <c r="T37" s="17">
        <v>1.4867979624252801</v>
      </c>
      <c r="U37" s="17">
        <v>7.7710372699200798</v>
      </c>
      <c r="V37" s="17">
        <v>9.0435598920389602</v>
      </c>
      <c r="W37" s="17">
        <v>7.85080527713155</v>
      </c>
      <c r="X37" s="17">
        <v>23.737472657791901</v>
      </c>
      <c r="Y37" s="17">
        <v>16.8749145854723</v>
      </c>
      <c r="Z37" s="17">
        <v>20.544869845137502</v>
      </c>
      <c r="AA37" s="17">
        <v>21.659310086789102</v>
      </c>
      <c r="AB37" s="17">
        <v>7.7010767890475798</v>
      </c>
      <c r="AC37" s="17">
        <v>4.4993511850388801</v>
      </c>
    </row>
    <row r="38" spans="1:29" x14ac:dyDescent="0.2">
      <c r="A38" s="17">
        <f t="shared" si="0"/>
        <v>11.356209998192847</v>
      </c>
      <c r="B38" s="17">
        <v>81</v>
      </c>
      <c r="C38" s="17">
        <v>34</v>
      </c>
      <c r="D38" s="17">
        <v>30.5257376598482</v>
      </c>
      <c r="E38" s="17">
        <v>5.5252882518364297</v>
      </c>
      <c r="F38" s="17">
        <v>5.03505533296791</v>
      </c>
      <c r="G38" s="17">
        <v>8.4228047034909306</v>
      </c>
      <c r="H38" s="17">
        <v>6.1405512267540301</v>
      </c>
      <c r="I38" s="17">
        <v>43.072876950067297</v>
      </c>
      <c r="J38" s="17">
        <v>10.711958646258701</v>
      </c>
      <c r="K38" s="17">
        <v>11.345657579734899</v>
      </c>
      <c r="L38" s="17">
        <v>13.158335899369201</v>
      </c>
      <c r="M38" s="17">
        <v>11.4951724115434</v>
      </c>
      <c r="N38" s="17">
        <v>10.2003068008128</v>
      </c>
      <c r="O38" s="17">
        <v>1.73004332393656</v>
      </c>
      <c r="P38" s="17">
        <v>9.9240954417943996</v>
      </c>
      <c r="Q38" s="17">
        <v>24.0210892304613</v>
      </c>
      <c r="R38" s="17">
        <v>8.1867141183257104</v>
      </c>
      <c r="S38" s="17">
        <v>8.0823639269368304</v>
      </c>
      <c r="T38" s="17">
        <v>6.8259486557528204</v>
      </c>
      <c r="U38" s="17">
        <v>6.8870408580968103</v>
      </c>
      <c r="V38" s="17">
        <v>19.781603358850699</v>
      </c>
      <c r="W38" s="17">
        <v>11.4875108943585</v>
      </c>
      <c r="X38" s="17">
        <v>4.3271321673311904</v>
      </c>
      <c r="Y38" s="17">
        <v>8.0274152283982207</v>
      </c>
      <c r="Z38" s="17">
        <v>6.2201588934258503</v>
      </c>
      <c r="AA38" s="17">
        <v>19.7335611684565</v>
      </c>
      <c r="AB38" s="17">
        <v>2.6002710757152099</v>
      </c>
      <c r="AC38" s="17">
        <v>1.7927661484895501</v>
      </c>
    </row>
    <row r="39" spans="1:29" x14ac:dyDescent="0.2">
      <c r="A39" s="17">
        <f t="shared" si="0"/>
        <v>12.800174635562394</v>
      </c>
      <c r="B39" s="17">
        <v>83</v>
      </c>
      <c r="C39" s="17">
        <v>35</v>
      </c>
      <c r="D39" s="17">
        <v>28.169804870704301</v>
      </c>
      <c r="E39" s="17">
        <v>18.6445638118117</v>
      </c>
      <c r="F39" s="17">
        <v>15.4657465636284</v>
      </c>
      <c r="G39" s="17">
        <v>4.1827388754565602</v>
      </c>
      <c r="H39" s="17">
        <v>9.6788174220812699</v>
      </c>
      <c r="I39" s="17" t="s">
        <v>44</v>
      </c>
      <c r="J39" s="17">
        <v>18.057473330173099</v>
      </c>
      <c r="K39" s="17">
        <v>8.7777486402592899</v>
      </c>
      <c r="L39" s="17">
        <v>22.5192626532322</v>
      </c>
      <c r="M39" s="17">
        <v>22.245541929218099</v>
      </c>
      <c r="N39" s="17">
        <v>18.418675142309699</v>
      </c>
      <c r="O39" s="17">
        <v>6.2071865991867403</v>
      </c>
      <c r="P39" s="17">
        <v>19.432568765192102</v>
      </c>
      <c r="Q39" s="17">
        <v>6.7661712772501499</v>
      </c>
      <c r="R39" s="17">
        <v>3.1139401724233098</v>
      </c>
      <c r="S39" s="17" t="s">
        <v>44</v>
      </c>
      <c r="T39" s="17">
        <v>10.8260817265299</v>
      </c>
      <c r="U39" s="17">
        <v>7.21584313655522</v>
      </c>
      <c r="V39" s="17">
        <v>6.9783446809727998</v>
      </c>
      <c r="W39" s="17">
        <v>7.0341426484365899</v>
      </c>
      <c r="X39" s="17">
        <v>8.8021221862313297</v>
      </c>
      <c r="Y39" s="17">
        <v>7.3705081845526799</v>
      </c>
      <c r="Z39" s="17">
        <v>11.569078650412999</v>
      </c>
      <c r="AA39" s="17">
        <v>16.453551931974101</v>
      </c>
      <c r="AB39" s="17">
        <v>13.4317017585839</v>
      </c>
      <c r="AC39" s="17">
        <v>15.842576296321001</v>
      </c>
    </row>
    <row r="40" spans="1:29" x14ac:dyDescent="0.2">
      <c r="A40" s="17">
        <f t="shared" si="0"/>
        <v>9.7274810113638619</v>
      </c>
      <c r="B40" s="17">
        <v>90</v>
      </c>
      <c r="C40" s="17">
        <v>36</v>
      </c>
      <c r="D40" s="17">
        <v>18.937885529637398</v>
      </c>
      <c r="E40" s="17">
        <v>9.9142090890270804</v>
      </c>
      <c r="F40" s="17">
        <v>7.8523622484477302</v>
      </c>
      <c r="G40" s="17">
        <v>9.5019624639543707</v>
      </c>
      <c r="H40" s="17">
        <v>1.3202010385098699</v>
      </c>
      <c r="I40" s="17">
        <v>22.176908412103302</v>
      </c>
      <c r="J40" s="17">
        <v>3.15920451385725</v>
      </c>
      <c r="K40" s="17">
        <v>5.5689558494063203</v>
      </c>
      <c r="L40" s="17">
        <v>1.6384501853464699</v>
      </c>
      <c r="M40" s="17">
        <v>8.9354136651574105</v>
      </c>
      <c r="N40" s="17">
        <v>3.7989872739799302</v>
      </c>
      <c r="O40" s="17">
        <v>10.709361340182101</v>
      </c>
      <c r="P40" s="17">
        <v>11.3661328181103</v>
      </c>
      <c r="Q40" s="17">
        <v>3.6339474664993201</v>
      </c>
      <c r="R40" s="17">
        <v>9.8524193987811906</v>
      </c>
      <c r="S40" s="17">
        <v>17.7491491205143</v>
      </c>
      <c r="T40" s="17">
        <v>6.0128218914012503</v>
      </c>
      <c r="U40" s="17">
        <v>8.4797551126306594</v>
      </c>
      <c r="V40" s="17">
        <v>13.0249269311209</v>
      </c>
      <c r="W40" s="17">
        <v>17.3460113076864</v>
      </c>
      <c r="X40" s="17" t="s">
        <v>44</v>
      </c>
      <c r="Y40" s="17">
        <v>3.3838341572977799</v>
      </c>
      <c r="Z40" s="17">
        <v>6.5143489095631297</v>
      </c>
      <c r="AA40" s="17">
        <v>28.064470301982599</v>
      </c>
      <c r="AB40" s="17">
        <v>9.7650413420084305</v>
      </c>
      <c r="AC40" s="17">
        <v>4.4802649168910502</v>
      </c>
    </row>
    <row r="41" spans="1:29" x14ac:dyDescent="0.2">
      <c r="A41" s="17">
        <f t="shared" si="0"/>
        <v>8.5915254899605582</v>
      </c>
      <c r="B41" s="17">
        <v>92</v>
      </c>
      <c r="C41" s="17">
        <v>37</v>
      </c>
      <c r="D41" s="17" t="s">
        <v>44</v>
      </c>
      <c r="E41" s="17">
        <v>8.6785455290131903</v>
      </c>
      <c r="F41" s="17">
        <v>4.3571918362459998</v>
      </c>
      <c r="G41" s="17">
        <v>8.2850119785154703</v>
      </c>
      <c r="H41" s="17">
        <v>6.4142225625566596</v>
      </c>
      <c r="I41" s="17">
        <v>6.0616982615113502</v>
      </c>
      <c r="J41" s="17">
        <v>9.64082167068171</v>
      </c>
      <c r="K41" s="17">
        <v>3.84099696173887</v>
      </c>
      <c r="L41" s="17" t="s">
        <v>44</v>
      </c>
      <c r="M41" s="17">
        <v>15.737898026259201</v>
      </c>
      <c r="N41" s="17">
        <v>5.7502955432276996</v>
      </c>
      <c r="O41" s="17">
        <v>12.870737352705399</v>
      </c>
      <c r="P41" s="17">
        <v>3.50138646610448</v>
      </c>
      <c r="Q41" s="17">
        <v>2.7163637113149299</v>
      </c>
      <c r="R41" s="17">
        <v>10.658485578052501</v>
      </c>
      <c r="S41" s="17">
        <v>13.217244841645901</v>
      </c>
      <c r="T41" s="17">
        <v>8.1123867685540691</v>
      </c>
      <c r="U41" s="17">
        <v>11.326299532733399</v>
      </c>
      <c r="V41" s="17">
        <v>4.2508457396197903</v>
      </c>
      <c r="W41" s="17">
        <v>10.6950601895345</v>
      </c>
      <c r="X41" s="17">
        <v>17.123491759235499</v>
      </c>
      <c r="Y41" s="17" t="s">
        <v>44</v>
      </c>
      <c r="Z41" s="17" t="s">
        <v>44</v>
      </c>
      <c r="AA41" s="17" t="s">
        <v>44</v>
      </c>
      <c r="AB41" s="17" t="s">
        <v>44</v>
      </c>
      <c r="AC41" s="17" t="s">
        <v>44</v>
      </c>
    </row>
    <row r="42" spans="1:29" x14ac:dyDescent="0.2">
      <c r="A42" s="17">
        <f t="shared" si="0"/>
        <v>8.417167374138792</v>
      </c>
      <c r="B42" s="17">
        <v>97</v>
      </c>
      <c r="C42" s="17">
        <v>38</v>
      </c>
      <c r="D42" s="17">
        <v>10.4660440307521</v>
      </c>
      <c r="E42" s="17">
        <v>6.1873533920508903</v>
      </c>
      <c r="F42" s="17">
        <v>9.3725368360135501</v>
      </c>
      <c r="G42" s="17">
        <v>2.9957150372829902</v>
      </c>
      <c r="H42" s="17">
        <v>4.7309509512502101</v>
      </c>
      <c r="I42" s="17">
        <v>4.3257733043050903</v>
      </c>
      <c r="J42" s="17">
        <v>8.9119460673945206</v>
      </c>
      <c r="K42" s="17">
        <v>5.7234961833577103</v>
      </c>
      <c r="L42" s="17">
        <v>9.1156426582962293</v>
      </c>
      <c r="M42" s="17">
        <v>8.0125762054467806</v>
      </c>
      <c r="N42" s="17">
        <v>11.5484372285761</v>
      </c>
      <c r="O42" s="17">
        <v>5.6426801110534299</v>
      </c>
      <c r="P42" s="17">
        <v>2.3416071266003602</v>
      </c>
      <c r="Q42" s="17">
        <v>4.52516305882697</v>
      </c>
      <c r="R42" s="17">
        <v>3.61867049557882</v>
      </c>
      <c r="S42" s="17">
        <v>12.171374089638199</v>
      </c>
      <c r="T42" s="17">
        <v>10.2104294472541</v>
      </c>
      <c r="U42" s="17">
        <v>14.073270404966401</v>
      </c>
      <c r="V42" s="17">
        <v>12.128893718544701</v>
      </c>
      <c r="W42" s="17">
        <v>17.9011077867643</v>
      </c>
      <c r="X42" s="17">
        <v>9.9573034139417693</v>
      </c>
      <c r="Y42" s="17">
        <v>3.0111306566062699</v>
      </c>
      <c r="Z42" s="17">
        <v>7.3694030053558199</v>
      </c>
      <c r="AA42" s="17">
        <v>11.743524741289001</v>
      </c>
      <c r="AB42" s="17">
        <v>12.842384925636701</v>
      </c>
      <c r="AC42" s="17">
        <v>9.9189368508255704</v>
      </c>
    </row>
    <row r="43" spans="1:29" x14ac:dyDescent="0.2">
      <c r="A43" s="17">
        <f t="shared" si="0"/>
        <v>8.7383832283738858</v>
      </c>
      <c r="B43" s="17">
        <v>98</v>
      </c>
      <c r="C43" s="17">
        <v>39</v>
      </c>
      <c r="D43" s="17">
        <v>9.9985066097125408</v>
      </c>
      <c r="E43" s="17">
        <v>11.504863645082001</v>
      </c>
      <c r="F43" s="17">
        <v>2.9494178112201599</v>
      </c>
      <c r="G43" s="17">
        <v>12.486775706911899</v>
      </c>
      <c r="H43" s="17">
        <v>6.5086237911810203</v>
      </c>
      <c r="I43" s="17">
        <v>6.6964594318221602</v>
      </c>
      <c r="J43" s="17">
        <v>10.259880696830299</v>
      </c>
      <c r="K43" s="17">
        <v>6.8628235352275198</v>
      </c>
      <c r="L43" s="17">
        <v>12.1983808265869</v>
      </c>
      <c r="M43" s="17">
        <v>8.2474862747974704</v>
      </c>
      <c r="N43" s="17">
        <v>2.0387833923338601</v>
      </c>
      <c r="O43" s="17">
        <v>8.7511618943066392</v>
      </c>
      <c r="P43" s="17">
        <v>15.5999944315337</v>
      </c>
      <c r="Q43" s="17">
        <v>5.4246555458633798</v>
      </c>
      <c r="R43" s="17">
        <v>4.2163092854633497</v>
      </c>
      <c r="S43" s="17">
        <v>19.498416947850199</v>
      </c>
      <c r="T43" s="17">
        <v>7.2769159535966201</v>
      </c>
      <c r="U43" s="17">
        <v>6.24058384162685</v>
      </c>
      <c r="V43" s="17">
        <v>9.13216780905565</v>
      </c>
      <c r="W43" s="17">
        <v>5.5208055062602401</v>
      </c>
      <c r="X43" s="17">
        <v>5.8518452397927501</v>
      </c>
      <c r="Y43" s="17">
        <v>5.2316116277672</v>
      </c>
      <c r="Z43" s="17">
        <v>14.4450617181658</v>
      </c>
      <c r="AA43" s="17">
        <v>9.2435859790719501</v>
      </c>
      <c r="AB43" s="17" t="s">
        <v>44</v>
      </c>
      <c r="AC43" s="17">
        <v>12.274463207287001</v>
      </c>
    </row>
  </sheetData>
  <phoneticPr fontId="1" type="noConversion"/>
  <conditionalFormatting sqref="A4:A43">
    <cfRule type="aboveAverage" dxfId="3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3A91-5144-4E4D-8CCB-7E5E1D305476}">
  <dimension ref="A1:AC43"/>
  <sheetViews>
    <sheetView workbookViewId="0">
      <selection activeCell="W5" sqref="D5:W43"/>
    </sheetView>
  </sheetViews>
  <sheetFormatPr defaultColWidth="8.625" defaultRowHeight="11.25" x14ac:dyDescent="0.2"/>
  <cols>
    <col min="1" max="2" width="8.625" style="17"/>
    <col min="3" max="3" width="8.625" style="17" customWidth="1"/>
    <col min="4" max="16384" width="8.625" style="17"/>
  </cols>
  <sheetData>
    <row r="1" spans="1:29" s="9" customFormat="1" x14ac:dyDescent="0.2">
      <c r="B1" s="9" t="s">
        <v>46</v>
      </c>
      <c r="C1" s="10">
        <v>2</v>
      </c>
      <c r="D1" s="10">
        <v>11</v>
      </c>
      <c r="E1" s="10">
        <v>12</v>
      </c>
      <c r="F1" s="10">
        <v>18</v>
      </c>
      <c r="G1" s="10">
        <v>15</v>
      </c>
      <c r="H1" s="10">
        <v>3</v>
      </c>
      <c r="I1" s="10">
        <v>20</v>
      </c>
      <c r="J1" s="10">
        <v>19</v>
      </c>
      <c r="K1" s="10">
        <v>7</v>
      </c>
      <c r="L1" s="10">
        <v>8</v>
      </c>
      <c r="M1" s="10">
        <v>1</v>
      </c>
      <c r="N1" s="10">
        <v>16</v>
      </c>
      <c r="O1" s="10">
        <v>9</v>
      </c>
      <c r="P1" s="10">
        <v>4</v>
      </c>
      <c r="Q1" s="10">
        <v>5</v>
      </c>
      <c r="R1" s="10">
        <v>13</v>
      </c>
      <c r="S1" s="10">
        <v>17</v>
      </c>
      <c r="T1" s="10">
        <v>14</v>
      </c>
      <c r="U1" s="10">
        <v>10</v>
      </c>
      <c r="V1" s="10">
        <v>6</v>
      </c>
      <c r="W1" s="10"/>
      <c r="X1" s="10"/>
      <c r="Y1" s="10"/>
      <c r="Z1" s="10"/>
      <c r="AA1" s="10"/>
      <c r="AB1" s="10"/>
      <c r="AC1" s="10"/>
    </row>
    <row r="2" spans="1:29" s="9" customFormat="1" x14ac:dyDescent="0.2">
      <c r="B2" s="9" t="s">
        <v>47</v>
      </c>
      <c r="C2" s="10">
        <v>1</v>
      </c>
      <c r="D2" s="11">
        <v>2</v>
      </c>
      <c r="E2" s="11">
        <v>3</v>
      </c>
      <c r="F2" s="12">
        <v>4</v>
      </c>
      <c r="G2" s="13">
        <v>5</v>
      </c>
      <c r="H2" s="14">
        <v>6</v>
      </c>
      <c r="I2" s="10">
        <v>7</v>
      </c>
      <c r="J2" s="12">
        <v>8</v>
      </c>
      <c r="K2" s="15">
        <v>9</v>
      </c>
      <c r="L2" s="15">
        <v>10</v>
      </c>
      <c r="M2" s="16">
        <v>11</v>
      </c>
      <c r="N2" s="13">
        <v>12</v>
      </c>
      <c r="O2" s="15">
        <v>13</v>
      </c>
      <c r="P2" s="14">
        <v>14</v>
      </c>
      <c r="Q2" s="14">
        <v>15</v>
      </c>
      <c r="R2" s="11">
        <v>16</v>
      </c>
      <c r="S2" s="13">
        <v>17</v>
      </c>
      <c r="T2" s="11">
        <v>18</v>
      </c>
      <c r="U2" s="15">
        <v>19</v>
      </c>
      <c r="V2" s="14">
        <v>20</v>
      </c>
      <c r="W2" s="10">
        <v>21</v>
      </c>
      <c r="X2" s="10">
        <v>22</v>
      </c>
      <c r="Y2" s="10">
        <v>23</v>
      </c>
      <c r="Z2" s="10">
        <v>24</v>
      </c>
      <c r="AA2" s="10">
        <v>25</v>
      </c>
      <c r="AB2" s="10">
        <v>26</v>
      </c>
      <c r="AC2" s="10">
        <v>27</v>
      </c>
    </row>
    <row r="3" spans="1:29" s="9" customFormat="1" x14ac:dyDescent="0.2">
      <c r="C3" s="10" t="s">
        <v>0</v>
      </c>
      <c r="D3" s="11" t="s">
        <v>2</v>
      </c>
      <c r="E3" s="11" t="s">
        <v>4</v>
      </c>
      <c r="F3" s="12" t="s">
        <v>6</v>
      </c>
      <c r="G3" s="13" t="s">
        <v>8</v>
      </c>
      <c r="H3" s="14" t="s">
        <v>10</v>
      </c>
      <c r="I3" s="10" t="s">
        <v>12</v>
      </c>
      <c r="J3" s="12" t="s">
        <v>14</v>
      </c>
      <c r="K3" s="15" t="s">
        <v>16</v>
      </c>
      <c r="L3" s="15" t="s">
        <v>18</v>
      </c>
      <c r="M3" s="16" t="s">
        <v>20</v>
      </c>
      <c r="N3" s="13" t="s">
        <v>22</v>
      </c>
      <c r="O3" s="15" t="s">
        <v>24</v>
      </c>
      <c r="P3" s="14" t="s">
        <v>26</v>
      </c>
      <c r="Q3" s="14" t="s">
        <v>28</v>
      </c>
      <c r="R3" s="11" t="s">
        <v>30</v>
      </c>
      <c r="S3" s="13" t="s">
        <v>32</v>
      </c>
      <c r="T3" s="11" t="s">
        <v>34</v>
      </c>
      <c r="U3" s="15" t="s">
        <v>36</v>
      </c>
      <c r="V3" s="14" t="s">
        <v>38</v>
      </c>
      <c r="W3" s="10"/>
      <c r="X3" s="10"/>
      <c r="Y3" s="10"/>
      <c r="Z3" s="10"/>
      <c r="AA3" s="10"/>
      <c r="AB3" s="10"/>
      <c r="AC3" s="10"/>
    </row>
    <row r="4" spans="1:29" s="9" customFormat="1" ht="22.5" x14ac:dyDescent="0.2">
      <c r="A4" s="9" t="s">
        <v>94</v>
      </c>
      <c r="B4" s="17" t="s">
        <v>45</v>
      </c>
      <c r="C4" s="10" t="s">
        <v>1</v>
      </c>
      <c r="D4" s="11" t="s">
        <v>3</v>
      </c>
      <c r="E4" s="11" t="s">
        <v>5</v>
      </c>
      <c r="F4" s="12" t="s">
        <v>7</v>
      </c>
      <c r="G4" s="13" t="s">
        <v>9</v>
      </c>
      <c r="H4" s="14" t="s">
        <v>11</v>
      </c>
      <c r="I4" s="10" t="s">
        <v>13</v>
      </c>
      <c r="J4" s="12" t="s">
        <v>15</v>
      </c>
      <c r="K4" s="15" t="s">
        <v>17</v>
      </c>
      <c r="L4" s="15" t="s">
        <v>19</v>
      </c>
      <c r="M4" s="16" t="s">
        <v>21</v>
      </c>
      <c r="N4" s="13" t="s">
        <v>23</v>
      </c>
      <c r="O4" s="15" t="s">
        <v>25</v>
      </c>
      <c r="P4" s="14" t="s">
        <v>27</v>
      </c>
      <c r="Q4" s="14" t="s">
        <v>29</v>
      </c>
      <c r="R4" s="11" t="s">
        <v>31</v>
      </c>
      <c r="S4" s="13" t="s">
        <v>33</v>
      </c>
      <c r="T4" s="11" t="s">
        <v>35</v>
      </c>
      <c r="U4" s="15" t="s">
        <v>37</v>
      </c>
      <c r="V4" s="14" t="s">
        <v>39</v>
      </c>
      <c r="W4" s="10" t="s">
        <v>42</v>
      </c>
      <c r="X4" s="10" t="s">
        <v>42</v>
      </c>
      <c r="Y4" s="10" t="s">
        <v>42</v>
      </c>
      <c r="Z4" s="10" t="s">
        <v>48</v>
      </c>
      <c r="AA4" s="10" t="s">
        <v>49</v>
      </c>
      <c r="AB4" s="10" t="s">
        <v>50</v>
      </c>
      <c r="AC4" s="10" t="s">
        <v>51</v>
      </c>
    </row>
    <row r="5" spans="1:29" x14ac:dyDescent="0.2">
      <c r="A5" s="17">
        <f>AVERAGE(D5:AC5)</f>
        <v>9.0200039070186353</v>
      </c>
      <c r="B5" s="17">
        <v>1</v>
      </c>
      <c r="C5" s="17" t="s">
        <v>44</v>
      </c>
      <c r="D5" s="17">
        <v>4.2621798231317403</v>
      </c>
      <c r="E5" s="17">
        <v>6.0479891100653198</v>
      </c>
      <c r="F5" s="17">
        <v>5.8737274851000398</v>
      </c>
      <c r="G5" s="17">
        <v>6.10574674027617</v>
      </c>
      <c r="H5" s="17">
        <v>5.3261922687046397</v>
      </c>
      <c r="I5" s="17">
        <v>19.935244123395901</v>
      </c>
      <c r="J5" s="17">
        <v>14.1569375707712</v>
      </c>
      <c r="K5" s="17">
        <v>8.1229101010370108</v>
      </c>
      <c r="L5" s="17">
        <v>7.2479374999762101</v>
      </c>
      <c r="M5" s="17">
        <v>8.7372818369642999</v>
      </c>
      <c r="N5" s="17">
        <v>8.7030443731652696</v>
      </c>
      <c r="O5" s="17">
        <v>2.61022851875753</v>
      </c>
      <c r="P5" s="17">
        <v>5.7983278446904496</v>
      </c>
      <c r="Q5" s="17">
        <v>7.5178395468464201</v>
      </c>
      <c r="R5" s="17">
        <v>7.4280907761804702</v>
      </c>
      <c r="S5" s="17">
        <v>4.05282185560106</v>
      </c>
      <c r="T5" s="17">
        <v>6.0951105351852597</v>
      </c>
      <c r="U5" s="17">
        <v>10.1641970128574</v>
      </c>
      <c r="V5" s="17">
        <v>1.11466068975669</v>
      </c>
      <c r="W5" s="17">
        <v>14.750828209675699</v>
      </c>
      <c r="X5" s="17">
        <v>11.052776154054801</v>
      </c>
      <c r="Y5" s="17">
        <v>14.043002669917099</v>
      </c>
      <c r="Z5" s="17">
        <v>17.3909674502504</v>
      </c>
      <c r="AA5" s="17">
        <v>15.961979213704399</v>
      </c>
      <c r="AB5" s="17">
        <v>10.531814101104301</v>
      </c>
      <c r="AC5" s="17">
        <v>11.488266071314699</v>
      </c>
    </row>
    <row r="6" spans="1:29" x14ac:dyDescent="0.2">
      <c r="A6" s="17">
        <f t="shared" ref="A6:A43" si="0">AVERAGE(D6:AC6)</f>
        <v>12.779919508632643</v>
      </c>
      <c r="B6" s="17">
        <v>2</v>
      </c>
      <c r="C6" s="17">
        <v>10.0773559027943</v>
      </c>
      <c r="D6" s="17">
        <v>17.138028558357298</v>
      </c>
      <c r="E6" s="17">
        <v>27.435759016641601</v>
      </c>
      <c r="F6" s="17">
        <v>7.8944158710928196</v>
      </c>
      <c r="G6" s="17">
        <v>14.3180477644989</v>
      </c>
      <c r="H6" s="17">
        <v>11.619840071677</v>
      </c>
      <c r="I6" s="17">
        <v>12.167707739500999</v>
      </c>
      <c r="J6" s="17">
        <v>16.239602155968999</v>
      </c>
      <c r="K6" s="17">
        <v>14.235218775698501</v>
      </c>
      <c r="L6" s="17">
        <v>11.0452704559655</v>
      </c>
      <c r="M6" s="17">
        <v>7.68083333715329</v>
      </c>
      <c r="N6" s="17">
        <v>23.213522193736299</v>
      </c>
      <c r="O6" s="17">
        <v>8.9007071156506399</v>
      </c>
      <c r="P6" s="17">
        <v>24.326239300061399</v>
      </c>
      <c r="Q6" s="17">
        <v>15.0493732328663</v>
      </c>
      <c r="R6" s="17">
        <v>6.2047927999403099</v>
      </c>
      <c r="S6" s="17">
        <v>15.955950682053199</v>
      </c>
      <c r="T6" s="17">
        <v>4.0371896773005602</v>
      </c>
      <c r="U6" s="17">
        <v>3.8052750111826201</v>
      </c>
      <c r="V6" s="17">
        <v>8.1387360054350104</v>
      </c>
      <c r="W6" s="17">
        <v>18.877459214157899</v>
      </c>
      <c r="X6" s="17" t="s">
        <v>44</v>
      </c>
      <c r="Y6" s="17" t="s">
        <v>44</v>
      </c>
      <c r="Z6" s="17">
        <v>9.1353347122064594</v>
      </c>
      <c r="AA6" s="17">
        <v>6.8246591121074198</v>
      </c>
      <c r="AB6" s="17">
        <v>4.91058536693241</v>
      </c>
      <c r="AC6" s="17">
        <v>17.5635200369979</v>
      </c>
    </row>
    <row r="7" spans="1:29" x14ac:dyDescent="0.2">
      <c r="A7" s="17">
        <f t="shared" si="0"/>
        <v>11.965350075505654</v>
      </c>
      <c r="B7" s="17">
        <v>3</v>
      </c>
      <c r="C7" s="17">
        <v>25.464068867130798</v>
      </c>
      <c r="D7" s="17">
        <v>3.95021722798813</v>
      </c>
      <c r="E7" s="17">
        <v>10.021324830340401</v>
      </c>
      <c r="F7" s="17">
        <v>10.7205302911829</v>
      </c>
      <c r="G7" s="17">
        <v>11.9695123195707</v>
      </c>
      <c r="H7" s="17">
        <v>43.4606777136459</v>
      </c>
      <c r="I7" s="17">
        <v>4.6621844805568102</v>
      </c>
      <c r="J7" s="17">
        <v>7.6530756514347704</v>
      </c>
      <c r="K7" s="17">
        <v>4.6875574221182701</v>
      </c>
      <c r="L7" s="17">
        <v>13.3280479770968</v>
      </c>
      <c r="M7" s="17">
        <v>28.3820346524512</v>
      </c>
      <c r="N7" s="17">
        <v>7.5164297262426798</v>
      </c>
      <c r="O7" s="17">
        <v>7.33796161094231</v>
      </c>
      <c r="P7" s="17">
        <v>7.3770406494707901</v>
      </c>
      <c r="Q7" s="17">
        <v>14.896393743724399</v>
      </c>
      <c r="R7" s="17">
        <v>15.0190237164785</v>
      </c>
      <c r="S7" s="17">
        <v>0.84912990649599696</v>
      </c>
      <c r="T7" s="17">
        <v>9.7010006717376402</v>
      </c>
      <c r="U7" s="17">
        <v>13.5983557483335</v>
      </c>
      <c r="V7" s="17">
        <v>17.645396391331701</v>
      </c>
      <c r="W7" s="17">
        <v>14.454124287757301</v>
      </c>
      <c r="X7" s="17">
        <v>5.7914950675858003</v>
      </c>
      <c r="Y7" s="17">
        <v>14.6767928589314</v>
      </c>
      <c r="Z7" s="17">
        <v>13.840827708935</v>
      </c>
      <c r="AA7" s="17">
        <v>16.29526133201</v>
      </c>
      <c r="AB7" s="17">
        <v>10.788417395793401</v>
      </c>
      <c r="AC7" s="17">
        <v>2.4762885809907398</v>
      </c>
    </row>
    <row r="8" spans="1:29" x14ac:dyDescent="0.2">
      <c r="A8" s="17">
        <f t="shared" si="0"/>
        <v>10.551624483824217</v>
      </c>
      <c r="B8" s="17">
        <v>4</v>
      </c>
      <c r="C8" s="17" t="s">
        <v>44</v>
      </c>
      <c r="D8" s="17">
        <v>14.042508832294301</v>
      </c>
      <c r="E8" s="17">
        <v>16.480214836238201</v>
      </c>
      <c r="F8" s="17">
        <v>9.9473197621542493</v>
      </c>
      <c r="G8" s="17">
        <v>5.0799119083856699</v>
      </c>
      <c r="H8" s="17">
        <v>6.5521120650893598</v>
      </c>
      <c r="I8" s="17">
        <v>3.2270574285152702</v>
      </c>
      <c r="J8" s="17">
        <v>7.4738665753794704</v>
      </c>
      <c r="K8" s="17">
        <v>22.64703918739</v>
      </c>
      <c r="L8" s="17">
        <v>23.372917363467501</v>
      </c>
      <c r="M8" s="17">
        <v>8.3051935511445301</v>
      </c>
      <c r="N8" s="17">
        <v>3.0550571325967302</v>
      </c>
      <c r="O8" s="17">
        <v>12.4436552749927</v>
      </c>
      <c r="P8" s="17">
        <v>5.7619543106641</v>
      </c>
      <c r="Q8" s="17">
        <v>8.1264218534159802</v>
      </c>
      <c r="R8" s="17">
        <v>17.4177348085585</v>
      </c>
      <c r="S8" s="17">
        <v>2.9897553460120498</v>
      </c>
      <c r="T8" s="17">
        <v>21.087013749906799</v>
      </c>
      <c r="U8" s="17">
        <v>9.6415587256056892</v>
      </c>
      <c r="V8" s="17">
        <v>6.6477468109749198</v>
      </c>
      <c r="W8" s="17" t="s">
        <v>44</v>
      </c>
      <c r="X8" s="17">
        <v>6.7481492120940301</v>
      </c>
      <c r="Y8" s="17">
        <v>8.3001476622062302</v>
      </c>
      <c r="Z8" s="17">
        <v>15.1684217153808</v>
      </c>
      <c r="AA8" s="17">
        <v>13.2107887002953</v>
      </c>
      <c r="AB8" s="17">
        <v>7.6534743269521099</v>
      </c>
      <c r="AC8" s="17">
        <v>8.4105909558909406</v>
      </c>
    </row>
    <row r="9" spans="1:29" x14ac:dyDescent="0.2">
      <c r="A9" s="17">
        <f t="shared" si="0"/>
        <v>8.7372652165036939</v>
      </c>
      <c r="B9" s="17">
        <v>5</v>
      </c>
      <c r="C9" s="17">
        <v>9.8451084678604897</v>
      </c>
      <c r="D9" s="17">
        <v>12.2381442545688</v>
      </c>
      <c r="E9" s="17">
        <v>4.8333979765512902</v>
      </c>
      <c r="F9" s="17">
        <v>7.3473540960913297</v>
      </c>
      <c r="G9" s="17">
        <v>7.6480259450371602</v>
      </c>
      <c r="H9" s="17">
        <v>10.764525384177499</v>
      </c>
      <c r="I9" s="17">
        <v>7.3055716767612502</v>
      </c>
      <c r="J9" s="17">
        <v>12.3812932258234</v>
      </c>
      <c r="K9" s="17">
        <v>6.5640587881635097</v>
      </c>
      <c r="L9" s="17">
        <v>9.2912480967564104</v>
      </c>
      <c r="M9" s="17">
        <v>9.5802957160410909</v>
      </c>
      <c r="N9" s="17">
        <v>7.3950332470701996</v>
      </c>
      <c r="O9" s="17">
        <v>8.6128771175930794</v>
      </c>
      <c r="P9" s="17">
        <v>22.944455134138501</v>
      </c>
      <c r="Q9" s="17">
        <v>12.960192792188799</v>
      </c>
      <c r="R9" s="17">
        <v>14.689617134391099</v>
      </c>
      <c r="S9" s="17">
        <v>4.6860820945495396</v>
      </c>
      <c r="T9" s="17">
        <v>5.5371113117634003</v>
      </c>
      <c r="U9" s="17">
        <v>7.7087407629187199</v>
      </c>
      <c r="V9" s="17">
        <v>3.47651506905328</v>
      </c>
      <c r="W9" s="17">
        <v>9.9466693665438903</v>
      </c>
      <c r="X9" s="17">
        <v>4.5664440997397602</v>
      </c>
      <c r="Y9" s="17">
        <v>10.382185626272699</v>
      </c>
      <c r="Z9" s="17">
        <v>10.590685651856701</v>
      </c>
      <c r="AA9" s="17">
        <v>2.38365665032399</v>
      </c>
      <c r="AB9" s="17">
        <v>4.6803258408422401</v>
      </c>
      <c r="AC9" s="17">
        <v>8.6543885698784404</v>
      </c>
    </row>
    <row r="10" spans="1:29" x14ac:dyDescent="0.2">
      <c r="A10" s="17">
        <f t="shared" si="0"/>
        <v>8.6829342034546233</v>
      </c>
      <c r="B10" s="17">
        <v>6</v>
      </c>
      <c r="C10" s="17">
        <v>9.5273325808932992</v>
      </c>
      <c r="D10" s="17">
        <v>11.3042577335272</v>
      </c>
      <c r="E10" s="17">
        <v>8.1743463401989906</v>
      </c>
      <c r="F10" s="17">
        <v>9.6975361900378108</v>
      </c>
      <c r="G10" s="17">
        <v>5.0317816280866996</v>
      </c>
      <c r="H10" s="17">
        <v>3.8915728641903198</v>
      </c>
      <c r="I10" s="17">
        <v>8.7729298279719305</v>
      </c>
      <c r="J10" s="17">
        <v>11.9448282562514</v>
      </c>
      <c r="K10" s="17">
        <v>4.3986670661077696</v>
      </c>
      <c r="L10" s="17">
        <v>9.9635873723511903</v>
      </c>
      <c r="M10" s="17">
        <v>7.9150007308685897</v>
      </c>
      <c r="N10" s="17">
        <v>4.7859348904667103</v>
      </c>
      <c r="O10" s="17">
        <v>10.594240305383099</v>
      </c>
      <c r="P10" s="17">
        <v>16.260244631313899</v>
      </c>
      <c r="Q10" s="17">
        <v>9.3133931427622301</v>
      </c>
      <c r="R10" s="17">
        <v>8.1916183701939005</v>
      </c>
      <c r="S10" s="17">
        <v>13.3916656087723</v>
      </c>
      <c r="T10" s="17">
        <v>3.0152464737343001</v>
      </c>
      <c r="U10" s="17">
        <v>11.8052689270845</v>
      </c>
      <c r="V10" s="17">
        <v>4.4140837189008604</v>
      </c>
      <c r="W10" s="17">
        <v>7.5104084097251196</v>
      </c>
      <c r="X10" s="17">
        <v>4.9936507373977896</v>
      </c>
      <c r="Y10" s="17">
        <v>4.7617882159593803</v>
      </c>
      <c r="Z10" s="17">
        <v>12.589062276223901</v>
      </c>
      <c r="AA10" s="17">
        <v>14.379987942669</v>
      </c>
      <c r="AB10" s="17">
        <v>5.4111748497705801</v>
      </c>
      <c r="AC10" s="17">
        <v>13.244012779870699</v>
      </c>
    </row>
    <row r="11" spans="1:29" x14ac:dyDescent="0.2">
      <c r="A11" s="17">
        <f t="shared" si="0"/>
        <v>12.823348316678182</v>
      </c>
      <c r="B11" s="17">
        <v>7</v>
      </c>
      <c r="C11" s="17">
        <v>30.637807947599601</v>
      </c>
      <c r="D11" s="17">
        <v>13.9691102307201</v>
      </c>
      <c r="E11" s="17">
        <v>26.218669966785601</v>
      </c>
      <c r="F11" s="17">
        <v>7.7512479875907001</v>
      </c>
      <c r="G11" s="17">
        <v>9.6889582293604697</v>
      </c>
      <c r="H11" s="17">
        <v>23.806976859610401</v>
      </c>
      <c r="I11" s="17">
        <v>6.65583253349019</v>
      </c>
      <c r="J11" s="17">
        <v>12.6821015723136</v>
      </c>
      <c r="K11" s="17">
        <v>16.842925358565601</v>
      </c>
      <c r="L11" s="17" t="s">
        <v>44</v>
      </c>
      <c r="M11" s="17" t="s">
        <v>44</v>
      </c>
      <c r="N11" s="17">
        <v>23.768195086348602</v>
      </c>
      <c r="O11" s="17">
        <v>16.5084705721736</v>
      </c>
      <c r="P11" s="17">
        <v>12.3025131480206</v>
      </c>
      <c r="Q11" s="17">
        <v>11.6624820584688</v>
      </c>
      <c r="R11" s="17">
        <v>14.8718319227552</v>
      </c>
      <c r="S11" s="17">
        <v>8.7992178949303899</v>
      </c>
      <c r="T11" s="17">
        <v>3.8180454257670902</v>
      </c>
      <c r="U11" s="17">
        <v>13.2978898219098</v>
      </c>
      <c r="V11" s="17">
        <v>11.3115042612207</v>
      </c>
      <c r="W11" s="17">
        <v>13.846885245913899</v>
      </c>
      <c r="X11" s="17" t="s">
        <v>44</v>
      </c>
      <c r="Y11" s="17" t="s">
        <v>44</v>
      </c>
      <c r="Z11" s="17">
        <v>9.3920907052972709</v>
      </c>
      <c r="AA11" s="17">
        <v>3.3945594453724199</v>
      </c>
      <c r="AB11" s="17">
        <v>4.4548339412403699</v>
      </c>
      <c r="AC11" s="17">
        <v>17.069320699064601</v>
      </c>
    </row>
    <row r="12" spans="1:29" x14ac:dyDescent="0.2">
      <c r="A12" s="17">
        <f t="shared" si="0"/>
        <v>12.795553588271941</v>
      </c>
      <c r="B12" s="17">
        <v>8</v>
      </c>
      <c r="C12" s="17">
        <v>13.635607057179399</v>
      </c>
      <c r="D12" s="17">
        <v>13.7342473612368</v>
      </c>
      <c r="E12" s="17">
        <v>17.849667914181499</v>
      </c>
      <c r="F12" s="17">
        <v>15.500648695724699</v>
      </c>
      <c r="G12" s="17">
        <v>19.4893650559322</v>
      </c>
      <c r="H12" s="17">
        <v>13.6743508174299</v>
      </c>
      <c r="I12" s="17">
        <v>7.6688869046469597</v>
      </c>
      <c r="J12" s="17">
        <v>23.484971430920801</v>
      </c>
      <c r="K12" s="17">
        <v>12.4018542449381</v>
      </c>
      <c r="L12" s="17">
        <v>13.9648338536112</v>
      </c>
      <c r="M12" s="17">
        <v>21.312652500255101</v>
      </c>
      <c r="N12" s="17">
        <v>14.8158005842867</v>
      </c>
      <c r="O12" s="17">
        <v>12.586615406196</v>
      </c>
      <c r="P12" s="17">
        <v>3.5495175909819898</v>
      </c>
      <c r="Q12" s="17">
        <v>12.501366835701401</v>
      </c>
      <c r="R12" s="17">
        <v>15.731664817033201</v>
      </c>
      <c r="S12" s="17">
        <v>8.5536457782338999</v>
      </c>
      <c r="T12" s="17">
        <v>21.303045867514101</v>
      </c>
      <c r="U12" s="17">
        <v>20.416252403347201</v>
      </c>
      <c r="V12" s="17">
        <v>3.0950451370590901</v>
      </c>
      <c r="W12" s="17">
        <v>3.76034725021379</v>
      </c>
      <c r="X12" s="17">
        <v>5.1419924390594201</v>
      </c>
      <c r="Y12" s="17">
        <v>3.0275120751961899</v>
      </c>
      <c r="Z12" s="17">
        <v>14.6236290291783</v>
      </c>
      <c r="AA12" s="17">
        <v>12.7593719263092</v>
      </c>
      <c r="AB12" s="17">
        <v>11.053270891411399</v>
      </c>
      <c r="AC12" s="17">
        <v>10.683836484471399</v>
      </c>
    </row>
    <row r="13" spans="1:29" x14ac:dyDescent="0.2">
      <c r="A13" s="17">
        <f t="shared" si="0"/>
        <v>10.985377445326897</v>
      </c>
      <c r="B13" s="17">
        <v>9</v>
      </c>
      <c r="C13" s="17">
        <v>18.992669551643498</v>
      </c>
      <c r="D13" s="17">
        <v>16.1020409003496</v>
      </c>
      <c r="E13" s="17">
        <v>11.9298103237753</v>
      </c>
      <c r="F13" s="17">
        <v>19.7297363264897</v>
      </c>
      <c r="G13" s="17">
        <v>6.8154275428492701</v>
      </c>
      <c r="H13" s="17" t="s">
        <v>44</v>
      </c>
      <c r="I13" s="17">
        <v>3.7415055178657401</v>
      </c>
      <c r="J13" s="17">
        <v>8.0064916770929209</v>
      </c>
      <c r="K13" s="17">
        <v>26.299218928416298</v>
      </c>
      <c r="L13" s="17">
        <v>7.1734362250616597</v>
      </c>
      <c r="M13" s="17">
        <v>14.4830245337801</v>
      </c>
      <c r="N13" s="17">
        <v>22.219036444507399</v>
      </c>
      <c r="O13" s="17">
        <v>5.4742739077350997</v>
      </c>
      <c r="P13" s="17">
        <v>4.41879516882367</v>
      </c>
      <c r="Q13" s="17">
        <v>8.3927364132733597</v>
      </c>
      <c r="R13" s="17">
        <v>6.0684608478433404</v>
      </c>
      <c r="S13" s="17">
        <v>3.8770498696090101</v>
      </c>
      <c r="T13" s="17">
        <v>8.1206217247982604</v>
      </c>
      <c r="U13" s="17">
        <v>14.795933371580899</v>
      </c>
      <c r="V13" s="17">
        <v>9.74435934897447</v>
      </c>
      <c r="W13" s="17">
        <v>21.5406393923442</v>
      </c>
      <c r="X13" s="17" t="s">
        <v>44</v>
      </c>
      <c r="Y13" s="17">
        <v>6.5212651038564804</v>
      </c>
      <c r="Z13" s="17">
        <v>14.712548906841601</v>
      </c>
      <c r="AA13" s="17">
        <v>9.1467206747459606</v>
      </c>
      <c r="AB13" s="17">
        <v>5.61417875337178</v>
      </c>
      <c r="AC13" s="17">
        <v>8.7217467838594693</v>
      </c>
    </row>
    <row r="14" spans="1:29" x14ac:dyDescent="0.2">
      <c r="A14" s="17">
        <f t="shared" si="0"/>
        <v>7.2528126400223734</v>
      </c>
      <c r="B14" s="17">
        <v>10</v>
      </c>
      <c r="C14" s="17">
        <v>15.8873327172572</v>
      </c>
      <c r="D14" s="17">
        <v>13.0118919403238</v>
      </c>
      <c r="E14" s="17">
        <v>5.5431002302532901</v>
      </c>
      <c r="F14" s="17">
        <v>4.5169929611539397</v>
      </c>
      <c r="G14" s="17">
        <v>9.6542689837026607</v>
      </c>
      <c r="H14" s="17">
        <v>7.1982698061972501</v>
      </c>
      <c r="I14" s="17">
        <v>4.6326803917986696</v>
      </c>
      <c r="J14" s="17">
        <v>1.2676807421757399</v>
      </c>
      <c r="K14" s="17">
        <v>7.75053209339048</v>
      </c>
      <c r="L14" s="17">
        <v>7.9599575499140203</v>
      </c>
      <c r="M14" s="17">
        <v>8.4004799540559194</v>
      </c>
      <c r="N14" s="17">
        <v>13.6910297254417</v>
      </c>
      <c r="O14" s="17">
        <v>3.4916208436586502</v>
      </c>
      <c r="P14" s="17">
        <v>7.4760980625650397</v>
      </c>
      <c r="Q14" s="17">
        <v>2.9223676968196002</v>
      </c>
      <c r="R14" s="17">
        <v>14.230574672843799</v>
      </c>
      <c r="S14" s="17">
        <v>6.6813373590257097</v>
      </c>
      <c r="T14" s="17">
        <v>9.8539114154584002</v>
      </c>
      <c r="U14" s="17">
        <v>5.73607063134786</v>
      </c>
      <c r="V14" s="17">
        <v>4.42416783392596</v>
      </c>
      <c r="W14" s="17">
        <v>11.8990456539939</v>
      </c>
      <c r="X14" s="17">
        <v>11.0538948502886</v>
      </c>
      <c r="Y14" s="17">
        <v>4.8832184117706703</v>
      </c>
      <c r="Z14" s="17">
        <v>6.4093802511740803</v>
      </c>
      <c r="AA14" s="17">
        <v>7.5390437377530004</v>
      </c>
      <c r="AB14" s="17">
        <v>1.6594986687939901</v>
      </c>
      <c r="AC14" s="17">
        <v>6.68601417275495</v>
      </c>
    </row>
    <row r="15" spans="1:29" x14ac:dyDescent="0.2">
      <c r="A15" s="17">
        <f t="shared" si="0"/>
        <v>11.001599088027001</v>
      </c>
      <c r="B15" s="17">
        <v>11</v>
      </c>
      <c r="C15" s="17">
        <v>13.583927821108199</v>
      </c>
      <c r="D15" s="17">
        <v>8.3494340545092491</v>
      </c>
      <c r="E15" s="17" t="s">
        <v>44</v>
      </c>
      <c r="F15" s="17">
        <v>5.7913229073269799</v>
      </c>
      <c r="G15" s="17">
        <v>2.8829758644566401</v>
      </c>
      <c r="H15" s="17">
        <v>9.8307714035559997</v>
      </c>
      <c r="I15" s="17">
        <v>4.74688340380205</v>
      </c>
      <c r="J15" s="17">
        <v>6.6522617201444101</v>
      </c>
      <c r="K15" s="17">
        <v>15.4253895730478</v>
      </c>
      <c r="L15" s="17">
        <v>16.775846534694601</v>
      </c>
      <c r="M15" s="17">
        <v>15.6803538824343</v>
      </c>
      <c r="N15" s="17">
        <v>12.483889739397</v>
      </c>
      <c r="O15" s="17" t="s">
        <v>44</v>
      </c>
      <c r="P15" s="17">
        <v>5.1295976208057104</v>
      </c>
      <c r="Q15" s="17">
        <v>14.033589003171</v>
      </c>
      <c r="R15" s="17">
        <v>15.237146945105099</v>
      </c>
      <c r="S15" s="17">
        <v>11.889065282916</v>
      </c>
      <c r="T15" s="17">
        <v>14.9114412845961</v>
      </c>
      <c r="U15" s="17">
        <v>8.9928619001127394</v>
      </c>
      <c r="V15" s="17">
        <v>8.5485343486046705</v>
      </c>
      <c r="W15" s="17">
        <v>14.0912894253786</v>
      </c>
      <c r="X15" s="17">
        <v>9.8306025168060795</v>
      </c>
      <c r="Y15" s="17">
        <v>4.1217437559590397</v>
      </c>
      <c r="Z15" s="17">
        <v>14.747853164125999</v>
      </c>
      <c r="AA15" s="17">
        <v>3.0463959788111801</v>
      </c>
      <c r="AB15" s="17">
        <v>15.7694541537874</v>
      </c>
      <c r="AC15" s="17">
        <v>25.0696736490994</v>
      </c>
    </row>
    <row r="16" spans="1:29" x14ac:dyDescent="0.2">
      <c r="A16" s="17">
        <f t="shared" si="0"/>
        <v>11.810789558155529</v>
      </c>
      <c r="B16" s="17">
        <v>12</v>
      </c>
      <c r="C16" s="17">
        <v>34.753974571371899</v>
      </c>
      <c r="D16" s="17">
        <v>10.0451577328546</v>
      </c>
      <c r="E16" s="17">
        <v>28.9789201301089</v>
      </c>
      <c r="F16" s="17">
        <v>9.6555350803600906</v>
      </c>
      <c r="G16" s="17">
        <v>4.1946490386743802</v>
      </c>
      <c r="H16" s="17">
        <v>12.2872260694436</v>
      </c>
      <c r="I16" s="17">
        <v>9.4637034454769395</v>
      </c>
      <c r="J16" s="17">
        <v>10.9399842435955</v>
      </c>
      <c r="K16" s="17">
        <v>24.985403031250499</v>
      </c>
      <c r="L16" s="17">
        <v>15.3166818146053</v>
      </c>
      <c r="M16" s="17">
        <v>5.1653431969090597</v>
      </c>
      <c r="N16" s="17">
        <v>7.0272689191936903</v>
      </c>
      <c r="O16" s="17">
        <v>12.981975514770401</v>
      </c>
      <c r="P16" s="17">
        <v>12.3001287712872</v>
      </c>
      <c r="Q16" s="17" t="s">
        <v>44</v>
      </c>
      <c r="R16" s="17">
        <v>14.3231772625715</v>
      </c>
      <c r="S16" s="17">
        <v>8.9388212040694199</v>
      </c>
      <c r="T16" s="17">
        <v>24.4354611193253</v>
      </c>
      <c r="U16" s="17">
        <v>12.6668290058137</v>
      </c>
      <c r="V16" s="17">
        <v>4.2746300833977404</v>
      </c>
      <c r="W16" s="17">
        <v>19.683794220469501</v>
      </c>
      <c r="X16" s="17">
        <v>7.2726602170299799</v>
      </c>
      <c r="Y16" s="17">
        <v>7.8169950190446897</v>
      </c>
      <c r="Z16" s="17">
        <v>11.921018168665199</v>
      </c>
      <c r="AA16" s="17">
        <v>15.0075854415657</v>
      </c>
      <c r="AB16" s="17">
        <v>0.377593832538207</v>
      </c>
      <c r="AC16" s="17">
        <v>5.2091963908671204</v>
      </c>
    </row>
    <row r="17" spans="1:29" x14ac:dyDescent="0.2">
      <c r="A17" s="17">
        <f t="shared" si="0"/>
        <v>11.003583161960846</v>
      </c>
      <c r="B17" s="17">
        <v>13</v>
      </c>
      <c r="C17" s="17">
        <v>15.3512342036958</v>
      </c>
      <c r="D17" s="17">
        <v>5.7117273007417104</v>
      </c>
      <c r="E17" s="17">
        <v>14.5304100711807</v>
      </c>
      <c r="F17" s="17">
        <v>7.2323240395519797</v>
      </c>
      <c r="G17" s="17">
        <v>8.5401701400903107</v>
      </c>
      <c r="H17" s="17">
        <v>22.5659033346999</v>
      </c>
      <c r="I17" s="17">
        <v>10.7187848766599</v>
      </c>
      <c r="J17" s="17">
        <v>11.231489323013999</v>
      </c>
      <c r="K17" s="17">
        <v>17.1656619958462</v>
      </c>
      <c r="L17" s="17">
        <v>20.113808667866898</v>
      </c>
      <c r="M17" s="17">
        <v>20.778747845752498</v>
      </c>
      <c r="N17" s="17">
        <v>5.6212238700853598</v>
      </c>
      <c r="O17" s="17">
        <v>7.1239913225356197</v>
      </c>
      <c r="P17" s="17">
        <v>10.621994145473501</v>
      </c>
      <c r="Q17" s="17">
        <v>2.4993227561557601</v>
      </c>
      <c r="R17" s="17">
        <v>15.711107032277001</v>
      </c>
      <c r="S17" s="17">
        <v>10.292581624110101</v>
      </c>
      <c r="T17" s="17">
        <v>8.7862034121652197</v>
      </c>
      <c r="U17" s="17">
        <v>19.5207599301919</v>
      </c>
      <c r="V17" s="17">
        <v>8.6716091006203708</v>
      </c>
      <c r="W17" s="17">
        <v>14.498803090086399</v>
      </c>
      <c r="X17" s="17">
        <v>10.789901883160599</v>
      </c>
      <c r="Y17" s="17">
        <v>8.0769777182272993</v>
      </c>
      <c r="Z17" s="17">
        <v>12.8898486255334</v>
      </c>
      <c r="AA17" s="17">
        <v>5.5136719054081302</v>
      </c>
      <c r="AB17" s="17">
        <v>2.80415423862862</v>
      </c>
      <c r="AC17" s="17">
        <v>4.0819839609186701</v>
      </c>
    </row>
    <row r="18" spans="1:29" x14ac:dyDescent="0.2">
      <c r="A18" s="17">
        <f t="shared" si="0"/>
        <v>9.222859108416726</v>
      </c>
      <c r="B18" s="17">
        <v>14</v>
      </c>
      <c r="C18" s="17">
        <v>14.6102907668405</v>
      </c>
      <c r="D18" s="17">
        <v>10.3928339698549</v>
      </c>
      <c r="E18" s="17">
        <v>4.3060734983888196</v>
      </c>
      <c r="F18" s="17">
        <v>10.9735369718478</v>
      </c>
      <c r="G18" s="17">
        <v>6.2620042541353804</v>
      </c>
      <c r="H18" s="17">
        <v>10.4178068046132</v>
      </c>
      <c r="I18" s="17" t="s">
        <v>44</v>
      </c>
      <c r="J18" s="17">
        <v>4.3972459594339997</v>
      </c>
      <c r="K18" s="17">
        <v>9.9639295061542992</v>
      </c>
      <c r="L18" s="17">
        <v>18.3295743357818</v>
      </c>
      <c r="M18" s="17">
        <v>9.7257366983693192</v>
      </c>
      <c r="N18" s="17">
        <v>6.6621445490626403</v>
      </c>
      <c r="O18" s="17">
        <v>1.9502948610772499</v>
      </c>
      <c r="P18" s="17">
        <v>16.222185039274599</v>
      </c>
      <c r="Q18" s="17">
        <v>9.7656639895056792</v>
      </c>
      <c r="R18" s="17">
        <v>10.752004580320399</v>
      </c>
      <c r="S18" s="17">
        <v>2.9604932613727901</v>
      </c>
      <c r="T18" s="17">
        <v>6.5482587311835596</v>
      </c>
      <c r="U18" s="17">
        <v>12.4838619479982</v>
      </c>
      <c r="V18" s="17">
        <v>10.973724586713301</v>
      </c>
      <c r="W18" s="17">
        <v>11.9117447542004</v>
      </c>
      <c r="X18" s="17">
        <v>7.1916110042971804</v>
      </c>
      <c r="Y18" s="17">
        <v>10.180971636328501</v>
      </c>
      <c r="Z18" s="17">
        <v>18.3432023335758</v>
      </c>
      <c r="AA18" s="17">
        <v>4.6864009506728301</v>
      </c>
      <c r="AB18" s="17" t="s">
        <v>44</v>
      </c>
      <c r="AC18" s="17">
        <v>5.9473143778387803</v>
      </c>
    </row>
    <row r="19" spans="1:29" x14ac:dyDescent="0.2">
      <c r="A19" s="17">
        <f t="shared" si="0"/>
        <v>8.8121994219446229</v>
      </c>
      <c r="B19" s="17">
        <v>15</v>
      </c>
      <c r="C19" s="17">
        <v>9.1741373372107198</v>
      </c>
      <c r="D19" s="17">
        <v>13.1417445996392</v>
      </c>
      <c r="E19" s="17">
        <v>7.6742804104360296</v>
      </c>
      <c r="F19" s="17">
        <v>6.85076831773282</v>
      </c>
      <c r="G19" s="17">
        <v>7.3594626137724202</v>
      </c>
      <c r="H19" s="17">
        <v>8.7882191939783993</v>
      </c>
      <c r="I19" s="17">
        <v>4.8091898021867001</v>
      </c>
      <c r="J19" s="17">
        <v>4.8665903580889198</v>
      </c>
      <c r="K19" s="17">
        <v>7.7064114863837396</v>
      </c>
      <c r="L19" s="17">
        <v>9.3437173951186292</v>
      </c>
      <c r="M19" s="17">
        <v>5.5739547339656799</v>
      </c>
      <c r="N19" s="17">
        <v>13.188798554396501</v>
      </c>
      <c r="O19" s="17">
        <v>15.376706807323799</v>
      </c>
      <c r="P19" s="17">
        <v>4.2367160438055302</v>
      </c>
      <c r="Q19" s="17">
        <v>7.5724062031467296</v>
      </c>
      <c r="R19" s="17">
        <v>3.85452830429844</v>
      </c>
      <c r="S19" s="17">
        <v>15.373159716370299</v>
      </c>
      <c r="T19" s="17">
        <v>4.5885547354602201</v>
      </c>
      <c r="U19" s="17">
        <v>14.8110213855759</v>
      </c>
      <c r="V19" s="17">
        <v>5.54535585030861</v>
      </c>
      <c r="W19" s="17">
        <v>14.4667420882628</v>
      </c>
      <c r="X19" s="17">
        <v>9.1031901173305396</v>
      </c>
      <c r="Y19" s="17">
        <v>11.693801050069199</v>
      </c>
      <c r="Z19" s="17">
        <v>11.8885485672588</v>
      </c>
      <c r="AA19" s="17">
        <v>2.2769704124007202</v>
      </c>
      <c r="AB19" s="17">
        <v>6.2227589862648802</v>
      </c>
      <c r="AC19" s="17">
        <v>12.803587236984701</v>
      </c>
    </row>
    <row r="20" spans="1:29" x14ac:dyDescent="0.2">
      <c r="A20" s="17">
        <f t="shared" si="0"/>
        <v>10.496376430799435</v>
      </c>
      <c r="B20" s="17">
        <v>16</v>
      </c>
      <c r="C20" s="17">
        <v>7.4628555271462496</v>
      </c>
      <c r="D20" s="17">
        <v>15.9654703029549</v>
      </c>
      <c r="E20" s="17">
        <v>14.501546983923101</v>
      </c>
      <c r="F20" s="17">
        <v>9.8863725061704208</v>
      </c>
      <c r="G20" s="17">
        <v>10.5429145382353</v>
      </c>
      <c r="H20" s="17">
        <v>19.1639126443851</v>
      </c>
      <c r="I20" s="17">
        <v>9.8822150768223604</v>
      </c>
      <c r="J20" s="17">
        <v>10.2695356656615</v>
      </c>
      <c r="K20" s="17">
        <v>3.7456995799997901</v>
      </c>
      <c r="L20" s="17">
        <v>15.2468408904986</v>
      </c>
      <c r="M20" s="17">
        <v>22.363363889022999</v>
      </c>
      <c r="N20" s="17">
        <v>5.8278340059113702</v>
      </c>
      <c r="O20" s="17">
        <v>10.7355710582158</v>
      </c>
      <c r="P20" s="17">
        <v>9.8074765541424593</v>
      </c>
      <c r="Q20" s="17">
        <v>3.3737730414323002</v>
      </c>
      <c r="R20" s="17">
        <v>9.9496448107889695</v>
      </c>
      <c r="S20" s="17">
        <v>6.49301572768917</v>
      </c>
      <c r="T20" s="17">
        <v>12.402255150861899</v>
      </c>
      <c r="U20" s="17">
        <v>12.9886841665394</v>
      </c>
      <c r="V20" s="17">
        <v>8.3376585348945795</v>
      </c>
      <c r="W20" s="17">
        <v>4.4368202178662299</v>
      </c>
      <c r="X20" s="17">
        <v>8.0514938329675694</v>
      </c>
      <c r="Y20" s="17">
        <v>8.0919381762351001</v>
      </c>
      <c r="Z20" s="17">
        <v>8.4113955644795304</v>
      </c>
      <c r="AA20" s="17">
        <v>15.267281129589501</v>
      </c>
      <c r="AB20" s="17">
        <v>11.6270835861816</v>
      </c>
      <c r="AC20" s="17">
        <v>5.5359895653158002</v>
      </c>
    </row>
    <row r="21" spans="1:29" x14ac:dyDescent="0.2">
      <c r="A21" s="17">
        <f t="shared" si="0"/>
        <v>7.924691355108771</v>
      </c>
      <c r="B21" s="17">
        <v>17</v>
      </c>
      <c r="C21" s="17">
        <v>15.2468910618077</v>
      </c>
      <c r="D21" s="17">
        <v>5.17014093000311</v>
      </c>
      <c r="E21" s="17">
        <v>11.600029905539101</v>
      </c>
      <c r="F21" s="17">
        <v>6.8478599274557803</v>
      </c>
      <c r="G21" s="17">
        <v>13.6578104252279</v>
      </c>
      <c r="H21" s="17">
        <v>8.4086194500949993</v>
      </c>
      <c r="I21" s="17">
        <v>16.220222001993399</v>
      </c>
      <c r="J21" s="17">
        <v>11.9391166400326</v>
      </c>
      <c r="K21" s="17">
        <v>4.0404524602035297</v>
      </c>
      <c r="L21" s="17">
        <v>9.2185962218606292</v>
      </c>
      <c r="M21" s="17">
        <v>6.3706198145304498</v>
      </c>
      <c r="N21" s="17">
        <v>17.4388272528087</v>
      </c>
      <c r="O21" s="17">
        <v>1.47667868120213</v>
      </c>
      <c r="P21" s="17">
        <v>9.9824282831576401</v>
      </c>
      <c r="Q21" s="17">
        <v>5.6976795931617996</v>
      </c>
      <c r="R21" s="17">
        <v>14.585755417093599</v>
      </c>
      <c r="S21" s="17">
        <v>6.4210514458316199</v>
      </c>
      <c r="T21" s="17">
        <v>7.8091467535229597</v>
      </c>
      <c r="U21" s="17">
        <v>8.0517061833045798</v>
      </c>
      <c r="V21" s="17">
        <v>5.3413726914058897</v>
      </c>
      <c r="W21" s="17">
        <v>6.7339913786663796</v>
      </c>
      <c r="X21" s="17">
        <v>4.60856683427681</v>
      </c>
      <c r="Y21" s="17">
        <v>5.4714932536608298</v>
      </c>
      <c r="Z21" s="17">
        <v>2.1423142723889002</v>
      </c>
      <c r="AA21" s="17">
        <v>1.9969665336465801</v>
      </c>
      <c r="AB21" s="17">
        <v>3.3084156803769398</v>
      </c>
      <c r="AC21" s="17">
        <v>11.502113201381199</v>
      </c>
    </row>
    <row r="22" spans="1:29" x14ac:dyDescent="0.2">
      <c r="A22" s="17">
        <f t="shared" si="0"/>
        <v>9.6288499747967791</v>
      </c>
      <c r="B22" s="17">
        <v>18</v>
      </c>
      <c r="C22" s="17" t="s">
        <v>44</v>
      </c>
      <c r="D22" s="17">
        <v>9.9151982401491097</v>
      </c>
      <c r="E22" s="17" t="s">
        <v>44</v>
      </c>
      <c r="F22" s="17">
        <v>21.296935165332901</v>
      </c>
      <c r="G22" s="17">
        <v>4.7466251720980299</v>
      </c>
      <c r="H22" s="17">
        <v>21.624606793756602</v>
      </c>
      <c r="I22" s="17">
        <v>5.8319811393493897</v>
      </c>
      <c r="J22" s="17">
        <v>10.6970449114313</v>
      </c>
      <c r="K22" s="17">
        <v>7.2823027187899996</v>
      </c>
      <c r="L22" s="17">
        <v>2.88770668839383</v>
      </c>
      <c r="M22" s="17">
        <v>13.6669335179832</v>
      </c>
      <c r="N22" s="17">
        <v>8.7644856668251592</v>
      </c>
      <c r="O22" s="17">
        <v>4.8995894452325501</v>
      </c>
      <c r="P22" s="17">
        <v>16.273867804374301</v>
      </c>
      <c r="Q22" s="17">
        <v>12.3544057813143</v>
      </c>
      <c r="R22" s="17">
        <v>18.1890117848206</v>
      </c>
      <c r="S22" s="17">
        <v>3.4362348204170901</v>
      </c>
      <c r="T22" s="17">
        <v>6.0685348148951599</v>
      </c>
      <c r="U22" s="17">
        <v>5.9127801892240299</v>
      </c>
      <c r="V22" s="17">
        <v>11.592349235326401</v>
      </c>
      <c r="W22" s="17">
        <v>4.2053891771923499</v>
      </c>
      <c r="X22" s="17">
        <v>6.1399734531343704</v>
      </c>
      <c r="Y22" s="17">
        <v>12.8064266520273</v>
      </c>
      <c r="Z22" s="17">
        <v>19.226344372973202</v>
      </c>
      <c r="AA22" s="17">
        <v>1.9970220411459401</v>
      </c>
      <c r="AB22" s="17">
        <v>6.2807198073692199</v>
      </c>
      <c r="AC22" s="17">
        <v>4.6247799763630697</v>
      </c>
    </row>
    <row r="23" spans="1:29" x14ac:dyDescent="0.2">
      <c r="A23" s="17">
        <f t="shared" si="0"/>
        <v>10.229049183871158</v>
      </c>
      <c r="B23" s="17">
        <v>19</v>
      </c>
      <c r="C23" s="17" t="s">
        <v>44</v>
      </c>
      <c r="D23" s="17">
        <v>14.7291387981005</v>
      </c>
      <c r="E23" s="17">
        <v>4.3064802155389001</v>
      </c>
      <c r="F23" s="17">
        <v>2.0747842591209702</v>
      </c>
      <c r="G23" s="17">
        <v>14.4954612341055</v>
      </c>
      <c r="H23" s="17">
        <v>5.9432695275843201</v>
      </c>
      <c r="I23" s="17" t="s">
        <v>44</v>
      </c>
      <c r="J23" s="17">
        <v>6.0214252142372304</v>
      </c>
      <c r="K23" s="17" t="s">
        <v>44</v>
      </c>
      <c r="L23" s="17" t="s">
        <v>44</v>
      </c>
      <c r="M23" s="17">
        <v>9.7325366480014299</v>
      </c>
      <c r="N23" s="17">
        <v>17.319804223867699</v>
      </c>
      <c r="O23" s="17">
        <v>17.314649919920399</v>
      </c>
      <c r="P23" s="17" t="s">
        <v>44</v>
      </c>
      <c r="Q23" s="17">
        <v>3.3762553364291001</v>
      </c>
      <c r="R23" s="17">
        <v>14.783326598355901</v>
      </c>
      <c r="S23" s="17">
        <v>14.3395107112879</v>
      </c>
      <c r="T23" s="17">
        <v>17.054808995291999</v>
      </c>
      <c r="U23" s="17" t="s">
        <v>44</v>
      </c>
      <c r="V23" s="17">
        <v>15.9179867536388</v>
      </c>
      <c r="W23" s="17" t="s">
        <v>44</v>
      </c>
      <c r="X23" s="17" t="s">
        <v>44</v>
      </c>
      <c r="Y23" s="17" t="s">
        <v>44</v>
      </c>
      <c r="Z23" s="17">
        <v>3.1352326280431599</v>
      </c>
      <c r="AA23" s="17">
        <v>9.5819699350396608</v>
      </c>
      <c r="AB23" s="17">
        <v>6.0106828537474302</v>
      </c>
      <c r="AC23" s="17">
        <v>7.9855614573699496</v>
      </c>
    </row>
    <row r="24" spans="1:29" x14ac:dyDescent="0.2">
      <c r="A24" s="17">
        <f t="shared" si="0"/>
        <v>8.6610938343824113</v>
      </c>
      <c r="B24" s="17">
        <v>20</v>
      </c>
      <c r="C24" s="17">
        <v>12.1764998867559</v>
      </c>
      <c r="D24" s="17">
        <v>7.0289347574627801</v>
      </c>
      <c r="E24" s="17">
        <v>14.353493658737101</v>
      </c>
      <c r="F24" s="17">
        <v>12.9485852389365</v>
      </c>
      <c r="G24" s="17">
        <v>3.7977388751611301</v>
      </c>
      <c r="H24" s="17">
        <v>7.8898537504005999</v>
      </c>
      <c r="I24" s="17">
        <v>9.1322414175476396</v>
      </c>
      <c r="J24" s="17">
        <v>9.4525153422578096</v>
      </c>
      <c r="K24" s="17">
        <v>4.3269215708949398</v>
      </c>
      <c r="L24" s="17">
        <v>18.667738131960299</v>
      </c>
      <c r="M24" s="17">
        <v>7.1100914718412396</v>
      </c>
      <c r="N24" s="17">
        <v>7.6693198792457702</v>
      </c>
      <c r="O24" s="17">
        <v>4.8759153273692304</v>
      </c>
      <c r="P24" s="17">
        <v>5.1927844637396996</v>
      </c>
      <c r="Q24" s="17">
        <v>2.5670786093799598</v>
      </c>
      <c r="R24" s="17">
        <v>16.873665641728401</v>
      </c>
      <c r="S24" s="17">
        <v>11.4820445317397</v>
      </c>
      <c r="T24" s="17">
        <v>6.7278919597733804</v>
      </c>
      <c r="U24" s="17">
        <v>4.46225313894635</v>
      </c>
      <c r="V24" s="17">
        <v>13.539610725042399</v>
      </c>
      <c r="W24" s="17">
        <v>13.575831224739201</v>
      </c>
      <c r="X24" s="17">
        <v>4.0258565835497704</v>
      </c>
      <c r="Y24" s="17">
        <v>10.726387438263499</v>
      </c>
      <c r="Z24" s="17">
        <v>9.6370269860962203</v>
      </c>
      <c r="AA24" s="17">
        <v>5.2514443593056104</v>
      </c>
      <c r="AB24" s="17">
        <v>5.5835039887651297</v>
      </c>
      <c r="AC24" s="17">
        <v>8.2897106210582994</v>
      </c>
    </row>
    <row r="25" spans="1:29" x14ac:dyDescent="0.2">
      <c r="A25" s="17">
        <f t="shared" si="0"/>
        <v>10.659670573119081</v>
      </c>
      <c r="B25" s="17">
        <v>21</v>
      </c>
      <c r="C25" s="17">
        <v>10.4834734319051</v>
      </c>
      <c r="D25" s="17">
        <v>21.7729816844199</v>
      </c>
      <c r="E25" s="17">
        <v>6.7233546400673703</v>
      </c>
      <c r="F25" s="17">
        <v>6.7996312510832704</v>
      </c>
      <c r="G25" s="17">
        <v>12.0912213659018</v>
      </c>
      <c r="H25" s="17" t="s">
        <v>44</v>
      </c>
      <c r="I25" s="17">
        <v>9.6516337736102393</v>
      </c>
      <c r="J25" s="17">
        <v>22.044612691336798</v>
      </c>
      <c r="K25" s="17">
        <v>2.33810778367164</v>
      </c>
      <c r="L25" s="17">
        <v>10.252435008856001</v>
      </c>
      <c r="M25" s="17">
        <v>12.647147711575601</v>
      </c>
      <c r="N25" s="17">
        <v>16.0058290567728</v>
      </c>
      <c r="O25" s="17">
        <v>7.9905365728020099</v>
      </c>
      <c r="P25" s="17">
        <v>10.7499096140796</v>
      </c>
      <c r="Q25" s="17">
        <v>2.9175869391358402</v>
      </c>
      <c r="R25" s="17" t="s">
        <v>44</v>
      </c>
      <c r="S25" s="17">
        <v>15.7293584588418</v>
      </c>
      <c r="T25" s="17">
        <v>10.031676392044901</v>
      </c>
      <c r="U25" s="17">
        <v>7.3329533849337603</v>
      </c>
      <c r="V25" s="17">
        <v>2.3754549479451099</v>
      </c>
      <c r="W25" s="17">
        <v>16.040263380458601</v>
      </c>
      <c r="X25" s="17">
        <v>4.6703942854443703</v>
      </c>
      <c r="Y25" s="17">
        <v>8.4301068098173193</v>
      </c>
      <c r="Z25" s="17">
        <v>11.483932748174499</v>
      </c>
      <c r="AA25" s="17">
        <v>12.1644423177053</v>
      </c>
      <c r="AB25" s="17">
        <v>10.7946452434911</v>
      </c>
      <c r="AC25" s="17">
        <v>14.7938776926883</v>
      </c>
    </row>
    <row r="26" spans="1:29" x14ac:dyDescent="0.2">
      <c r="A26" s="17">
        <f t="shared" si="0"/>
        <v>9.3446132329976592</v>
      </c>
      <c r="B26" s="17">
        <v>22</v>
      </c>
      <c r="C26" s="17">
        <v>7.8638465988212802</v>
      </c>
      <c r="D26" s="17">
        <v>10.204517086973</v>
      </c>
      <c r="E26" s="17">
        <v>4.7306179479485202</v>
      </c>
      <c r="F26" s="17">
        <v>7.9521313838826204</v>
      </c>
      <c r="G26" s="17">
        <v>6.4749757845237301</v>
      </c>
      <c r="H26" s="17">
        <v>45.420201739046099</v>
      </c>
      <c r="I26" s="17">
        <v>17.3433803281034</v>
      </c>
      <c r="J26" s="17">
        <v>10.540903128957201</v>
      </c>
      <c r="K26" s="17">
        <v>5.6584837792939302</v>
      </c>
      <c r="L26" s="17">
        <v>7.8702398194568701</v>
      </c>
      <c r="M26" s="17">
        <v>5.8773249301581396</v>
      </c>
      <c r="N26" s="17">
        <v>8.7308465907310602</v>
      </c>
      <c r="O26" s="17">
        <v>2.8918093912017602</v>
      </c>
      <c r="P26" s="17">
        <v>4.3169379526481597</v>
      </c>
      <c r="Q26" s="17">
        <v>4.8595107930856001</v>
      </c>
      <c r="R26" s="17">
        <v>10.422580072168399</v>
      </c>
      <c r="S26" s="17">
        <v>5.32810882715712</v>
      </c>
      <c r="T26" s="17">
        <v>13.9778925121967</v>
      </c>
      <c r="U26" s="17">
        <v>15.9700047825424</v>
      </c>
      <c r="V26" s="17">
        <v>13.981394507698599</v>
      </c>
      <c r="W26" s="17">
        <v>6.3442681320048804</v>
      </c>
      <c r="X26" s="17">
        <v>2.9618959120796902</v>
      </c>
      <c r="Y26" s="17">
        <v>3.7922906700877399</v>
      </c>
      <c r="Z26" s="17">
        <v>4.4638473203638398</v>
      </c>
      <c r="AA26" s="17">
        <v>2.4494012669798599</v>
      </c>
      <c r="AB26" s="17">
        <v>6.7798672272819802</v>
      </c>
      <c r="AC26" s="17">
        <v>13.6165121713679</v>
      </c>
    </row>
    <row r="27" spans="1:29" x14ac:dyDescent="0.2">
      <c r="A27" s="17">
        <f t="shared" si="0"/>
        <v>12.169464786803159</v>
      </c>
      <c r="B27" s="17">
        <v>23</v>
      </c>
      <c r="C27" s="17">
        <v>14.830534256072699</v>
      </c>
      <c r="D27" s="17">
        <v>12.7356529714753</v>
      </c>
      <c r="E27" s="17">
        <v>15.8024580317875</v>
      </c>
      <c r="F27" s="17">
        <v>10.1635208668554</v>
      </c>
      <c r="G27" s="17">
        <v>7.1438543846977502</v>
      </c>
      <c r="H27" s="17">
        <v>45.857051166125402</v>
      </c>
      <c r="I27" s="17">
        <v>14.5803904815381</v>
      </c>
      <c r="J27" s="17">
        <v>9.9297671162133092</v>
      </c>
      <c r="K27" s="17">
        <v>6.8365969917101701</v>
      </c>
      <c r="L27" s="17">
        <v>14.451416822852201</v>
      </c>
      <c r="M27" s="17">
        <v>12.865882809145401</v>
      </c>
      <c r="N27" s="17">
        <v>15.8490786913799</v>
      </c>
      <c r="O27" s="17">
        <v>6.4324800259366599</v>
      </c>
      <c r="P27" s="17">
        <v>20.5913186648114</v>
      </c>
      <c r="Q27" s="17">
        <v>8.3719298248006808</v>
      </c>
      <c r="R27" s="17">
        <v>7.4470302230542398</v>
      </c>
      <c r="S27" s="17">
        <v>10.1909779567117</v>
      </c>
      <c r="T27" s="17">
        <v>8.2517724884616204</v>
      </c>
      <c r="U27" s="17">
        <v>3.56791268280874</v>
      </c>
      <c r="V27" s="17">
        <v>7.6310868991321703</v>
      </c>
      <c r="W27" s="17">
        <v>10.5789138906175</v>
      </c>
      <c r="X27" s="17">
        <v>10.627126558813901</v>
      </c>
      <c r="Y27" s="17">
        <v>16.5367592368857</v>
      </c>
      <c r="Z27" s="17">
        <v>16.735201036052501</v>
      </c>
      <c r="AA27" s="17">
        <v>3.9536418483692399</v>
      </c>
      <c r="AB27" s="17">
        <v>3.2360724411895601</v>
      </c>
      <c r="AC27" s="17">
        <v>16.038190345456101</v>
      </c>
    </row>
    <row r="28" spans="1:29" x14ac:dyDescent="0.2">
      <c r="A28" s="17">
        <f t="shared" si="0"/>
        <v>9.0219865628025655</v>
      </c>
      <c r="B28" s="17">
        <v>24</v>
      </c>
      <c r="C28" s="17" t="s">
        <v>44</v>
      </c>
      <c r="D28" s="17">
        <v>4.5689197196818103</v>
      </c>
      <c r="E28" s="17">
        <v>3.6388599076024799</v>
      </c>
      <c r="F28" s="17">
        <v>6.5040078563583501</v>
      </c>
      <c r="G28" s="17">
        <v>7.9553327994088399</v>
      </c>
      <c r="H28" s="17">
        <v>37.340946962536698</v>
      </c>
      <c r="I28" s="17">
        <v>8.0117982435073802</v>
      </c>
      <c r="J28" s="17">
        <v>1.2311722046264699</v>
      </c>
      <c r="K28" s="17">
        <v>3.73825149524599</v>
      </c>
      <c r="L28" s="17">
        <v>3.4650323169666399</v>
      </c>
      <c r="M28" s="17">
        <v>8.7179369995143503</v>
      </c>
      <c r="N28" s="17">
        <v>11.4602550169119</v>
      </c>
      <c r="O28" s="17">
        <v>6.9151910740375904</v>
      </c>
      <c r="P28" s="17">
        <v>4.2901277408240102</v>
      </c>
      <c r="Q28" s="17">
        <v>7.8904561549278798</v>
      </c>
      <c r="R28" s="17">
        <v>17.197498898747298</v>
      </c>
      <c r="S28" s="17">
        <v>11.0985277406515</v>
      </c>
      <c r="T28" s="17">
        <v>3.7168715359824298</v>
      </c>
      <c r="U28" s="17">
        <v>9.8097250429671998</v>
      </c>
      <c r="V28" s="17">
        <v>2.7566368100310501</v>
      </c>
      <c r="W28" s="17">
        <v>15.8258347657752</v>
      </c>
      <c r="X28" s="17">
        <v>12.642181571254801</v>
      </c>
      <c r="Y28" s="17">
        <v>10.4741350613607</v>
      </c>
      <c r="Z28" s="17">
        <v>4.1879774091786199</v>
      </c>
      <c r="AA28" s="17">
        <v>8.0472473228525008</v>
      </c>
      <c r="AB28" s="17">
        <v>2.7981664408620999</v>
      </c>
      <c r="AC28" s="17">
        <v>20.288559541052901</v>
      </c>
    </row>
    <row r="29" spans="1:29" x14ac:dyDescent="0.2">
      <c r="A29" s="17">
        <f t="shared" si="0"/>
        <v>7.923277039209216</v>
      </c>
      <c r="B29" s="17">
        <v>25</v>
      </c>
      <c r="C29" s="17">
        <v>12.8495104680386</v>
      </c>
      <c r="D29" s="17">
        <v>8.4123302928343602</v>
      </c>
      <c r="E29" s="17">
        <v>9.58069068375403</v>
      </c>
      <c r="F29" s="17">
        <v>9.2705763679132804</v>
      </c>
      <c r="G29" s="17">
        <v>3.1249743877533902</v>
      </c>
      <c r="H29" s="17">
        <v>18.114661716379199</v>
      </c>
      <c r="I29" s="17">
        <v>4.42885763675487</v>
      </c>
      <c r="J29" s="17">
        <v>2.36936525148626</v>
      </c>
      <c r="K29" s="17">
        <v>2.4019066104539699</v>
      </c>
      <c r="L29" s="17">
        <v>5.5608808608422002</v>
      </c>
      <c r="M29" s="17">
        <v>9.0963305190409098</v>
      </c>
      <c r="N29" s="17">
        <v>8.1745695717918405</v>
      </c>
      <c r="O29" s="17">
        <v>4.20099884109292</v>
      </c>
      <c r="P29" s="17" t="s">
        <v>44</v>
      </c>
      <c r="Q29" s="17">
        <v>18.6097142086345</v>
      </c>
      <c r="R29" s="17">
        <v>28.713706648539802</v>
      </c>
      <c r="S29" s="17">
        <v>4.5314075537264804</v>
      </c>
      <c r="T29" s="17">
        <v>0.33439097814977398</v>
      </c>
      <c r="U29" s="17">
        <v>8.0978550166011605</v>
      </c>
      <c r="V29" s="17">
        <v>8.9519998344801603</v>
      </c>
      <c r="W29" s="17">
        <v>4.58268807804295</v>
      </c>
      <c r="X29" s="17">
        <v>3.72511009700998</v>
      </c>
      <c r="Y29" s="17">
        <v>3.18011763676459</v>
      </c>
      <c r="Z29" s="17">
        <v>8.8501640685198506</v>
      </c>
      <c r="AA29" s="17">
        <v>8.0700260149072705</v>
      </c>
      <c r="AB29" s="17">
        <v>9.5556795971619604</v>
      </c>
      <c r="AC29" s="17">
        <v>6.1429235075947197</v>
      </c>
    </row>
    <row r="30" spans="1:29" x14ac:dyDescent="0.2">
      <c r="A30" s="17">
        <f t="shared" si="0"/>
        <v>10.844626776885512</v>
      </c>
      <c r="B30" s="17">
        <v>26</v>
      </c>
      <c r="C30" s="17">
        <v>21.9069650528808</v>
      </c>
      <c r="D30" s="17">
        <v>17.5096958767686</v>
      </c>
      <c r="E30" s="17">
        <v>7.9912884997628302</v>
      </c>
      <c r="F30" s="17">
        <v>15.604193813869299</v>
      </c>
      <c r="G30" s="17">
        <v>6.5986798934215898</v>
      </c>
      <c r="H30" s="17">
        <v>11.465119426382</v>
      </c>
      <c r="I30" s="17">
        <v>8.1499149741506294</v>
      </c>
      <c r="J30" s="17">
        <v>10.1977338055119</v>
      </c>
      <c r="K30" s="17">
        <v>10.721221601208301</v>
      </c>
      <c r="L30" s="17">
        <v>5.3814481350709897</v>
      </c>
      <c r="M30" s="17">
        <v>22.387520557381698</v>
      </c>
      <c r="N30" s="17">
        <v>2.9543807634666499</v>
      </c>
      <c r="O30" s="17">
        <v>1.89874811693582</v>
      </c>
      <c r="P30" s="17">
        <v>11.4359215250976</v>
      </c>
      <c r="Q30" s="17">
        <v>4.3854851806898099</v>
      </c>
      <c r="R30" s="17">
        <v>18.260239776075998</v>
      </c>
      <c r="S30" s="17">
        <v>9.9682542033085095</v>
      </c>
      <c r="T30" s="17">
        <v>20.398846062173899</v>
      </c>
      <c r="U30" s="17">
        <v>5.96958327583999</v>
      </c>
      <c r="V30" s="17">
        <v>25.5957507719476</v>
      </c>
      <c r="W30" s="17">
        <v>9.6681184424477795</v>
      </c>
      <c r="X30" s="17">
        <v>10.052828317612301</v>
      </c>
      <c r="Y30" s="17">
        <v>5.3748138118298296</v>
      </c>
      <c r="Z30" s="17">
        <v>16.0886535576977</v>
      </c>
      <c r="AA30" s="17">
        <v>3.5099123701070098</v>
      </c>
      <c r="AB30" s="17">
        <v>6.74269565700624</v>
      </c>
      <c r="AC30" s="17">
        <v>13.6492477832587</v>
      </c>
    </row>
    <row r="31" spans="1:29" x14ac:dyDescent="0.2">
      <c r="A31" s="17">
        <f t="shared" si="0"/>
        <v>10.442161121335955</v>
      </c>
      <c r="B31" s="17">
        <v>27</v>
      </c>
      <c r="C31" s="17">
        <v>5.7653833236909202</v>
      </c>
      <c r="D31" s="17">
        <v>11.559907255824699</v>
      </c>
      <c r="E31" s="17">
        <v>7.8763674651858997</v>
      </c>
      <c r="F31" s="17">
        <v>6.7548989965564203</v>
      </c>
      <c r="G31" s="17">
        <v>4.6742612847653202</v>
      </c>
      <c r="H31" s="17">
        <v>19.949906898184601</v>
      </c>
      <c r="I31" s="17">
        <v>4.6474463331835301</v>
      </c>
      <c r="J31" s="17">
        <v>2.93955102362392</v>
      </c>
      <c r="K31" s="17">
        <v>15.282903186793</v>
      </c>
      <c r="L31" s="17">
        <v>16.373208503716999</v>
      </c>
      <c r="M31" s="17">
        <v>9.1459836183141103</v>
      </c>
      <c r="N31" s="17">
        <v>6.92427650305049</v>
      </c>
      <c r="O31" s="17">
        <v>9.1950470694111797</v>
      </c>
      <c r="P31" s="17">
        <v>8.2977018700634808</v>
      </c>
      <c r="Q31" s="17">
        <v>10.254117259882101</v>
      </c>
      <c r="R31" s="17">
        <v>16.678879798002299</v>
      </c>
      <c r="S31" s="17">
        <v>3.4974852618257901</v>
      </c>
      <c r="T31" s="17">
        <v>14.1758190570376</v>
      </c>
      <c r="U31" s="17">
        <v>13.5847626682122</v>
      </c>
      <c r="V31" s="17">
        <v>14.615511833327799</v>
      </c>
      <c r="W31" s="17">
        <v>6.4755642765487504</v>
      </c>
      <c r="X31" s="17">
        <v>10.3014583174386</v>
      </c>
      <c r="Y31" s="17">
        <v>10.9761002830562</v>
      </c>
      <c r="Z31" s="17">
        <v>14.968536873223499</v>
      </c>
      <c r="AA31" s="17">
        <v>4.7342297824241699</v>
      </c>
      <c r="AB31" s="17">
        <v>2.5161528859371201</v>
      </c>
      <c r="AC31" s="17">
        <v>25.096110849145099</v>
      </c>
    </row>
    <row r="32" spans="1:29" x14ac:dyDescent="0.2">
      <c r="A32" s="17">
        <f t="shared" si="0"/>
        <v>8.3952921781671801</v>
      </c>
      <c r="B32" s="17">
        <v>28</v>
      </c>
      <c r="C32" s="17" t="s">
        <v>44</v>
      </c>
      <c r="D32" s="17">
        <v>7.4427390170912497</v>
      </c>
      <c r="E32" s="17">
        <v>1.81850927703358</v>
      </c>
      <c r="F32" s="17">
        <v>7.3342991453430404</v>
      </c>
      <c r="G32" s="17">
        <v>10.785484488621</v>
      </c>
      <c r="H32" s="17">
        <v>9.1494462017921396</v>
      </c>
      <c r="I32" s="17">
        <v>12.631742867367199</v>
      </c>
      <c r="J32" s="17">
        <v>7.5239749866971</v>
      </c>
      <c r="K32" s="17">
        <v>3.7363594984178001</v>
      </c>
      <c r="L32" s="17">
        <v>13.170604103771099</v>
      </c>
      <c r="M32" s="17">
        <v>6.1527541173918499</v>
      </c>
      <c r="N32" s="17">
        <v>7.5683125365228703</v>
      </c>
      <c r="O32" s="17">
        <v>3.1358420119936898</v>
      </c>
      <c r="P32" s="17">
        <v>8.7823333022708798</v>
      </c>
      <c r="Q32" s="17">
        <v>4.9051749913938503</v>
      </c>
      <c r="R32" s="17">
        <v>6.6428655226954403</v>
      </c>
      <c r="S32" s="17">
        <v>14.9081527702999</v>
      </c>
      <c r="T32" s="17">
        <v>11.498154379645699</v>
      </c>
      <c r="U32" s="17">
        <v>11.9700698589875</v>
      </c>
      <c r="V32" s="17">
        <v>7.4989119524554004</v>
      </c>
      <c r="W32" s="17">
        <v>7.80481402002225</v>
      </c>
      <c r="X32" s="17">
        <v>9.9363962765610996</v>
      </c>
      <c r="Y32" s="17">
        <v>8.0758397264096207</v>
      </c>
      <c r="Z32" s="17">
        <v>17.5286406127282</v>
      </c>
      <c r="AA32" s="17">
        <v>6.7912388642436001</v>
      </c>
      <c r="AB32" s="17">
        <v>3.2349627704127601</v>
      </c>
      <c r="AC32" s="17">
        <v>8.2499733321778308</v>
      </c>
    </row>
    <row r="33" spans="1:29" x14ac:dyDescent="0.2">
      <c r="A33" s="17">
        <f t="shared" si="0"/>
        <v>9.7545719964534001</v>
      </c>
      <c r="B33" s="17">
        <v>29</v>
      </c>
      <c r="C33" s="17">
        <v>19.850708956282499</v>
      </c>
      <c r="D33" s="17">
        <v>8.9777249046871699</v>
      </c>
      <c r="E33" s="17">
        <v>8.5260191793653703</v>
      </c>
      <c r="F33" s="17">
        <v>11.4630333841368</v>
      </c>
      <c r="G33" s="17">
        <v>3.5824290568801098</v>
      </c>
      <c r="H33" s="17">
        <v>16.3742820322109</v>
      </c>
      <c r="I33" s="17">
        <v>13.3793348102073</v>
      </c>
      <c r="J33" s="17">
        <v>6.2102139330814001</v>
      </c>
      <c r="K33" s="17">
        <v>10.3552200173124</v>
      </c>
      <c r="L33" s="17">
        <v>7.3523344829166497</v>
      </c>
      <c r="M33" s="17">
        <v>11.9429851467261</v>
      </c>
      <c r="N33" s="17">
        <v>5.5674915706717902</v>
      </c>
      <c r="O33" s="17">
        <v>3.0267035816307701</v>
      </c>
      <c r="P33" s="17">
        <v>18.6579476014699</v>
      </c>
      <c r="Q33" s="17">
        <v>4.5693393903453403</v>
      </c>
      <c r="R33" s="17">
        <v>11.0128752198803</v>
      </c>
      <c r="S33" s="17">
        <v>5.5257141378567898</v>
      </c>
      <c r="T33" s="17">
        <v>15.5763037803081</v>
      </c>
      <c r="U33" s="17">
        <v>11.087190125747201</v>
      </c>
      <c r="V33" s="17">
        <v>11.451758778454501</v>
      </c>
      <c r="W33" s="17">
        <v>3.87562258377557</v>
      </c>
      <c r="X33" s="17">
        <v>8.2579478225522998</v>
      </c>
      <c r="Y33" s="17">
        <v>11.929819004445299</v>
      </c>
      <c r="Z33" s="17">
        <v>14.6028294374232</v>
      </c>
      <c r="AA33" s="17">
        <v>21.857924318854199</v>
      </c>
      <c r="AB33" s="17">
        <v>2.8611306700653798</v>
      </c>
      <c r="AC33" s="17">
        <v>5.5946969367835599</v>
      </c>
    </row>
    <row r="34" spans="1:29" x14ac:dyDescent="0.2">
      <c r="A34" s="17">
        <f t="shared" si="0"/>
        <v>10.762233446460062</v>
      </c>
      <c r="B34" s="17">
        <v>30</v>
      </c>
      <c r="C34" s="17">
        <v>11.216666080346499</v>
      </c>
      <c r="D34" s="17">
        <v>16.8183143065067</v>
      </c>
      <c r="E34" s="17">
        <v>12.651920122875101</v>
      </c>
      <c r="F34" s="17">
        <v>2.4406290242456601</v>
      </c>
      <c r="G34" s="17">
        <v>4.8911278165479599</v>
      </c>
      <c r="H34" s="17">
        <v>21.307603532208901</v>
      </c>
      <c r="I34" s="17">
        <v>8.1839201552417897</v>
      </c>
      <c r="J34" s="17">
        <v>8.2286617363050496</v>
      </c>
      <c r="K34" s="17">
        <v>3.3774793104320402</v>
      </c>
      <c r="L34" s="17">
        <v>11.6870429476086</v>
      </c>
      <c r="M34" s="17">
        <v>19.304790507635602</v>
      </c>
      <c r="N34" s="17">
        <v>11.555570036926699</v>
      </c>
      <c r="O34" s="17">
        <v>5.0772943802606703</v>
      </c>
      <c r="P34" s="17">
        <v>6.4030610250685696</v>
      </c>
      <c r="Q34" s="17">
        <v>7.75639606216677</v>
      </c>
      <c r="R34" s="17">
        <v>18.0794774937923</v>
      </c>
      <c r="S34" s="17">
        <v>11.963777567636001</v>
      </c>
      <c r="T34" s="17">
        <v>21.446265365789301</v>
      </c>
      <c r="U34" s="17">
        <v>8.7233365212026097</v>
      </c>
      <c r="V34" s="17">
        <v>16.114928466304399</v>
      </c>
      <c r="W34" s="17">
        <v>7.5487372013148004</v>
      </c>
      <c r="X34" s="17">
        <v>10.241316710886</v>
      </c>
      <c r="Y34" s="17">
        <v>12.3432806361815</v>
      </c>
      <c r="Z34" s="17">
        <v>8.8112877084963408</v>
      </c>
      <c r="AA34" s="17">
        <v>8.0439463666233397</v>
      </c>
      <c r="AB34" s="17" t="s">
        <v>44</v>
      </c>
      <c r="AC34" s="17">
        <v>6.0556711592448602</v>
      </c>
    </row>
    <row r="35" spans="1:29" x14ac:dyDescent="0.2">
      <c r="A35" s="17">
        <f t="shared" si="0"/>
        <v>9.0260166479654949</v>
      </c>
      <c r="B35" s="17">
        <v>31</v>
      </c>
      <c r="C35" s="17" t="s">
        <v>44</v>
      </c>
      <c r="D35" s="17">
        <v>5.59031054537237</v>
      </c>
      <c r="E35" s="17">
        <v>4.7369606549309697</v>
      </c>
      <c r="F35" s="17">
        <v>8.5324023653833798</v>
      </c>
      <c r="G35" s="17">
        <v>1.4452545193523101</v>
      </c>
      <c r="H35" s="17">
        <v>37.677275896168702</v>
      </c>
      <c r="I35" s="17">
        <v>5.0813143382019597</v>
      </c>
      <c r="J35" s="17">
        <v>4.5504814296410299</v>
      </c>
      <c r="K35" s="17">
        <v>5.2148737279011401</v>
      </c>
      <c r="L35" s="17">
        <v>7.93799203469632</v>
      </c>
      <c r="M35" s="17">
        <v>5.0680966642156102</v>
      </c>
      <c r="N35" s="17">
        <v>11.8899786645368</v>
      </c>
      <c r="O35" s="17">
        <v>10.686787321426801</v>
      </c>
      <c r="P35" s="17">
        <v>8.3825268776796094</v>
      </c>
      <c r="Q35" s="17">
        <v>8.6233392781913398</v>
      </c>
      <c r="R35" s="17">
        <v>16.1530790095089</v>
      </c>
      <c r="S35" s="17">
        <v>4.7151533152375196</v>
      </c>
      <c r="T35" s="17">
        <v>16.206878583223101</v>
      </c>
      <c r="U35" s="17">
        <v>5.7301526133672498</v>
      </c>
      <c r="V35" s="17">
        <v>2.48977881155235</v>
      </c>
      <c r="W35" s="17">
        <v>11.098354511874099</v>
      </c>
      <c r="X35" s="17">
        <v>5.8134260825145896</v>
      </c>
      <c r="Y35" s="17" t="s">
        <v>44</v>
      </c>
      <c r="Z35" s="17">
        <v>12.637881971300599</v>
      </c>
      <c r="AA35" s="17">
        <v>3.14244018836543</v>
      </c>
      <c r="AB35" s="17">
        <v>9.9048086154883599</v>
      </c>
      <c r="AC35" s="17">
        <v>12.340868179006801</v>
      </c>
    </row>
    <row r="36" spans="1:29" x14ac:dyDescent="0.2">
      <c r="A36" s="17">
        <f t="shared" si="0"/>
        <v>12.274518455939823</v>
      </c>
      <c r="B36" s="17">
        <v>32</v>
      </c>
      <c r="C36" s="17">
        <v>11.1342836024072</v>
      </c>
      <c r="D36" s="17">
        <v>14.978705540612999</v>
      </c>
      <c r="E36" s="17">
        <v>8.5617734070263705</v>
      </c>
      <c r="F36" s="17">
        <v>8.6007704779815004</v>
      </c>
      <c r="G36" s="17">
        <v>4.73120230582792</v>
      </c>
      <c r="H36" s="17">
        <v>26.823307349670799</v>
      </c>
      <c r="I36" s="17">
        <v>7.55673322030243</v>
      </c>
      <c r="J36" s="17">
        <v>9.0241522929883704</v>
      </c>
      <c r="K36" s="17">
        <v>23.1271331450635</v>
      </c>
      <c r="L36" s="17">
        <v>11.2696774633082</v>
      </c>
      <c r="M36" s="17">
        <v>14.6390385707505</v>
      </c>
      <c r="N36" s="17">
        <v>8.2218318689630703</v>
      </c>
      <c r="O36" s="17">
        <v>24.3366215677936</v>
      </c>
      <c r="P36" s="17" t="s">
        <v>44</v>
      </c>
      <c r="Q36" s="17">
        <v>9.8111635086249596</v>
      </c>
      <c r="R36" s="17">
        <v>9.1897848718238002</v>
      </c>
      <c r="S36" s="17">
        <v>6.0072535881823503</v>
      </c>
      <c r="T36" s="17">
        <v>10.8313822015621</v>
      </c>
      <c r="U36" s="17">
        <v>15.0899869938942</v>
      </c>
      <c r="V36" s="17">
        <v>5.50835912994705</v>
      </c>
      <c r="W36" s="17">
        <v>16.106029359255601</v>
      </c>
      <c r="X36" s="17">
        <v>12.227071499125101</v>
      </c>
      <c r="Y36" s="17">
        <v>13.1249986758439</v>
      </c>
      <c r="Z36" s="17">
        <v>15.145985376837899</v>
      </c>
      <c r="AA36" s="17">
        <v>14.126926955091699</v>
      </c>
      <c r="AB36" s="17">
        <v>13.8486931365182</v>
      </c>
      <c r="AC36" s="17">
        <v>3.97437889149949</v>
      </c>
    </row>
    <row r="37" spans="1:29" x14ac:dyDescent="0.2">
      <c r="A37" s="17">
        <f t="shared" si="0"/>
        <v>9.0612618732275507</v>
      </c>
      <c r="B37" s="17">
        <v>33</v>
      </c>
      <c r="C37" s="17">
        <v>10.786431481850901</v>
      </c>
      <c r="D37" s="17">
        <v>10.2885080531057</v>
      </c>
      <c r="E37" s="17">
        <v>2.0707147360234299</v>
      </c>
      <c r="F37" s="17">
        <v>9.2531479911523302</v>
      </c>
      <c r="G37" s="17">
        <v>8.1150587968204597</v>
      </c>
      <c r="H37" s="17">
        <v>17.630744150768901</v>
      </c>
      <c r="I37" s="17">
        <v>5.7616840140792203</v>
      </c>
      <c r="J37" s="17">
        <v>6.50473936920908</v>
      </c>
      <c r="K37" s="17" t="s">
        <v>44</v>
      </c>
      <c r="L37" s="17">
        <v>12.8875447179279</v>
      </c>
      <c r="M37" s="17">
        <v>4.7725949763857498</v>
      </c>
      <c r="N37" s="17">
        <v>6.5935142186705704</v>
      </c>
      <c r="O37" s="17">
        <v>2.3921956563862201</v>
      </c>
      <c r="P37" s="17">
        <v>8.4674004227244595</v>
      </c>
      <c r="Q37" s="17">
        <v>13.9067301655313</v>
      </c>
      <c r="R37" s="17">
        <v>20.525354181181498</v>
      </c>
      <c r="S37" s="17">
        <v>13.8898082530533</v>
      </c>
      <c r="T37" s="17">
        <v>10.561409770598001</v>
      </c>
      <c r="U37" s="17">
        <v>1.8629963349715399</v>
      </c>
      <c r="V37" s="17">
        <v>8.7949932521092098</v>
      </c>
      <c r="W37" s="17">
        <v>8.6793136601622507</v>
      </c>
      <c r="X37" s="17">
        <v>5.42981575632776</v>
      </c>
      <c r="Y37" s="17">
        <v>9.5389226718310791</v>
      </c>
      <c r="Z37" s="17">
        <v>7.5376336919206501</v>
      </c>
      <c r="AA37" s="17">
        <v>6.0041413724087302</v>
      </c>
      <c r="AB37" s="17">
        <v>2.9471923841639001</v>
      </c>
      <c r="AC37" s="17">
        <v>22.115388233175501</v>
      </c>
    </row>
    <row r="38" spans="1:29" x14ac:dyDescent="0.2">
      <c r="A38" s="17">
        <f t="shared" si="0"/>
        <v>10.477285284552401</v>
      </c>
      <c r="B38" s="17">
        <v>34</v>
      </c>
      <c r="C38" s="17">
        <v>20.420924286211399</v>
      </c>
      <c r="D38" s="17">
        <v>12.5637901725589</v>
      </c>
      <c r="E38" s="17">
        <v>7.5860356946604899</v>
      </c>
      <c r="F38" s="17">
        <v>3.55449324970854</v>
      </c>
      <c r="G38" s="17">
        <v>6.6475080908255801</v>
      </c>
      <c r="H38" s="17">
        <v>17.971543290265299</v>
      </c>
      <c r="I38" s="17">
        <v>7.76878452510398</v>
      </c>
      <c r="J38" s="17">
        <v>3.1142456552278399</v>
      </c>
      <c r="K38" s="17">
        <v>14.6098969053684</v>
      </c>
      <c r="L38" s="17">
        <v>18.7979983491133</v>
      </c>
      <c r="M38" s="17">
        <v>46.222581275216697</v>
      </c>
      <c r="N38" s="17">
        <v>3.3216612080360699</v>
      </c>
      <c r="O38" s="17">
        <v>1.9512594785301101</v>
      </c>
      <c r="P38" s="17">
        <v>10.019306961477501</v>
      </c>
      <c r="Q38" s="17">
        <v>8.5103255655206507</v>
      </c>
      <c r="R38" s="17">
        <v>8.72892698030053</v>
      </c>
      <c r="S38" s="17">
        <v>4.6163943563439798</v>
      </c>
      <c r="T38" s="17">
        <v>11.252282240916699</v>
      </c>
      <c r="U38" s="17">
        <v>11.985117317897</v>
      </c>
      <c r="V38" s="17">
        <v>16.100381958786599</v>
      </c>
      <c r="W38" s="17">
        <v>4.6973410957765598</v>
      </c>
      <c r="X38" s="17">
        <v>3.1671651559324601</v>
      </c>
      <c r="Y38" s="17">
        <v>7.0040410510388096</v>
      </c>
      <c r="Z38" s="17">
        <v>16.1770646355588</v>
      </c>
      <c r="AA38" s="17" t="s">
        <v>44</v>
      </c>
      <c r="AB38" s="17">
        <v>6.1678011705071398</v>
      </c>
      <c r="AC38" s="17">
        <v>9.3961857291381303</v>
      </c>
    </row>
    <row r="39" spans="1:29" x14ac:dyDescent="0.2">
      <c r="A39" s="17">
        <f t="shared" si="0"/>
        <v>10.000254789413201</v>
      </c>
      <c r="B39" s="17">
        <v>35</v>
      </c>
      <c r="C39" s="17">
        <v>15.998763779676199</v>
      </c>
      <c r="D39" s="17">
        <v>9.4104912170839992</v>
      </c>
      <c r="E39" s="17">
        <v>14.8347021318737</v>
      </c>
      <c r="F39" s="17">
        <v>5.6631799670680598</v>
      </c>
      <c r="G39" s="17">
        <v>9.8924211451896795</v>
      </c>
      <c r="H39" s="17" t="s">
        <v>44</v>
      </c>
      <c r="I39" s="17">
        <v>14.0824522026516</v>
      </c>
      <c r="J39" s="17">
        <v>3.7151846417171401</v>
      </c>
      <c r="K39" s="17">
        <v>9.6685048350420608</v>
      </c>
      <c r="L39" s="17">
        <v>14.276284918537799</v>
      </c>
      <c r="M39" s="17">
        <v>14.409375483306301</v>
      </c>
      <c r="N39" s="17">
        <v>8.8353047344715101</v>
      </c>
      <c r="O39" s="17">
        <v>15.5913048317544</v>
      </c>
      <c r="P39" s="17">
        <v>12.954620150345701</v>
      </c>
      <c r="Q39" s="17">
        <v>2.96155830759789</v>
      </c>
      <c r="R39" s="17">
        <v>11.985367340163499</v>
      </c>
      <c r="S39" s="17">
        <v>8.6734918702758801</v>
      </c>
      <c r="T39" s="17">
        <v>4.2142934797181004</v>
      </c>
      <c r="U39" s="17">
        <v>4.3926455556214403</v>
      </c>
      <c r="V39" s="17">
        <v>9.7344850481115106</v>
      </c>
      <c r="W39" s="17">
        <v>14.3602515190474</v>
      </c>
      <c r="X39" s="17">
        <v>5.7034283146904796</v>
      </c>
      <c r="Y39" s="17">
        <v>18.260179442904398</v>
      </c>
      <c r="Z39" s="17">
        <v>11.7699270175524</v>
      </c>
      <c r="AA39" s="17">
        <v>3.19968302631111</v>
      </c>
      <c r="AB39" s="17">
        <v>5.13100305694529</v>
      </c>
      <c r="AC39" s="17">
        <v>16.2862294973487</v>
      </c>
    </row>
    <row r="40" spans="1:29" x14ac:dyDescent="0.2">
      <c r="A40" s="17">
        <f t="shared" si="0"/>
        <v>9.5802218936764003</v>
      </c>
      <c r="B40" s="17">
        <v>36</v>
      </c>
      <c r="C40" s="17">
        <v>7.1257520285012399</v>
      </c>
      <c r="D40" s="17">
        <v>2.3368412196448398</v>
      </c>
      <c r="E40" s="17">
        <v>10.517824991365799</v>
      </c>
      <c r="F40" s="17">
        <v>5.0278849054632202</v>
      </c>
      <c r="G40" s="17">
        <v>3.4413646317700302</v>
      </c>
      <c r="H40" s="17">
        <v>32.588213637832197</v>
      </c>
      <c r="I40" s="17">
        <v>6.7208852210173697</v>
      </c>
      <c r="J40" s="17">
        <v>7.8147915568063198</v>
      </c>
      <c r="K40" s="17">
        <v>4.7603412255002002</v>
      </c>
      <c r="L40" s="17">
        <v>3.8852011524015402</v>
      </c>
      <c r="M40" s="17">
        <v>5.2952436282497102</v>
      </c>
      <c r="N40" s="17">
        <v>4.58071573905438</v>
      </c>
      <c r="O40" s="17">
        <v>10.6896436545603</v>
      </c>
      <c r="P40" s="17">
        <v>5.7554137724940002</v>
      </c>
      <c r="Q40" s="17">
        <v>7.0292119854727604</v>
      </c>
      <c r="R40" s="17">
        <v>21.2406011437057</v>
      </c>
      <c r="S40" s="17">
        <v>7.0113170494253199</v>
      </c>
      <c r="T40" s="17">
        <v>17.0910724295866</v>
      </c>
      <c r="U40" s="17">
        <v>3.1289615132362001</v>
      </c>
      <c r="V40" s="17">
        <v>14.0605531235194</v>
      </c>
      <c r="W40" s="17">
        <v>6.2555803844167199</v>
      </c>
      <c r="X40" s="17">
        <v>8.7024788015920809</v>
      </c>
      <c r="Y40" s="17">
        <v>6.6245426144801502</v>
      </c>
      <c r="Z40" s="17">
        <v>14.034390022703899</v>
      </c>
      <c r="AA40" s="17">
        <v>9.1124149751997798</v>
      </c>
      <c r="AB40" s="17">
        <v>22.393909283555399</v>
      </c>
      <c r="AC40" s="17">
        <v>8.9863705725325094</v>
      </c>
    </row>
    <row r="41" spans="1:29" x14ac:dyDescent="0.2">
      <c r="A41" s="17">
        <f t="shared" si="0"/>
        <v>9.0818711118691322</v>
      </c>
      <c r="B41" s="17">
        <v>37</v>
      </c>
      <c r="C41" s="17">
        <v>16.762878192284202</v>
      </c>
      <c r="D41" s="17">
        <v>2.27596616911213</v>
      </c>
      <c r="E41" s="17">
        <v>5.2445402926247198</v>
      </c>
      <c r="F41" s="17">
        <v>14.089911536933</v>
      </c>
      <c r="G41" s="17">
        <v>7.62680607519325</v>
      </c>
      <c r="H41" s="17">
        <v>6.3955228251609402</v>
      </c>
      <c r="I41" s="17">
        <v>7.1248061865317798</v>
      </c>
      <c r="J41" s="17">
        <v>3.61709276027839</v>
      </c>
      <c r="K41" s="17" t="s">
        <v>44</v>
      </c>
      <c r="L41" s="17">
        <v>19.675839988901402</v>
      </c>
      <c r="M41" s="17">
        <v>3.29598445212567</v>
      </c>
      <c r="N41" s="17">
        <v>8.0467838182339104</v>
      </c>
      <c r="O41" s="17">
        <v>3.0971040723633099</v>
      </c>
      <c r="P41" s="17">
        <v>16.573200340727301</v>
      </c>
      <c r="Q41" s="17">
        <v>9.0926115899681506</v>
      </c>
      <c r="R41" s="17">
        <v>9.8719281981094493</v>
      </c>
      <c r="S41" s="17">
        <v>9.3868254794315096</v>
      </c>
      <c r="T41" s="17">
        <v>19.8072349204419</v>
      </c>
      <c r="U41" s="17">
        <v>5.7733075035981303</v>
      </c>
      <c r="V41" s="17">
        <v>11.6662073741303</v>
      </c>
      <c r="W41" s="17">
        <v>10.954944952413801</v>
      </c>
      <c r="X41" s="17">
        <v>13.629228256136299</v>
      </c>
      <c r="Y41" s="17">
        <v>14.0562190621313</v>
      </c>
      <c r="Z41" s="17">
        <v>10.4632170648512</v>
      </c>
      <c r="AA41" s="17">
        <v>2.1992656153024499</v>
      </c>
      <c r="AB41" s="17">
        <v>2.0785370248901902</v>
      </c>
      <c r="AC41" s="17">
        <v>11.0036922371379</v>
      </c>
    </row>
    <row r="42" spans="1:29" x14ac:dyDescent="0.2">
      <c r="A42" s="17">
        <f t="shared" si="0"/>
        <v>8.9694152880318985</v>
      </c>
      <c r="B42" s="17">
        <v>38</v>
      </c>
      <c r="C42" s="17">
        <v>8.2377024838481603</v>
      </c>
      <c r="D42" s="17">
        <v>10.199937402560501</v>
      </c>
      <c r="E42" s="17">
        <v>5.2862855341379102</v>
      </c>
      <c r="F42" s="17">
        <v>6.2790699208603904</v>
      </c>
      <c r="G42" s="17">
        <v>4.3778923699869896</v>
      </c>
      <c r="H42" s="17">
        <v>9.6847329427974707</v>
      </c>
      <c r="I42" s="17">
        <v>5.3119297282112399</v>
      </c>
      <c r="J42" s="17">
        <v>6.5263643697396096</v>
      </c>
      <c r="K42" s="17">
        <v>18.304745664321601</v>
      </c>
      <c r="L42" s="17">
        <v>2.2819086686168699</v>
      </c>
      <c r="M42" s="17">
        <v>20.020314125745902</v>
      </c>
      <c r="N42" s="17">
        <v>6.4619373093385102</v>
      </c>
      <c r="O42" s="17">
        <v>3.0907258887737399</v>
      </c>
      <c r="P42" s="17">
        <v>11.566595163075</v>
      </c>
      <c r="Q42" s="17">
        <v>8.2013805461131</v>
      </c>
      <c r="R42" s="17">
        <v>9.1811505485917095</v>
      </c>
      <c r="S42" s="17">
        <v>11.6091470440703</v>
      </c>
      <c r="T42" s="17">
        <v>21.868660567395601</v>
      </c>
      <c r="U42" s="17">
        <v>7.9766039301518896</v>
      </c>
      <c r="V42" s="17" t="s">
        <v>44</v>
      </c>
      <c r="W42" s="17">
        <v>10.2757972872603</v>
      </c>
      <c r="X42" s="17">
        <v>5.4421396651920899</v>
      </c>
      <c r="Y42" s="17">
        <v>9.0068554691463198</v>
      </c>
      <c r="Z42" s="17">
        <v>10.903031929577701</v>
      </c>
      <c r="AA42" s="17">
        <v>8.8811362355738606</v>
      </c>
      <c r="AB42" s="17">
        <v>1.4982269701165201</v>
      </c>
      <c r="AC42" s="17">
        <v>9.9988129194423205</v>
      </c>
    </row>
    <row r="43" spans="1:29" x14ac:dyDescent="0.2">
      <c r="A43" s="17">
        <f t="shared" si="0"/>
        <v>8.6630140751351465</v>
      </c>
      <c r="B43" s="17">
        <v>39</v>
      </c>
      <c r="C43" s="17">
        <v>9.3803894949499504</v>
      </c>
      <c r="D43" s="17">
        <v>12.9162381818629</v>
      </c>
      <c r="E43" s="17">
        <v>4.4388605560579197</v>
      </c>
      <c r="F43" s="17">
        <v>6.6811722593823903</v>
      </c>
      <c r="G43" s="17">
        <v>4.8140121227153001</v>
      </c>
      <c r="H43" s="17">
        <v>9.1308916993863392</v>
      </c>
      <c r="I43" s="17">
        <v>9.9580698751301604</v>
      </c>
      <c r="J43" s="17">
        <v>6.0504753850473003</v>
      </c>
      <c r="K43" s="17">
        <v>13.3982894408015</v>
      </c>
      <c r="L43" s="17">
        <v>14.547728911541</v>
      </c>
      <c r="M43" s="17">
        <v>5.7470104195054903</v>
      </c>
      <c r="N43" s="17">
        <v>9.9783176695684901</v>
      </c>
      <c r="O43" s="17" t="s">
        <v>44</v>
      </c>
      <c r="P43" s="17">
        <v>6.2302827191328802</v>
      </c>
      <c r="Q43" s="17">
        <v>9.8717476390835994</v>
      </c>
      <c r="R43" s="17">
        <v>13.688138378577399</v>
      </c>
      <c r="S43" s="17">
        <v>6.4868211514681899</v>
      </c>
      <c r="T43" s="17">
        <v>3.15234431327355</v>
      </c>
      <c r="U43" s="17">
        <v>10.087363155623899</v>
      </c>
      <c r="V43" s="17">
        <v>10.807538051242</v>
      </c>
      <c r="W43" s="17">
        <v>11.826339441900499</v>
      </c>
      <c r="X43" s="17">
        <v>8.6347777993710899</v>
      </c>
      <c r="Y43" s="17">
        <v>11.2679041742292</v>
      </c>
      <c r="Z43" s="17">
        <v>13.9647084997641</v>
      </c>
      <c r="AA43" s="17">
        <v>1.63208132092952</v>
      </c>
      <c r="AB43" s="17">
        <v>5.2498571623085297</v>
      </c>
      <c r="AC43" s="17">
        <v>6.0143815504754299</v>
      </c>
    </row>
  </sheetData>
  <phoneticPr fontId="1" type="noConversion"/>
  <conditionalFormatting sqref="A4:A43">
    <cfRule type="aboveAverage" dxfId="2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0678-5EB0-4876-BC31-1EB6986B2DD8}">
  <dimension ref="A1:AC45"/>
  <sheetViews>
    <sheetView workbookViewId="0">
      <selection activeCell="C45" sqref="C45:V45"/>
    </sheetView>
  </sheetViews>
  <sheetFormatPr defaultColWidth="8.625" defaultRowHeight="11.25" x14ac:dyDescent="0.2"/>
  <cols>
    <col min="1" max="2" width="8.625" style="17"/>
    <col min="3" max="3" width="8.625" style="17" customWidth="1"/>
    <col min="4" max="16384" width="8.625" style="17"/>
  </cols>
  <sheetData>
    <row r="1" spans="1:28" s="9" customFormat="1" x14ac:dyDescent="0.2">
      <c r="A1" s="9" t="s">
        <v>97</v>
      </c>
      <c r="B1" s="9" t="s">
        <v>46</v>
      </c>
      <c r="C1" s="10">
        <v>2</v>
      </c>
      <c r="D1" s="10">
        <v>11</v>
      </c>
      <c r="E1" s="10">
        <v>12</v>
      </c>
      <c r="F1" s="10">
        <v>18</v>
      </c>
      <c r="G1" s="10">
        <v>15</v>
      </c>
      <c r="H1" s="10">
        <v>3</v>
      </c>
      <c r="I1" s="10">
        <v>20</v>
      </c>
      <c r="J1" s="10">
        <v>19</v>
      </c>
      <c r="K1" s="10">
        <v>7</v>
      </c>
      <c r="L1" s="10">
        <v>8</v>
      </c>
      <c r="M1" s="10">
        <v>1</v>
      </c>
      <c r="N1" s="10">
        <v>16</v>
      </c>
      <c r="O1" s="10">
        <v>9</v>
      </c>
      <c r="P1" s="10">
        <v>4</v>
      </c>
      <c r="Q1" s="10">
        <v>5</v>
      </c>
      <c r="R1" s="10">
        <v>13</v>
      </c>
      <c r="S1" s="10">
        <v>17</v>
      </c>
      <c r="T1" s="10">
        <v>14</v>
      </c>
      <c r="U1" s="10">
        <v>10</v>
      </c>
      <c r="V1" s="10">
        <v>6</v>
      </c>
    </row>
    <row r="2" spans="1:28" s="9" customFormat="1" x14ac:dyDescent="0.2">
      <c r="B2" s="9" t="s">
        <v>47</v>
      </c>
      <c r="C2" s="10">
        <v>1</v>
      </c>
      <c r="D2" s="11">
        <v>2</v>
      </c>
      <c r="E2" s="11">
        <v>3</v>
      </c>
      <c r="F2" s="12">
        <v>4</v>
      </c>
      <c r="G2" s="13">
        <v>5</v>
      </c>
      <c r="H2" s="14">
        <v>6</v>
      </c>
      <c r="I2" s="10">
        <v>7</v>
      </c>
      <c r="J2" s="12">
        <v>8</v>
      </c>
      <c r="K2" s="15">
        <v>9</v>
      </c>
      <c r="L2" s="15">
        <v>10</v>
      </c>
      <c r="M2" s="16">
        <v>11</v>
      </c>
      <c r="N2" s="13">
        <v>12</v>
      </c>
      <c r="O2" s="15">
        <v>13</v>
      </c>
      <c r="P2" s="14">
        <v>14</v>
      </c>
      <c r="Q2" s="14">
        <v>15</v>
      </c>
      <c r="R2" s="11">
        <v>16</v>
      </c>
      <c r="S2" s="13">
        <v>17</v>
      </c>
      <c r="T2" s="11">
        <v>18</v>
      </c>
      <c r="U2" s="15">
        <v>19</v>
      </c>
      <c r="V2" s="14">
        <v>20</v>
      </c>
      <c r="W2" s="9">
        <v>21</v>
      </c>
      <c r="X2" s="9">
        <v>22</v>
      </c>
      <c r="Y2" s="9">
        <v>23</v>
      </c>
      <c r="Z2" s="9">
        <v>24</v>
      </c>
      <c r="AA2" s="9">
        <v>25</v>
      </c>
      <c r="AB2" s="9">
        <v>26</v>
      </c>
    </row>
    <row r="3" spans="1:28" s="9" customFormat="1" x14ac:dyDescent="0.2">
      <c r="C3" s="10" t="s">
        <v>0</v>
      </c>
      <c r="D3" s="11" t="s">
        <v>2</v>
      </c>
      <c r="E3" s="11" t="s">
        <v>4</v>
      </c>
      <c r="F3" s="12" t="s">
        <v>6</v>
      </c>
      <c r="G3" s="13" t="s">
        <v>8</v>
      </c>
      <c r="H3" s="14" t="s">
        <v>10</v>
      </c>
      <c r="I3" s="10" t="s">
        <v>12</v>
      </c>
      <c r="J3" s="12" t="s">
        <v>14</v>
      </c>
      <c r="K3" s="15" t="s">
        <v>16</v>
      </c>
      <c r="L3" s="15" t="s">
        <v>18</v>
      </c>
      <c r="M3" s="16" t="s">
        <v>20</v>
      </c>
      <c r="N3" s="13" t="s">
        <v>22</v>
      </c>
      <c r="O3" s="15" t="s">
        <v>24</v>
      </c>
      <c r="P3" s="14" t="s">
        <v>26</v>
      </c>
      <c r="Q3" s="14" t="s">
        <v>28</v>
      </c>
      <c r="R3" s="11" t="s">
        <v>30</v>
      </c>
      <c r="S3" s="13" t="s">
        <v>32</v>
      </c>
      <c r="T3" s="11" t="s">
        <v>34</v>
      </c>
      <c r="U3" s="15" t="s">
        <v>36</v>
      </c>
      <c r="V3" s="14" t="s">
        <v>38</v>
      </c>
    </row>
    <row r="4" spans="1:28" s="9" customFormat="1" ht="22.5" x14ac:dyDescent="0.2">
      <c r="A4" s="9" t="s">
        <v>94</v>
      </c>
      <c r="B4" s="17" t="s">
        <v>45</v>
      </c>
      <c r="C4" s="10" t="s">
        <v>1</v>
      </c>
      <c r="D4" s="11" t="s">
        <v>3</v>
      </c>
      <c r="E4" s="11" t="s">
        <v>5</v>
      </c>
      <c r="F4" s="12" t="s">
        <v>7</v>
      </c>
      <c r="G4" s="13" t="s">
        <v>9</v>
      </c>
      <c r="H4" s="14" t="s">
        <v>11</v>
      </c>
      <c r="I4" s="10" t="s">
        <v>13</v>
      </c>
      <c r="J4" s="12" t="s">
        <v>15</v>
      </c>
      <c r="K4" s="15" t="s">
        <v>17</v>
      </c>
      <c r="L4" s="15" t="s">
        <v>19</v>
      </c>
      <c r="M4" s="16" t="s">
        <v>21</v>
      </c>
      <c r="N4" s="13" t="s">
        <v>23</v>
      </c>
      <c r="O4" s="15" t="s">
        <v>25</v>
      </c>
      <c r="P4" s="14" t="s">
        <v>27</v>
      </c>
      <c r="Q4" s="14" t="s">
        <v>29</v>
      </c>
      <c r="R4" s="11" t="s">
        <v>31</v>
      </c>
      <c r="S4" s="13" t="s">
        <v>33</v>
      </c>
      <c r="T4" s="11" t="s">
        <v>35</v>
      </c>
      <c r="U4" s="15" t="s">
        <v>37</v>
      </c>
      <c r="V4" s="14" t="s">
        <v>39</v>
      </c>
      <c r="W4" s="9" t="s">
        <v>42</v>
      </c>
      <c r="X4" s="9" t="s">
        <v>42</v>
      </c>
      <c r="Y4" s="9" t="s">
        <v>42</v>
      </c>
      <c r="Z4" s="9" t="s">
        <v>42</v>
      </c>
      <c r="AA4" s="9" t="s">
        <v>42</v>
      </c>
      <c r="AB4" s="9" t="s">
        <v>42</v>
      </c>
    </row>
    <row r="5" spans="1:28" x14ac:dyDescent="0.2">
      <c r="A5" s="17">
        <f>AVERAGE(D5:AC5)</f>
        <v>3.6618552714340198</v>
      </c>
      <c r="B5" s="17">
        <v>1</v>
      </c>
      <c r="C5" s="17" t="s">
        <v>44</v>
      </c>
      <c r="D5" s="17">
        <v>2.2263704402875502</v>
      </c>
      <c r="E5" s="17">
        <v>4.2579555012737096</v>
      </c>
      <c r="F5" s="17">
        <v>5.7616243804957996</v>
      </c>
      <c r="G5" s="17">
        <v>1.5909285824904</v>
      </c>
      <c r="H5" s="17" t="s">
        <v>44</v>
      </c>
      <c r="I5" s="17">
        <v>5.3448873747124601</v>
      </c>
      <c r="J5" s="17">
        <v>8.7239610799630505</v>
      </c>
      <c r="K5" s="17">
        <v>6.7767632333480901</v>
      </c>
      <c r="L5" s="17">
        <v>1.5232900897347901</v>
      </c>
      <c r="M5" s="17">
        <v>1.5262290222278201</v>
      </c>
      <c r="N5" s="17">
        <v>6.8141861341379704</v>
      </c>
      <c r="O5" s="17">
        <v>1.1767632468329301</v>
      </c>
      <c r="P5" s="17">
        <v>3.1632203780605299</v>
      </c>
      <c r="Q5" s="17">
        <v>2.9353568847812102</v>
      </c>
      <c r="R5" s="17">
        <v>3.20315579833284</v>
      </c>
      <c r="S5" s="17">
        <v>1.38949797813599</v>
      </c>
      <c r="T5" s="17">
        <v>4.7834385842064302</v>
      </c>
      <c r="U5" s="17">
        <v>1.1150763739811</v>
      </c>
      <c r="V5" s="17">
        <v>4.4847671756688303</v>
      </c>
      <c r="W5" s="17" t="s">
        <v>44</v>
      </c>
      <c r="X5" s="17">
        <v>1.83003847930998</v>
      </c>
      <c r="Y5" s="17">
        <v>1.2502828784094999</v>
      </c>
      <c r="Z5" s="17">
        <v>3.2165671192632899</v>
      </c>
      <c r="AA5" s="17">
        <v>7.4664552358941902</v>
      </c>
      <c r="AB5" s="17" t="s">
        <v>44</v>
      </c>
    </row>
    <row r="6" spans="1:28" x14ac:dyDescent="0.2">
      <c r="A6" s="17" t="e">
        <f t="shared" ref="A6:A43" si="0">AVERAGE(D6:AC6)</f>
        <v>#DIV/0!</v>
      </c>
      <c r="B6" s="17">
        <v>2</v>
      </c>
      <c r="C6" s="17" t="s">
        <v>44</v>
      </c>
      <c r="D6" s="17" t="s">
        <v>44</v>
      </c>
      <c r="E6" s="17" t="s">
        <v>44</v>
      </c>
      <c r="F6" s="17" t="s">
        <v>44</v>
      </c>
      <c r="G6" s="17" t="s">
        <v>44</v>
      </c>
      <c r="H6" s="17" t="s">
        <v>44</v>
      </c>
      <c r="I6" s="17" t="s">
        <v>44</v>
      </c>
      <c r="J6" s="17" t="s">
        <v>44</v>
      </c>
      <c r="K6" s="17" t="s">
        <v>44</v>
      </c>
      <c r="L6" s="17" t="s">
        <v>44</v>
      </c>
      <c r="M6" s="17" t="s">
        <v>44</v>
      </c>
      <c r="N6" s="17" t="s">
        <v>44</v>
      </c>
      <c r="O6" s="17" t="s">
        <v>44</v>
      </c>
      <c r="P6" s="17" t="s">
        <v>44</v>
      </c>
      <c r="Q6" s="17" t="s">
        <v>44</v>
      </c>
      <c r="R6" s="17" t="s">
        <v>44</v>
      </c>
      <c r="S6" s="17" t="s">
        <v>44</v>
      </c>
      <c r="T6" s="17" t="s">
        <v>44</v>
      </c>
      <c r="U6" s="17" t="s">
        <v>44</v>
      </c>
      <c r="V6" s="17" t="s">
        <v>44</v>
      </c>
      <c r="W6" s="17" t="s">
        <v>44</v>
      </c>
      <c r="X6" s="17" t="s">
        <v>44</v>
      </c>
      <c r="Y6" s="17" t="s">
        <v>44</v>
      </c>
      <c r="Z6" s="17" t="s">
        <v>44</v>
      </c>
      <c r="AA6" s="17" t="s">
        <v>44</v>
      </c>
      <c r="AB6" s="17" t="s">
        <v>44</v>
      </c>
    </row>
    <row r="7" spans="1:28" x14ac:dyDescent="0.2">
      <c r="A7" s="17">
        <f t="shared" si="0"/>
        <v>4.5456406011280963</v>
      </c>
      <c r="B7" s="17">
        <v>3</v>
      </c>
      <c r="C7" s="17">
        <v>5.8931261843536404</v>
      </c>
      <c r="D7" s="17" t="s">
        <v>44</v>
      </c>
      <c r="E7" s="17" t="s">
        <v>44</v>
      </c>
      <c r="F7" s="17">
        <v>3.7515216386888999</v>
      </c>
      <c r="G7" s="17">
        <v>5.1474643996410503</v>
      </c>
      <c r="H7" s="17" t="s">
        <v>44</v>
      </c>
      <c r="I7" s="17">
        <v>2.70200688010627</v>
      </c>
      <c r="J7" s="17">
        <v>2.6438194220609499</v>
      </c>
      <c r="K7" s="17">
        <v>4.0903198679772803</v>
      </c>
      <c r="L7" s="17">
        <v>6.2069531729446901</v>
      </c>
      <c r="M7" s="17" t="s">
        <v>44</v>
      </c>
      <c r="N7" s="17">
        <v>1.38682934158441</v>
      </c>
      <c r="O7" s="17">
        <v>3.9938784554764899</v>
      </c>
      <c r="P7" s="17">
        <v>7.0562970077979097</v>
      </c>
      <c r="Q7" s="17">
        <v>6.8321892013522501</v>
      </c>
      <c r="R7" s="17">
        <v>6.1708381107570398</v>
      </c>
      <c r="S7" s="17">
        <v>4.0658047730823004</v>
      </c>
      <c r="T7" s="17">
        <v>10.2945822048023</v>
      </c>
      <c r="U7" s="17">
        <v>3.3960654459592998</v>
      </c>
      <c r="V7" s="17">
        <v>1.6902113110286701</v>
      </c>
      <c r="W7" s="17">
        <v>3.1986419379060802</v>
      </c>
      <c r="X7" s="17" t="s">
        <v>44</v>
      </c>
      <c r="Y7" s="17">
        <v>6.6180407871760201</v>
      </c>
      <c r="Z7" s="17" t="s">
        <v>44</v>
      </c>
      <c r="AA7" s="17" t="s">
        <v>44</v>
      </c>
      <c r="AB7" s="17">
        <v>2.5760668619638398</v>
      </c>
    </row>
    <row r="8" spans="1:28" x14ac:dyDescent="0.2">
      <c r="A8" s="17">
        <f t="shared" si="0"/>
        <v>4.0848744561616579</v>
      </c>
      <c r="B8" s="17">
        <v>4</v>
      </c>
      <c r="C8" s="17" t="s">
        <v>44</v>
      </c>
      <c r="D8" s="17">
        <v>6.7119549572995503</v>
      </c>
      <c r="E8" s="17">
        <v>1.87077211798433</v>
      </c>
      <c r="F8" s="17">
        <v>6.8470914993034402</v>
      </c>
      <c r="G8" s="17">
        <v>3.3159296390750601</v>
      </c>
      <c r="H8" s="17">
        <v>3.1956161704664501</v>
      </c>
      <c r="I8" s="17">
        <v>1.33922486292735</v>
      </c>
      <c r="J8" s="17">
        <v>3.14487410006979</v>
      </c>
      <c r="K8" s="17">
        <v>1.0498785213191999</v>
      </c>
      <c r="L8" s="17">
        <v>3.7530218982751098</v>
      </c>
      <c r="M8" s="17" t="s">
        <v>44</v>
      </c>
      <c r="N8" s="17">
        <v>6.2120936720210702</v>
      </c>
      <c r="O8" s="17">
        <v>3.07429913210358</v>
      </c>
      <c r="P8" s="17">
        <v>5.78747359351682</v>
      </c>
      <c r="Q8" s="17">
        <v>3.03844362054928</v>
      </c>
      <c r="R8" s="17">
        <v>4.1893214358380204</v>
      </c>
      <c r="S8" s="17">
        <v>2.52908273152824</v>
      </c>
      <c r="T8" s="17">
        <v>4.0865117254076999</v>
      </c>
      <c r="U8" s="17">
        <v>1.7674923704304399</v>
      </c>
      <c r="V8" s="17">
        <v>4.03022777588924</v>
      </c>
      <c r="W8" s="17" t="s">
        <v>44</v>
      </c>
      <c r="X8" s="17">
        <v>13.194631516320401</v>
      </c>
      <c r="Y8" s="17" t="s">
        <v>44</v>
      </c>
      <c r="Z8" s="17">
        <v>5.9450583181068204</v>
      </c>
      <c r="AA8" s="17" t="s">
        <v>44</v>
      </c>
      <c r="AB8" s="17">
        <v>0.69936392096292299</v>
      </c>
    </row>
    <row r="9" spans="1:28" x14ac:dyDescent="0.2">
      <c r="A9" s="17">
        <f t="shared" si="0"/>
        <v>4.6103093457515998</v>
      </c>
      <c r="B9" s="17">
        <v>5</v>
      </c>
      <c r="C9" s="17">
        <v>6.2465635609889301</v>
      </c>
      <c r="D9" s="17">
        <v>9.3724780880059306</v>
      </c>
      <c r="E9" s="17">
        <v>4.3798134406434901</v>
      </c>
      <c r="F9" s="17">
        <v>5.7255326533650699</v>
      </c>
      <c r="G9" s="17">
        <v>0.96115327195479305</v>
      </c>
      <c r="H9" s="17">
        <v>5.8725310416872301</v>
      </c>
      <c r="I9" s="17">
        <v>4.5792567300335003</v>
      </c>
      <c r="J9" s="17">
        <v>6.0131839275146604</v>
      </c>
      <c r="K9" s="17">
        <v>2.9688809774227098</v>
      </c>
      <c r="L9" s="17">
        <v>0.34834484869661098</v>
      </c>
      <c r="M9" s="17">
        <v>7.3043886288335003</v>
      </c>
      <c r="N9" s="17">
        <v>3.3728385602837898</v>
      </c>
      <c r="O9" s="17">
        <v>3.9821223709723998</v>
      </c>
      <c r="P9" s="17">
        <v>4.1819909889840901</v>
      </c>
      <c r="Q9" s="17">
        <v>1.6424605699021699</v>
      </c>
      <c r="R9" s="17">
        <v>5.4964705640721103</v>
      </c>
      <c r="S9" s="17">
        <v>2.7625407244812301</v>
      </c>
      <c r="T9" s="17">
        <v>8.6847384088384203</v>
      </c>
      <c r="U9" s="17">
        <v>0.125037088383263</v>
      </c>
      <c r="V9" s="17">
        <v>8.8568481557856096</v>
      </c>
      <c r="W9" s="17">
        <v>6.3902920713614204</v>
      </c>
      <c r="X9" s="17">
        <v>7.1456406051849601</v>
      </c>
      <c r="Y9" s="17">
        <v>4.5763047606724099</v>
      </c>
      <c r="Z9" s="17">
        <v>0.75604875545696804</v>
      </c>
      <c r="AA9" s="17" t="s">
        <v>44</v>
      </c>
      <c r="AB9" s="17">
        <v>5.1485270655020496</v>
      </c>
    </row>
    <row r="10" spans="1:28" x14ac:dyDescent="0.2">
      <c r="A10" s="17">
        <f t="shared" si="0"/>
        <v>3.00248855522391</v>
      </c>
      <c r="B10" s="17">
        <v>6</v>
      </c>
      <c r="C10" s="17">
        <v>3.6427336154467</v>
      </c>
      <c r="D10" s="17">
        <v>2.0332176301807698</v>
      </c>
      <c r="E10" s="17">
        <v>1.9025887533111701</v>
      </c>
      <c r="F10" s="17">
        <v>4.0710779479039996</v>
      </c>
      <c r="G10" s="17">
        <v>2.2437290697586101</v>
      </c>
      <c r="H10" s="17">
        <v>6.30549388640563</v>
      </c>
      <c r="I10" s="17">
        <v>1.8853188482345</v>
      </c>
      <c r="J10" s="17">
        <v>6.3463173065415601</v>
      </c>
      <c r="K10" s="17">
        <v>4.95588968890549</v>
      </c>
      <c r="L10" s="17">
        <v>4.01703505452247</v>
      </c>
      <c r="M10" s="17">
        <v>2.02168382379873</v>
      </c>
      <c r="N10" s="17">
        <v>5.0637792416222904</v>
      </c>
      <c r="O10" s="17">
        <v>1.5246501446663501</v>
      </c>
      <c r="P10" s="17">
        <v>2.7183895922252201</v>
      </c>
      <c r="Q10" s="17">
        <v>10.291194699064199</v>
      </c>
      <c r="R10" s="17">
        <v>0.77965151001101496</v>
      </c>
      <c r="S10" s="17">
        <v>0.86356408640754401</v>
      </c>
      <c r="T10" s="17">
        <v>2.9087122699121899</v>
      </c>
      <c r="U10" s="17">
        <v>1.2396182631492101</v>
      </c>
      <c r="V10" s="17">
        <v>0.73411100388372097</v>
      </c>
      <c r="W10" s="17">
        <v>1.4006095774403799</v>
      </c>
      <c r="X10" s="17">
        <v>1.6437201142128599</v>
      </c>
      <c r="Y10" s="17">
        <v>3.0131867692144301</v>
      </c>
      <c r="Z10" s="17">
        <v>2.4014810774335098</v>
      </c>
      <c r="AA10" s="17">
        <v>2.8948732703876701</v>
      </c>
      <c r="AB10" s="17">
        <v>1.80232025140422</v>
      </c>
    </row>
    <row r="11" spans="1:28" x14ac:dyDescent="0.2">
      <c r="A11" s="17">
        <f t="shared" si="0"/>
        <v>4.7530639194141324</v>
      </c>
      <c r="B11" s="17">
        <v>7</v>
      </c>
      <c r="C11" s="17">
        <v>12.021263147990201</v>
      </c>
      <c r="D11" s="17">
        <v>11.3351800417619</v>
      </c>
      <c r="E11" s="17" t="s">
        <v>44</v>
      </c>
      <c r="F11" s="17">
        <v>5.1612608748174598</v>
      </c>
      <c r="G11" s="17">
        <v>3.9966434931833699</v>
      </c>
      <c r="H11" s="17">
        <v>1.2847077383616601</v>
      </c>
      <c r="I11" s="17">
        <v>3.8506404414276898</v>
      </c>
      <c r="J11" s="17">
        <v>2.39972807127254</v>
      </c>
      <c r="K11" s="17">
        <v>1.0829621309437401</v>
      </c>
      <c r="L11" s="17" t="s">
        <v>44</v>
      </c>
      <c r="M11" s="17" t="s">
        <v>44</v>
      </c>
      <c r="N11" s="17">
        <v>4.3259916456643097</v>
      </c>
      <c r="O11" s="17">
        <v>10.683310579588801</v>
      </c>
      <c r="P11" s="17">
        <v>5.0891831542232202</v>
      </c>
      <c r="Q11" s="17">
        <v>12.6201937432431</v>
      </c>
      <c r="R11" s="17">
        <v>0.21245200457970501</v>
      </c>
      <c r="S11" s="17">
        <v>5.4692923893983298</v>
      </c>
      <c r="T11" s="17">
        <v>6.7232989638208602</v>
      </c>
      <c r="U11" s="17">
        <v>3.3978404833815601</v>
      </c>
      <c r="V11" s="17">
        <v>4.5743000418282502</v>
      </c>
      <c r="W11" s="17">
        <v>4.7700107105239402</v>
      </c>
      <c r="X11" s="17">
        <v>4.4156323726465896</v>
      </c>
      <c r="Y11" s="17">
        <v>1.1809825449726501</v>
      </c>
      <c r="Z11" s="17">
        <v>2.4876669626429702</v>
      </c>
      <c r="AA11" s="17" t="s">
        <v>44</v>
      </c>
      <c r="AB11" s="17" t="s">
        <v>44</v>
      </c>
    </row>
    <row r="12" spans="1:28" x14ac:dyDescent="0.2">
      <c r="A12" s="17">
        <f t="shared" si="0"/>
        <v>2.6943474064633421</v>
      </c>
      <c r="B12" s="17">
        <v>8</v>
      </c>
      <c r="C12" s="17">
        <v>2.82685741530902</v>
      </c>
      <c r="D12" s="17">
        <v>1.5007649857275001</v>
      </c>
      <c r="E12" s="17">
        <v>1.2519523756623401</v>
      </c>
      <c r="F12" s="17">
        <v>0.639907058091301</v>
      </c>
      <c r="G12" s="17" t="s">
        <v>44</v>
      </c>
      <c r="H12" s="17">
        <v>2.8898580285517999</v>
      </c>
      <c r="I12" s="17">
        <v>1.6938149967191201</v>
      </c>
      <c r="J12" s="17" t="s">
        <v>44</v>
      </c>
      <c r="K12" s="17">
        <v>1.1715986477782601</v>
      </c>
      <c r="L12" s="17">
        <v>8.4766103461414097</v>
      </c>
      <c r="M12" s="17">
        <v>1.3281909434708199</v>
      </c>
      <c r="N12" s="17">
        <v>3.1937792497583199</v>
      </c>
      <c r="O12" s="17" t="s">
        <v>44</v>
      </c>
      <c r="P12" s="17">
        <v>0.785682434610115</v>
      </c>
      <c r="Q12" s="17" t="s">
        <v>44</v>
      </c>
      <c r="R12" s="17">
        <v>3.7149823660170198</v>
      </c>
      <c r="S12" s="17">
        <v>2.6894581383423199</v>
      </c>
      <c r="T12" s="17" t="s">
        <v>44</v>
      </c>
      <c r="U12" s="17" t="s">
        <v>44</v>
      </c>
      <c r="V12" s="17">
        <v>1.9471117690973101</v>
      </c>
      <c r="W12" s="17">
        <v>3.4471426216275698</v>
      </c>
      <c r="X12" s="17">
        <v>2.52379634224428</v>
      </c>
      <c r="Y12" s="17">
        <v>2.7069977217525998</v>
      </c>
      <c r="Z12" s="17">
        <v>4.4194629682717501</v>
      </c>
      <c r="AA12" s="17">
        <v>3.9597306973317998</v>
      </c>
      <c r="AB12" s="17">
        <v>2.8517590316078598</v>
      </c>
    </row>
    <row r="13" spans="1:28" x14ac:dyDescent="0.2">
      <c r="A13" s="17">
        <f t="shared" si="0"/>
        <v>3.1323861320966335</v>
      </c>
      <c r="B13" s="17">
        <v>9</v>
      </c>
      <c r="C13" s="17">
        <v>3.8212088012930301</v>
      </c>
      <c r="D13" s="17">
        <v>6.6691216104769504</v>
      </c>
      <c r="E13" s="17" t="s">
        <v>44</v>
      </c>
      <c r="F13" s="17">
        <v>2.9703103583239998</v>
      </c>
      <c r="G13" s="17">
        <v>3.94953633089672</v>
      </c>
      <c r="H13" s="17">
        <v>4.4483333097955198</v>
      </c>
      <c r="I13" s="17">
        <v>4.3404237011543803</v>
      </c>
      <c r="J13" s="17">
        <v>4.6979934893581303</v>
      </c>
      <c r="K13" s="17">
        <v>0.40154141872663401</v>
      </c>
      <c r="L13" s="17">
        <v>0.38707838972384001</v>
      </c>
      <c r="M13" s="17">
        <v>1.1274539177107901</v>
      </c>
      <c r="N13" s="17">
        <v>1.5702076509116001</v>
      </c>
      <c r="O13" s="17">
        <v>2.1580393136382701</v>
      </c>
      <c r="P13" s="17">
        <v>2.75452839692539</v>
      </c>
      <c r="Q13" s="17">
        <v>6.0577899609509203</v>
      </c>
      <c r="R13" s="17">
        <v>1.4258941483782801</v>
      </c>
      <c r="S13" s="17">
        <v>7.0243017593336203</v>
      </c>
      <c r="T13" s="17">
        <v>5.2299045151516701</v>
      </c>
      <c r="U13" s="17">
        <v>0.222460293140013</v>
      </c>
      <c r="V13" s="17">
        <v>2.3897834840389698</v>
      </c>
      <c r="W13" s="17">
        <v>2.2282881871409099</v>
      </c>
      <c r="X13" s="17" t="s">
        <v>44</v>
      </c>
      <c r="Y13" s="17" t="s">
        <v>44</v>
      </c>
      <c r="Z13" s="17" t="s">
        <v>44</v>
      </c>
      <c r="AA13" s="17" t="s">
        <v>44</v>
      </c>
      <c r="AB13" s="17">
        <v>2.5947324061560599</v>
      </c>
    </row>
    <row r="14" spans="1:28" x14ac:dyDescent="0.2">
      <c r="A14" s="17">
        <f t="shared" si="0"/>
        <v>3.8011215379019978</v>
      </c>
      <c r="B14" s="17">
        <v>10</v>
      </c>
      <c r="C14" s="17" t="s">
        <v>44</v>
      </c>
      <c r="D14" s="17">
        <v>3.48821030916837</v>
      </c>
      <c r="E14" s="17">
        <v>2.69778086667149</v>
      </c>
      <c r="F14" s="17">
        <v>5.7555787013449002</v>
      </c>
      <c r="G14" s="17">
        <v>2.6307292015633799</v>
      </c>
      <c r="H14" s="17">
        <v>10.228129857419701</v>
      </c>
      <c r="I14" s="17">
        <v>1.4535503673169401</v>
      </c>
      <c r="J14" s="17">
        <v>3.0503834913434398</v>
      </c>
      <c r="K14" s="17">
        <v>2.3627407976142099</v>
      </c>
      <c r="L14" s="17">
        <v>2.0449905562642501</v>
      </c>
      <c r="M14" s="17">
        <v>0.85689467933267205</v>
      </c>
      <c r="N14" s="17">
        <v>5.5411861041616302</v>
      </c>
      <c r="O14" s="17">
        <v>2.5860187976193298</v>
      </c>
      <c r="P14" s="17">
        <v>4.0618916737791402</v>
      </c>
      <c r="Q14" s="17">
        <v>2.7863062160170302</v>
      </c>
      <c r="R14" s="17">
        <v>1.8889027620354799</v>
      </c>
      <c r="S14" s="17">
        <v>6.33009197437792</v>
      </c>
      <c r="T14" s="17">
        <v>4.4298569283846598</v>
      </c>
      <c r="U14" s="17">
        <v>3.3998882942271198</v>
      </c>
      <c r="V14" s="17">
        <v>1.5560848003388701</v>
      </c>
      <c r="W14" s="17">
        <v>1.96377271479379</v>
      </c>
      <c r="X14" s="17">
        <v>4.2767893569758</v>
      </c>
      <c r="Y14" s="17">
        <v>6.5747246213565802</v>
      </c>
      <c r="Z14" s="17">
        <v>10.694721438615399</v>
      </c>
      <c r="AA14" s="17">
        <v>2.3384766739391099</v>
      </c>
      <c r="AB14" s="17">
        <v>2.0303372628887302</v>
      </c>
    </row>
    <row r="15" spans="1:28" x14ac:dyDescent="0.2">
      <c r="A15" s="17">
        <f t="shared" si="0"/>
        <v>4.1125554373295143</v>
      </c>
      <c r="B15" s="17">
        <v>11</v>
      </c>
      <c r="C15" s="17">
        <v>5.4993394228617802</v>
      </c>
      <c r="D15" s="17">
        <v>4.0461711000956404</v>
      </c>
      <c r="E15" s="17">
        <v>2.2517556817391</v>
      </c>
      <c r="F15" s="17">
        <v>1.4023447814909</v>
      </c>
      <c r="G15" s="17">
        <v>2.7826309442933201</v>
      </c>
      <c r="H15" s="17">
        <v>4.5374777832607904</v>
      </c>
      <c r="I15" s="17">
        <v>2.67999446331214</v>
      </c>
      <c r="J15" s="17">
        <v>3.2002462375232001</v>
      </c>
      <c r="K15" s="17">
        <v>5.5143665197115803</v>
      </c>
      <c r="L15" s="17">
        <v>3.2943150090222799</v>
      </c>
      <c r="M15" s="17">
        <v>5.32894264256438</v>
      </c>
      <c r="N15" s="17">
        <v>3.3166325117686499</v>
      </c>
      <c r="O15" s="17">
        <v>3.07274580232786</v>
      </c>
      <c r="P15" s="17">
        <v>5.2331055577473</v>
      </c>
      <c r="Q15" s="17" t="s">
        <v>44</v>
      </c>
      <c r="R15" s="17">
        <v>7.65746897845289</v>
      </c>
      <c r="S15" s="17">
        <v>7.1436375389363098</v>
      </c>
      <c r="T15" s="17">
        <v>3.49942806344631</v>
      </c>
      <c r="U15" s="17">
        <v>4.2208837634582697</v>
      </c>
      <c r="V15" s="17">
        <v>4.6856914464610204</v>
      </c>
      <c r="W15" s="17">
        <v>1.0141199056831101</v>
      </c>
      <c r="X15" s="17">
        <v>5.2517797947829399</v>
      </c>
      <c r="Y15" s="17">
        <v>3.59321091007837</v>
      </c>
      <c r="Z15" s="17">
        <v>5.9970153649023601</v>
      </c>
      <c r="AA15" s="17" t="s">
        <v>44</v>
      </c>
      <c r="AB15" s="17">
        <v>4.86481025752009</v>
      </c>
    </row>
    <row r="16" spans="1:28" x14ac:dyDescent="0.2">
      <c r="A16" s="17">
        <f t="shared" si="0"/>
        <v>4.7348229547065577</v>
      </c>
      <c r="B16" s="17">
        <v>12</v>
      </c>
      <c r="C16" s="17" t="s">
        <v>44</v>
      </c>
      <c r="D16" s="17">
        <v>2.04488103051975</v>
      </c>
      <c r="E16" s="17" t="s">
        <v>44</v>
      </c>
      <c r="F16" s="17">
        <v>5.77217901589652</v>
      </c>
      <c r="G16" s="17">
        <v>3.6945245520419898</v>
      </c>
      <c r="H16" s="17">
        <v>2.34597582179991</v>
      </c>
      <c r="I16" s="17">
        <v>1.4418199790658901</v>
      </c>
      <c r="J16" s="17">
        <v>1.0192622294381799</v>
      </c>
      <c r="K16" s="17">
        <v>1.9960158198790701</v>
      </c>
      <c r="L16" s="17">
        <v>4.1909680123673096</v>
      </c>
      <c r="M16" s="17">
        <v>4.0223823789387501</v>
      </c>
      <c r="N16" s="17">
        <v>4.8136813492408903</v>
      </c>
      <c r="O16" s="17" t="s">
        <v>44</v>
      </c>
      <c r="P16" s="17">
        <v>5.5728021570608304</v>
      </c>
      <c r="Q16" s="17">
        <v>5.0435248733830402</v>
      </c>
      <c r="R16" s="17">
        <v>9.0885379861900599</v>
      </c>
      <c r="S16" s="17">
        <v>9.7061120060771806</v>
      </c>
      <c r="T16" s="17">
        <v>5.4454203151828704</v>
      </c>
      <c r="U16" s="17">
        <v>1.22901319558907</v>
      </c>
      <c r="V16" s="17">
        <v>5.6782380339280403</v>
      </c>
      <c r="W16" s="17">
        <v>1.23203826287941</v>
      </c>
      <c r="X16" s="17">
        <v>4.6617956133617096</v>
      </c>
      <c r="Y16" s="17">
        <v>2.3270262128650501</v>
      </c>
      <c r="Z16" s="17">
        <v>6.8225821625950003</v>
      </c>
      <c r="AA16" s="17">
        <v>8.5763144501243804</v>
      </c>
      <c r="AB16" s="17">
        <v>12.1758324998259</v>
      </c>
    </row>
    <row r="17" spans="1:28" x14ac:dyDescent="0.2">
      <c r="A17" s="17">
        <f t="shared" si="0"/>
        <v>3.5841320364302116</v>
      </c>
      <c r="B17" s="17">
        <v>13</v>
      </c>
      <c r="C17" s="17">
        <v>5.9400018675635797</v>
      </c>
      <c r="D17" s="17">
        <v>1.54261848276721</v>
      </c>
      <c r="E17" s="17">
        <v>1.08124619324439</v>
      </c>
      <c r="F17" s="17">
        <v>3.3309177323004802</v>
      </c>
      <c r="G17" s="17">
        <v>1.6622497168995001</v>
      </c>
      <c r="H17" s="17">
        <v>3.0627026709830698</v>
      </c>
      <c r="I17" s="17">
        <v>2.0763069637941798</v>
      </c>
      <c r="J17" s="17">
        <v>3.6221539935771898</v>
      </c>
      <c r="K17" s="17">
        <v>4.8959933750964097</v>
      </c>
      <c r="L17" s="17">
        <v>6.6126767796922703</v>
      </c>
      <c r="M17" s="17">
        <v>3.47881389478139</v>
      </c>
      <c r="N17" s="17">
        <v>4.2903623488004898</v>
      </c>
      <c r="O17" s="17">
        <v>3.1263612226892699</v>
      </c>
      <c r="P17" s="17">
        <v>6.0491942844809703</v>
      </c>
      <c r="Q17" s="17">
        <v>4.1927611745041498</v>
      </c>
      <c r="R17" s="17">
        <v>1.2242130340096899</v>
      </c>
      <c r="S17" s="17">
        <v>3.2731401887314999</v>
      </c>
      <c r="T17" s="17">
        <v>8.46411807697989</v>
      </c>
      <c r="U17" s="17">
        <v>2.3328294182404199</v>
      </c>
      <c r="V17" s="17">
        <v>1.6798646298987701</v>
      </c>
      <c r="W17" s="17">
        <v>5.0664162740961203</v>
      </c>
      <c r="X17" s="17">
        <v>4.83525105029927</v>
      </c>
      <c r="Y17" s="17">
        <v>3.4234253622227699</v>
      </c>
      <c r="Z17" s="17">
        <v>4.4498888120603199</v>
      </c>
      <c r="AA17" s="17">
        <v>3.1595081254537898</v>
      </c>
      <c r="AB17" s="17">
        <v>2.6702871051517998</v>
      </c>
    </row>
    <row r="18" spans="1:28" x14ac:dyDescent="0.2">
      <c r="A18" s="17">
        <f t="shared" si="0"/>
        <v>4.6763575552648362</v>
      </c>
      <c r="B18" s="17">
        <v>14</v>
      </c>
      <c r="C18" s="17">
        <v>1.5622697746885801</v>
      </c>
      <c r="D18" s="17" t="s">
        <v>44</v>
      </c>
      <c r="E18" s="17">
        <v>5.0241783292499402</v>
      </c>
      <c r="F18" s="17">
        <v>5.3407037430919697</v>
      </c>
      <c r="G18" s="17">
        <v>1.71286432661317</v>
      </c>
      <c r="H18" s="17">
        <v>19.5448075990621</v>
      </c>
      <c r="I18" s="17" t="s">
        <v>44</v>
      </c>
      <c r="J18" s="17">
        <v>2.6144204710069601</v>
      </c>
      <c r="K18" s="17">
        <v>1.53290153445759</v>
      </c>
      <c r="L18" s="17">
        <v>0.97562269304885196</v>
      </c>
      <c r="M18" s="17">
        <v>4.0016197016065496</v>
      </c>
      <c r="N18" s="17">
        <v>6.8851975827038503</v>
      </c>
      <c r="O18" s="17">
        <v>2.4484417136014698</v>
      </c>
      <c r="P18" s="17">
        <v>8.3305483649295304</v>
      </c>
      <c r="Q18" s="17">
        <v>7.8247096153416198</v>
      </c>
      <c r="R18" s="17">
        <v>3.81815094545032</v>
      </c>
      <c r="S18" s="17">
        <v>5.1277469890408902</v>
      </c>
      <c r="T18" s="17">
        <v>9.0840135512996198</v>
      </c>
      <c r="U18" s="17">
        <v>5.8857741469184502E-2</v>
      </c>
      <c r="V18" s="17">
        <v>2.5572911446865798</v>
      </c>
      <c r="W18" s="17">
        <v>4.3930441607927699</v>
      </c>
      <c r="X18" s="17">
        <v>0.83026305552084201</v>
      </c>
      <c r="Y18" s="17">
        <v>2.8761962162470298</v>
      </c>
      <c r="Z18" s="17">
        <v>6.2836287512120803</v>
      </c>
      <c r="AA18" s="17" t="s">
        <v>44</v>
      </c>
      <c r="AB18" s="17">
        <v>1.6146579853934899</v>
      </c>
    </row>
    <row r="19" spans="1:28" x14ac:dyDescent="0.2">
      <c r="A19" s="17">
        <f t="shared" si="0"/>
        <v>4.0251742644217368</v>
      </c>
      <c r="B19" s="17">
        <v>15</v>
      </c>
      <c r="C19" s="17">
        <v>8.2427059947051706</v>
      </c>
      <c r="D19" s="17">
        <v>8.7960941141005993</v>
      </c>
      <c r="E19" s="17">
        <v>2.6404424216479798</v>
      </c>
      <c r="F19" s="17">
        <v>1.6091402442542799</v>
      </c>
      <c r="G19" s="17">
        <v>3.5234032278237701</v>
      </c>
      <c r="H19" s="17">
        <v>3.9074139270620898</v>
      </c>
      <c r="I19" s="17">
        <v>1.49786312947276</v>
      </c>
      <c r="J19" s="17">
        <v>3.1098301300113</v>
      </c>
      <c r="K19" s="17">
        <v>3.7931585198496802</v>
      </c>
      <c r="L19" s="17">
        <v>1.9220356436952399</v>
      </c>
      <c r="M19" s="17" t="s">
        <v>44</v>
      </c>
      <c r="N19" s="17">
        <v>7.2317999298859004</v>
      </c>
      <c r="O19" s="17">
        <v>3.8191308924818799</v>
      </c>
      <c r="P19" s="17">
        <v>1.7752940346120301</v>
      </c>
      <c r="Q19" s="17">
        <v>9.4606717806569804</v>
      </c>
      <c r="R19" s="17">
        <v>3.2526019369469599</v>
      </c>
      <c r="S19" s="17">
        <v>4.1318107818523098</v>
      </c>
      <c r="T19" s="17">
        <v>2.6844854660994799</v>
      </c>
      <c r="U19" s="17">
        <v>0.46879138072812399</v>
      </c>
      <c r="V19" s="17">
        <v>0.48419903126123698</v>
      </c>
      <c r="W19" s="17">
        <v>3.6719763775566401</v>
      </c>
      <c r="X19" s="17">
        <v>7.2613352800455102</v>
      </c>
      <c r="Y19" s="17">
        <v>7.3591891027540903</v>
      </c>
      <c r="Z19" s="17">
        <v>8.4154934978002807</v>
      </c>
      <c r="AA19" s="17">
        <v>3.1502774114482301</v>
      </c>
      <c r="AB19" s="17">
        <v>2.6377440840743298</v>
      </c>
    </row>
    <row r="20" spans="1:28" x14ac:dyDescent="0.2">
      <c r="A20" s="17">
        <f t="shared" si="0"/>
        <v>3.909443365628738</v>
      </c>
      <c r="B20" s="17">
        <v>16</v>
      </c>
      <c r="C20" s="17">
        <v>5.3704048147655996</v>
      </c>
      <c r="D20" s="17">
        <v>5.49576794628996</v>
      </c>
      <c r="E20" s="17">
        <v>6.1238802253123499</v>
      </c>
      <c r="F20" s="17">
        <v>4.5535872340842101</v>
      </c>
      <c r="G20" s="17">
        <v>1.23915962094945</v>
      </c>
      <c r="H20" s="17">
        <v>2.0942298616133499</v>
      </c>
      <c r="I20" s="17">
        <v>3.7566101131983101</v>
      </c>
      <c r="J20" s="17">
        <v>4.2341686819366799</v>
      </c>
      <c r="K20" s="17">
        <v>3.3842453637294398</v>
      </c>
      <c r="L20" s="17">
        <v>2.3883772371763601</v>
      </c>
      <c r="M20" s="17">
        <v>1.6287009258498499</v>
      </c>
      <c r="N20" s="17">
        <v>6.1110514047548303</v>
      </c>
      <c r="O20" s="17">
        <v>3.68890844667777</v>
      </c>
      <c r="P20" s="17">
        <v>2.9560796931186801</v>
      </c>
      <c r="Q20" s="17">
        <v>5.1547867006379597</v>
      </c>
      <c r="R20" s="17">
        <v>4.2049350505240497</v>
      </c>
      <c r="S20" s="17">
        <v>6.0241330639570503</v>
      </c>
      <c r="T20" s="17">
        <v>2.07210611133738</v>
      </c>
      <c r="U20" s="17">
        <v>6.8296249516681602</v>
      </c>
      <c r="V20" s="17">
        <v>8.5032134915604995</v>
      </c>
      <c r="W20" s="17">
        <v>6.0136760924493</v>
      </c>
      <c r="X20" s="17">
        <v>1.39815747829907</v>
      </c>
      <c r="Y20" s="17">
        <v>0.79040591733029797</v>
      </c>
      <c r="Z20" s="17">
        <v>3.5057861510274702</v>
      </c>
      <c r="AA20" s="17">
        <v>3.3191855367590999</v>
      </c>
      <c r="AB20" s="17">
        <v>2.2653068404768502</v>
      </c>
    </row>
    <row r="21" spans="1:28" x14ac:dyDescent="0.2">
      <c r="A21" s="17">
        <f t="shared" si="0"/>
        <v>4.4691243702035441</v>
      </c>
      <c r="B21" s="17">
        <v>17</v>
      </c>
      <c r="C21" s="17">
        <v>6.8183873252526599</v>
      </c>
      <c r="D21" s="17">
        <v>10.4643748214586</v>
      </c>
      <c r="E21" s="17">
        <v>7.9831949361860604</v>
      </c>
      <c r="F21" s="17">
        <v>12.2175785285812</v>
      </c>
      <c r="G21" s="17">
        <v>3.0749931637966701</v>
      </c>
      <c r="H21" s="17">
        <v>4.4734987017101604</v>
      </c>
      <c r="I21" s="17">
        <v>4.8190145727927902</v>
      </c>
      <c r="J21" s="17">
        <v>3.52240249511246</v>
      </c>
      <c r="K21" s="17">
        <v>5.4738830253736701</v>
      </c>
      <c r="L21" s="17">
        <v>1.8048894799308799</v>
      </c>
      <c r="M21" s="17">
        <v>0.80029793832838403</v>
      </c>
      <c r="N21" s="17">
        <v>5.1591434141565999</v>
      </c>
      <c r="O21" s="17">
        <v>1.60540797334992</v>
      </c>
      <c r="P21" s="17" t="s">
        <v>44</v>
      </c>
      <c r="Q21" s="17">
        <v>1.7630267379542699</v>
      </c>
      <c r="R21" s="17">
        <v>3.7468793656841801</v>
      </c>
      <c r="S21" s="17">
        <v>5.6178679848932003</v>
      </c>
      <c r="T21" s="17">
        <v>1.77138175315698</v>
      </c>
      <c r="U21" s="17">
        <v>9.2597374953064904</v>
      </c>
      <c r="V21" s="17">
        <v>1.2384455269627399</v>
      </c>
      <c r="W21" s="17">
        <v>2.3362660774504702</v>
      </c>
      <c r="X21" s="17">
        <v>3.81208182015913</v>
      </c>
      <c r="Y21" s="17">
        <v>2.47161334682098</v>
      </c>
      <c r="Z21" s="17">
        <v>5.3748230743387602</v>
      </c>
      <c r="AA21" s="17">
        <v>3.5074644022643202</v>
      </c>
      <c r="AB21" s="17">
        <v>4.9607182491161401</v>
      </c>
    </row>
    <row r="22" spans="1:28" x14ac:dyDescent="0.2">
      <c r="A22" s="17">
        <f t="shared" si="0"/>
        <v>4.393886476175429</v>
      </c>
      <c r="B22" s="17">
        <v>18</v>
      </c>
      <c r="C22" s="17" t="s">
        <v>44</v>
      </c>
      <c r="D22" s="17">
        <v>7.39815328045378</v>
      </c>
      <c r="E22" s="17" t="s">
        <v>44</v>
      </c>
      <c r="F22" s="17" t="s">
        <v>44</v>
      </c>
      <c r="G22" s="17">
        <v>6.84623018434056</v>
      </c>
      <c r="H22" s="17" t="s">
        <v>44</v>
      </c>
      <c r="I22" s="17">
        <v>6.2588352650007399</v>
      </c>
      <c r="J22" s="17">
        <v>0.97287319983629905</v>
      </c>
      <c r="K22" s="17">
        <v>1.3020524774148501</v>
      </c>
      <c r="L22" s="17" t="s">
        <v>44</v>
      </c>
      <c r="M22" s="17">
        <v>2.6380578765618301</v>
      </c>
      <c r="N22" s="17">
        <v>3.2723168066278299</v>
      </c>
      <c r="O22" s="17">
        <v>5.1055388343028598</v>
      </c>
      <c r="P22" s="17">
        <v>7.7774658960870298</v>
      </c>
      <c r="Q22" s="17">
        <v>5.0495226561930702</v>
      </c>
      <c r="R22" s="17">
        <v>6.2562379042736396</v>
      </c>
      <c r="S22" s="17">
        <v>4.4712573314897304</v>
      </c>
      <c r="T22" s="17">
        <v>6.2310193906354199</v>
      </c>
      <c r="U22" s="17">
        <v>2.1186506675281498</v>
      </c>
      <c r="V22" s="17">
        <v>1.10700256563776</v>
      </c>
      <c r="W22" s="17">
        <v>6.4068935174680304</v>
      </c>
      <c r="X22" s="17" t="s">
        <v>44</v>
      </c>
      <c r="Y22" s="17">
        <v>2.4588694785413701</v>
      </c>
      <c r="Z22" s="17">
        <v>3.4189792387647699</v>
      </c>
      <c r="AA22" s="17" t="s">
        <v>44</v>
      </c>
      <c r="AB22" s="17" t="s">
        <v>44</v>
      </c>
    </row>
    <row r="23" spans="1:28" x14ac:dyDescent="0.2">
      <c r="A23" s="17">
        <f t="shared" si="0"/>
        <v>5.7784524577370124</v>
      </c>
      <c r="B23" s="17">
        <v>19</v>
      </c>
      <c r="C23" s="17" t="s">
        <v>44</v>
      </c>
      <c r="D23" s="17">
        <v>8.9041215313944306</v>
      </c>
      <c r="E23" s="17" t="s">
        <v>44</v>
      </c>
      <c r="F23" s="17">
        <v>1.0651921539784199</v>
      </c>
      <c r="G23" s="17">
        <v>3.54210938207203</v>
      </c>
      <c r="H23" s="17" t="s">
        <v>44</v>
      </c>
      <c r="I23" s="17" t="s">
        <v>44</v>
      </c>
      <c r="J23" s="17">
        <v>3.91576753307214</v>
      </c>
      <c r="K23" s="17" t="s">
        <v>44</v>
      </c>
      <c r="L23" s="17" t="s">
        <v>44</v>
      </c>
      <c r="M23" s="17">
        <v>0.98394707542111404</v>
      </c>
      <c r="N23" s="17">
        <v>2.4033410839168599</v>
      </c>
      <c r="O23" s="17" t="s">
        <v>44</v>
      </c>
      <c r="P23" s="17" t="s">
        <v>44</v>
      </c>
      <c r="Q23" s="17">
        <v>13.6440963960481</v>
      </c>
      <c r="R23" s="17">
        <v>8.9882453138410998</v>
      </c>
      <c r="S23" s="17">
        <v>8.3326613831612608</v>
      </c>
      <c r="T23" s="17">
        <v>6.00504272446467</v>
      </c>
      <c r="U23" s="17" t="s">
        <v>44</v>
      </c>
      <c r="V23" s="17" t="s">
        <v>44</v>
      </c>
      <c r="W23" s="17" t="s">
        <v>44</v>
      </c>
      <c r="X23" s="17" t="s">
        <v>44</v>
      </c>
      <c r="Y23" s="17" t="s">
        <v>44</v>
      </c>
      <c r="Z23" s="17" t="s">
        <v>44</v>
      </c>
      <c r="AA23" s="17" t="s">
        <v>44</v>
      </c>
      <c r="AB23" s="17" t="s">
        <v>44</v>
      </c>
    </row>
    <row r="24" spans="1:28" x14ac:dyDescent="0.2">
      <c r="A24" s="17">
        <f t="shared" si="0"/>
        <v>5.5010035943915838</v>
      </c>
      <c r="B24" s="17">
        <v>20</v>
      </c>
      <c r="C24" s="17" t="s">
        <v>44</v>
      </c>
      <c r="D24" s="17">
        <v>8.3801430332205804</v>
      </c>
      <c r="E24" s="17">
        <v>4.7421471344134103</v>
      </c>
      <c r="F24" s="17">
        <v>8.9373590831754104</v>
      </c>
      <c r="G24" s="17">
        <v>6.5103503983999902</v>
      </c>
      <c r="H24" s="17" t="s">
        <v>44</v>
      </c>
      <c r="I24" s="17">
        <v>3.25220501995316</v>
      </c>
      <c r="J24" s="17">
        <v>9.2046904312885598</v>
      </c>
      <c r="K24" s="17">
        <v>8.2362765978182395</v>
      </c>
      <c r="L24" s="17">
        <v>4.3835873682238997</v>
      </c>
      <c r="M24" s="17" t="s">
        <v>44</v>
      </c>
      <c r="N24" s="17">
        <v>7.46392733416591</v>
      </c>
      <c r="O24" s="17">
        <v>2.7140332301796901</v>
      </c>
      <c r="P24" s="17">
        <v>9.2518673256437101</v>
      </c>
      <c r="Q24" s="17">
        <v>4.2627474712077902</v>
      </c>
      <c r="R24" s="17">
        <v>5.33844294546964</v>
      </c>
      <c r="S24" s="17">
        <v>7.7183866528505902</v>
      </c>
      <c r="T24" s="17">
        <v>2.1484984594402201</v>
      </c>
      <c r="U24" s="17">
        <v>1.82343686696308</v>
      </c>
      <c r="V24" s="17">
        <v>5.2078526393556501</v>
      </c>
      <c r="W24" s="17">
        <v>2.1509951283574198</v>
      </c>
      <c r="X24" s="17">
        <v>4.8655303533566796</v>
      </c>
      <c r="Y24" s="17">
        <v>3.5725536186959901</v>
      </c>
      <c r="Z24" s="17">
        <v>10.6151160437598</v>
      </c>
      <c r="AA24" s="17">
        <v>3.0463838041386802</v>
      </c>
      <c r="AB24" s="17">
        <v>2.6965517309283298</v>
      </c>
    </row>
    <row r="25" spans="1:28" x14ac:dyDescent="0.2">
      <c r="A25" s="17">
        <f t="shared" si="0"/>
        <v>4.8695815129317941</v>
      </c>
      <c r="B25" s="17">
        <v>21</v>
      </c>
      <c r="C25" s="17" t="s">
        <v>44</v>
      </c>
      <c r="D25" s="17">
        <v>3.14381312348862</v>
      </c>
      <c r="E25" s="17" t="s">
        <v>44</v>
      </c>
      <c r="F25" s="17">
        <v>2.1374481948307702</v>
      </c>
      <c r="G25" s="17" t="s">
        <v>44</v>
      </c>
      <c r="H25" s="17" t="s">
        <v>44</v>
      </c>
      <c r="I25" s="17">
        <v>3.4165548792969598</v>
      </c>
      <c r="J25" s="17" t="s">
        <v>44</v>
      </c>
      <c r="K25" s="17">
        <v>5.0625192133762997</v>
      </c>
      <c r="L25" s="17">
        <v>2.2602778968672501</v>
      </c>
      <c r="M25" s="17" t="s">
        <v>44</v>
      </c>
      <c r="N25" s="17" t="s">
        <v>44</v>
      </c>
      <c r="O25" s="17">
        <v>8.9526227187139806</v>
      </c>
      <c r="P25" s="17">
        <v>3.0224293998972298</v>
      </c>
      <c r="Q25" s="17">
        <v>4.37862363045096</v>
      </c>
      <c r="R25" s="17" t="s">
        <v>44</v>
      </c>
      <c r="S25" s="17">
        <v>4.9148325907204597</v>
      </c>
      <c r="T25" s="17">
        <v>8.3419317505418604</v>
      </c>
      <c r="U25" s="17">
        <v>7.4118527363163498</v>
      </c>
      <c r="V25" s="17">
        <v>5.96681472568274</v>
      </c>
      <c r="W25" s="17" t="s">
        <v>44</v>
      </c>
      <c r="X25" s="17" t="s">
        <v>44</v>
      </c>
      <c r="Y25" s="17" t="s">
        <v>44</v>
      </c>
      <c r="Z25" s="17">
        <v>4.2948388079298496</v>
      </c>
      <c r="AA25" s="17" t="s">
        <v>44</v>
      </c>
      <c r="AB25" s="17" t="s">
        <v>44</v>
      </c>
    </row>
    <row r="26" spans="1:28" x14ac:dyDescent="0.2">
      <c r="A26" s="17">
        <f t="shared" si="0"/>
        <v>4.6087480049703196</v>
      </c>
      <c r="B26" s="17">
        <v>22</v>
      </c>
      <c r="C26" s="17">
        <v>6.65406575113649</v>
      </c>
      <c r="D26" s="17">
        <v>8.8346217201276396</v>
      </c>
      <c r="E26" s="17">
        <v>5.3131365288388404</v>
      </c>
      <c r="F26" s="17">
        <v>4.9961105989362196</v>
      </c>
      <c r="G26" s="17">
        <v>0.86876922007594404</v>
      </c>
      <c r="H26" s="17">
        <v>5.0781631613796296</v>
      </c>
      <c r="I26" s="17">
        <v>3.1804628517770399</v>
      </c>
      <c r="J26" s="17">
        <v>1.2136102863151901</v>
      </c>
      <c r="K26" s="17">
        <v>2.2621479642607598</v>
      </c>
      <c r="L26" s="17">
        <v>4.8980279316662596</v>
      </c>
      <c r="M26" s="17">
        <v>2.7626940573183401</v>
      </c>
      <c r="N26" s="17">
        <v>4.8466842781954496</v>
      </c>
      <c r="O26" s="17">
        <v>4.4795998550502398</v>
      </c>
      <c r="P26" s="17">
        <v>7.3866016231295104</v>
      </c>
      <c r="Q26" s="17">
        <v>2.5189141897491099</v>
      </c>
      <c r="R26" s="17">
        <v>9.4054101820737106</v>
      </c>
      <c r="S26" s="17">
        <v>4.2859730175649497</v>
      </c>
      <c r="T26" s="17">
        <v>7.9481908749283701</v>
      </c>
      <c r="U26" s="17">
        <v>8.3320061183926892</v>
      </c>
      <c r="V26" s="17">
        <v>2.5769185727673398</v>
      </c>
      <c r="W26" s="17">
        <v>2.37908434028768</v>
      </c>
      <c r="X26" s="17">
        <v>4.9571493356606604</v>
      </c>
      <c r="Y26" s="17">
        <v>2.1605124637192099</v>
      </c>
      <c r="Z26" s="17">
        <v>6.1085891963794099</v>
      </c>
      <c r="AA26" s="17">
        <v>3.2615361216966701</v>
      </c>
      <c r="AB26" s="17">
        <v>5.1637856339671204</v>
      </c>
    </row>
    <row r="27" spans="1:28" x14ac:dyDescent="0.2">
      <c r="A27" s="17">
        <f t="shared" si="0"/>
        <v>4.9658455420098351</v>
      </c>
      <c r="B27" s="17">
        <v>23</v>
      </c>
      <c r="C27" s="17" t="s">
        <v>44</v>
      </c>
      <c r="D27" s="17">
        <v>5.5681429791641603</v>
      </c>
      <c r="E27" s="17">
        <v>2.9691522490752398</v>
      </c>
      <c r="F27" s="17">
        <v>2.43684473270757</v>
      </c>
      <c r="G27" s="17">
        <v>5.3959008965728597</v>
      </c>
      <c r="H27" s="17">
        <v>3.0952486829761598</v>
      </c>
      <c r="I27" s="17">
        <v>3.26191529591325</v>
      </c>
      <c r="J27" s="17">
        <v>12.416349899077799</v>
      </c>
      <c r="K27" s="17">
        <v>2.6554999225896001</v>
      </c>
      <c r="L27" s="17">
        <v>4.7876217296442301</v>
      </c>
      <c r="M27" s="17">
        <v>7.22095063154143</v>
      </c>
      <c r="N27" s="17">
        <v>3.2573277555204498</v>
      </c>
      <c r="O27" s="17">
        <v>2.9498122210283402</v>
      </c>
      <c r="P27" s="17">
        <v>5.9383908650258803</v>
      </c>
      <c r="Q27" s="17">
        <v>1.91074973877649</v>
      </c>
      <c r="R27" s="17">
        <v>7.6097132898839304</v>
      </c>
      <c r="S27" s="17">
        <v>3.2712038737854501</v>
      </c>
      <c r="T27" s="17">
        <v>7.4786086322005598</v>
      </c>
      <c r="U27" s="17">
        <v>0.61129447728602604</v>
      </c>
      <c r="V27" s="17">
        <v>2.1610009413125399</v>
      </c>
      <c r="W27" s="17">
        <v>7.3003228137551801</v>
      </c>
      <c r="X27" s="17">
        <v>8.1627194874045603</v>
      </c>
      <c r="Y27" s="17">
        <v>8.3770662348673799</v>
      </c>
      <c r="Z27" s="17">
        <v>3.7173811365748901</v>
      </c>
      <c r="AA27" s="17">
        <v>9.3567415090900496</v>
      </c>
      <c r="AB27" s="17">
        <v>2.2361785544718602</v>
      </c>
    </row>
    <row r="28" spans="1:28" x14ac:dyDescent="0.2">
      <c r="A28" s="17">
        <f t="shared" si="0"/>
        <v>4.2139045941363937</v>
      </c>
      <c r="B28" s="17">
        <v>24</v>
      </c>
      <c r="C28" s="17" t="s">
        <v>44</v>
      </c>
      <c r="D28" s="17">
        <v>4.7323237702391703</v>
      </c>
      <c r="E28" s="17">
        <v>6.3127109776029604</v>
      </c>
      <c r="F28" s="17">
        <v>2.0010018849459601</v>
      </c>
      <c r="G28" s="17">
        <v>1.22032716934882</v>
      </c>
      <c r="H28" s="17">
        <v>13.3793627546646</v>
      </c>
      <c r="I28" s="17">
        <v>8.9062587661016401</v>
      </c>
      <c r="J28" s="17" t="s">
        <v>44</v>
      </c>
      <c r="K28" s="17">
        <v>3.0686658686824599</v>
      </c>
      <c r="L28" s="17">
        <v>4.5750188517156802</v>
      </c>
      <c r="M28" s="17">
        <v>3.8288316232850099</v>
      </c>
      <c r="N28" s="17">
        <v>1.62389011763145</v>
      </c>
      <c r="O28" s="17">
        <v>2.69074836507078</v>
      </c>
      <c r="P28" s="17">
        <v>2.7992148039375802</v>
      </c>
      <c r="Q28" s="17">
        <v>3.2359555530517401</v>
      </c>
      <c r="R28" s="17" t="s">
        <v>44</v>
      </c>
      <c r="S28" s="17">
        <v>4.2684008793219697</v>
      </c>
      <c r="T28" s="17">
        <v>5.4372265899975796</v>
      </c>
      <c r="U28" s="17">
        <v>2.0760710715849502</v>
      </c>
      <c r="V28" s="17">
        <v>1.48036905313635</v>
      </c>
      <c r="W28" s="17" t="s">
        <v>44</v>
      </c>
      <c r="X28" s="17" t="s">
        <v>44</v>
      </c>
      <c r="Y28" s="17" t="s">
        <v>44</v>
      </c>
      <c r="Z28" s="17" t="s">
        <v>44</v>
      </c>
      <c r="AA28" s="17" t="s">
        <v>44</v>
      </c>
      <c r="AB28" s="17" t="s">
        <v>44</v>
      </c>
    </row>
    <row r="29" spans="1:28" x14ac:dyDescent="0.2">
      <c r="A29" s="17">
        <f t="shared" si="0"/>
        <v>4.4541071954001987</v>
      </c>
      <c r="B29" s="17">
        <v>25</v>
      </c>
      <c r="C29" s="17">
        <v>1.01249152865336</v>
      </c>
      <c r="D29" s="17">
        <v>4.1094816309565099</v>
      </c>
      <c r="E29" s="17">
        <v>2.7446870102153902</v>
      </c>
      <c r="F29" s="17">
        <v>6.1128375190580497</v>
      </c>
      <c r="G29" s="17">
        <v>3.8176058129068</v>
      </c>
      <c r="H29" s="17">
        <v>3.1379568566936999</v>
      </c>
      <c r="I29" s="17">
        <v>4.3637569004010404</v>
      </c>
      <c r="J29" s="17">
        <v>4.5186258913499602</v>
      </c>
      <c r="K29" s="17">
        <v>5.2164504491353298</v>
      </c>
      <c r="L29" s="17">
        <v>1.48767799059026</v>
      </c>
      <c r="M29" s="17">
        <v>3.90333971117933</v>
      </c>
      <c r="N29" s="17">
        <v>3.97698767510937</v>
      </c>
      <c r="O29" s="17">
        <v>4.1969629679081697</v>
      </c>
      <c r="P29" s="17">
        <v>5.6544668755872003</v>
      </c>
      <c r="Q29" s="17">
        <v>6.2755399250499604</v>
      </c>
      <c r="R29" s="17">
        <v>5.2038526129508504</v>
      </c>
      <c r="S29" s="17">
        <v>3.2285872237081201</v>
      </c>
      <c r="T29" s="17">
        <v>4.1972868839167896</v>
      </c>
      <c r="U29" s="17">
        <v>3.1161312977209401</v>
      </c>
      <c r="V29" s="17">
        <v>11.771588430470199</v>
      </c>
      <c r="W29" s="17" t="s">
        <v>44</v>
      </c>
      <c r="X29" s="17" t="s">
        <v>44</v>
      </c>
      <c r="Y29" s="17">
        <v>2.0483202430960201</v>
      </c>
      <c r="Z29" s="17" t="s">
        <v>44</v>
      </c>
      <c r="AA29" s="17" t="s">
        <v>44</v>
      </c>
      <c r="AB29" s="17" t="s">
        <v>44</v>
      </c>
    </row>
    <row r="30" spans="1:28" x14ac:dyDescent="0.2">
      <c r="A30" s="17">
        <f t="shared" si="0"/>
        <v>4.0828928845246306</v>
      </c>
      <c r="B30" s="17">
        <v>26</v>
      </c>
      <c r="C30" s="17">
        <v>7.8733571039327703</v>
      </c>
      <c r="D30" s="17">
        <v>0.81805941715623698</v>
      </c>
      <c r="E30" s="17">
        <v>2.5081578847971202</v>
      </c>
      <c r="F30" s="17">
        <v>6.9140950092484301</v>
      </c>
      <c r="G30" s="17">
        <v>3.68234787433724</v>
      </c>
      <c r="H30" s="17">
        <v>1.80863397676654</v>
      </c>
      <c r="I30" s="17">
        <v>9.2849847895891493</v>
      </c>
      <c r="J30" s="17">
        <v>5.9207618054054603</v>
      </c>
      <c r="K30" s="17">
        <v>2.84170912150906</v>
      </c>
      <c r="L30" s="17">
        <v>7.4275950671451403</v>
      </c>
      <c r="M30" s="17">
        <v>0.64131203974235795</v>
      </c>
      <c r="N30" s="17">
        <v>1.8177524243874801</v>
      </c>
      <c r="O30" s="17">
        <v>2.1459697714072399</v>
      </c>
      <c r="P30" s="17">
        <v>2.80125512812644</v>
      </c>
      <c r="Q30" s="17">
        <v>4.7168027712099398</v>
      </c>
      <c r="R30" s="17">
        <v>6.55358774067318</v>
      </c>
      <c r="S30" s="17">
        <v>2.0561664618986599</v>
      </c>
      <c r="T30" s="17">
        <v>6.7706521474686197</v>
      </c>
      <c r="U30" s="17">
        <v>3.8901429165363401</v>
      </c>
      <c r="V30" s="17" t="s">
        <v>44</v>
      </c>
      <c r="W30" s="17">
        <v>2.8196493274316201</v>
      </c>
      <c r="X30" s="17">
        <v>1.98967074437271</v>
      </c>
      <c r="Y30" s="17">
        <v>7.01187287454459</v>
      </c>
      <c r="Z30" s="17">
        <v>9.45333555303902</v>
      </c>
      <c r="AA30" s="17">
        <v>1.6305576360223999</v>
      </c>
      <c r="AB30" s="17">
        <v>2.48435674577614</v>
      </c>
    </row>
    <row r="31" spans="1:28" x14ac:dyDescent="0.2">
      <c r="A31" s="17">
        <f t="shared" si="0"/>
        <v>4.4517574237549722</v>
      </c>
      <c r="B31" s="17">
        <v>27</v>
      </c>
      <c r="C31" s="17">
        <v>4.7513511363879397</v>
      </c>
      <c r="D31" s="17">
        <v>1.21257716246352</v>
      </c>
      <c r="E31" s="17">
        <v>2.0492365825407401</v>
      </c>
      <c r="F31" s="17">
        <v>3.9662950500071301</v>
      </c>
      <c r="G31" s="17">
        <v>2.3767436442644501</v>
      </c>
      <c r="H31" s="17">
        <v>3.88337708513644</v>
      </c>
      <c r="I31" s="17">
        <v>7.7801176357160697</v>
      </c>
      <c r="J31" s="17">
        <v>3.55904024623496</v>
      </c>
      <c r="K31" s="17">
        <v>6.06043624530869</v>
      </c>
      <c r="L31" s="17">
        <v>4.7824922758790001</v>
      </c>
      <c r="M31" s="17">
        <v>7.5926167909247004</v>
      </c>
      <c r="N31" s="17">
        <v>3.9436834367592102</v>
      </c>
      <c r="O31" s="17">
        <v>1.35989138771809</v>
      </c>
      <c r="P31" s="17">
        <v>6.1831696415004096</v>
      </c>
      <c r="Q31" s="17">
        <v>8.3602612718317904</v>
      </c>
      <c r="R31" s="17">
        <v>4.1331452450015203</v>
      </c>
      <c r="S31" s="17">
        <v>3.2527335935087902</v>
      </c>
      <c r="T31" s="17">
        <v>8.6897578743727006</v>
      </c>
      <c r="U31" s="17">
        <v>4.0215331190870804</v>
      </c>
      <c r="V31" s="17">
        <v>1.5186359328333101</v>
      </c>
      <c r="W31" s="17">
        <v>4.4133225549334796</v>
      </c>
      <c r="X31" s="17">
        <v>4.7054461936658996</v>
      </c>
      <c r="Y31" s="17">
        <v>3.3615970139059899</v>
      </c>
      <c r="Z31" s="17">
        <v>4.73433957487567</v>
      </c>
      <c r="AA31" s="17">
        <v>3.1265373567633699</v>
      </c>
      <c r="AB31" s="17">
        <v>6.2269486786412998</v>
      </c>
    </row>
    <row r="32" spans="1:28" x14ac:dyDescent="0.2">
      <c r="A32" s="17">
        <f t="shared" si="0"/>
        <v>5.2428241605138117</v>
      </c>
      <c r="B32" s="17">
        <v>28</v>
      </c>
      <c r="C32" s="17" t="s">
        <v>44</v>
      </c>
      <c r="D32" s="17">
        <v>5.5924808409535398</v>
      </c>
      <c r="E32" s="17">
        <v>5.2550882203780898</v>
      </c>
      <c r="F32" s="17">
        <v>13.0433507138113</v>
      </c>
      <c r="G32" s="17">
        <v>4.0690587357672303</v>
      </c>
      <c r="H32" s="17">
        <v>7.4598282894483701</v>
      </c>
      <c r="I32" s="17">
        <v>2.8518788555588501</v>
      </c>
      <c r="J32" s="17">
        <v>6.1882916732019604</v>
      </c>
      <c r="K32" s="17">
        <v>6.9689982840827502</v>
      </c>
      <c r="L32" s="17" t="s">
        <v>44</v>
      </c>
      <c r="M32" s="17" t="s">
        <v>44</v>
      </c>
      <c r="N32" s="17">
        <v>3.5031702879100202</v>
      </c>
      <c r="O32" s="17">
        <v>1.85185689381438</v>
      </c>
      <c r="P32" s="17" t="s">
        <v>44</v>
      </c>
      <c r="Q32" s="17" t="s">
        <v>44</v>
      </c>
      <c r="R32" s="17">
        <v>6.1703253081762304</v>
      </c>
      <c r="S32" s="17">
        <v>3.1206775496370698</v>
      </c>
      <c r="T32" s="17">
        <v>11.4496896648918</v>
      </c>
      <c r="U32" s="17">
        <v>3.3082316829973002</v>
      </c>
      <c r="V32" s="17">
        <v>1.8668357924965899</v>
      </c>
      <c r="W32" s="17">
        <v>3.89701149342467</v>
      </c>
      <c r="X32" s="17">
        <v>5.7704280941475696</v>
      </c>
      <c r="Y32" s="17">
        <v>2.4058350457625299</v>
      </c>
      <c r="Z32" s="17">
        <v>6.74400516802746</v>
      </c>
      <c r="AA32" s="17" t="s">
        <v>44</v>
      </c>
      <c r="AB32" s="17">
        <v>3.3394406157885199</v>
      </c>
    </row>
    <row r="33" spans="1:29" x14ac:dyDescent="0.2">
      <c r="A33" s="17">
        <f t="shared" si="0"/>
        <v>4.4018483966287212</v>
      </c>
      <c r="B33" s="17">
        <v>29</v>
      </c>
      <c r="C33" s="17" t="s">
        <v>44</v>
      </c>
      <c r="D33" s="17">
        <v>8.6423441534121501</v>
      </c>
      <c r="E33" s="17">
        <v>1.4237460585867501</v>
      </c>
      <c r="F33" s="17">
        <v>9.7568452460586705</v>
      </c>
      <c r="G33" s="17">
        <v>3.6037847684250299</v>
      </c>
      <c r="H33" s="17">
        <v>1.89549481771912</v>
      </c>
      <c r="I33" s="17">
        <v>2.5296701566305102</v>
      </c>
      <c r="J33" s="17">
        <v>0.36776696429650302</v>
      </c>
      <c r="K33" s="17">
        <v>1.32283347067137</v>
      </c>
      <c r="L33" s="17">
        <v>5.9235823778386303</v>
      </c>
      <c r="M33" s="17">
        <v>2.2262863532641499</v>
      </c>
      <c r="N33" s="17">
        <v>2.8241471457098899</v>
      </c>
      <c r="O33" s="17">
        <v>9.3694502672626694</v>
      </c>
      <c r="P33" s="17">
        <v>3.3152002348577398</v>
      </c>
      <c r="Q33" s="17">
        <v>3.7494137678774599</v>
      </c>
      <c r="R33" s="17">
        <v>3.1820311598413702</v>
      </c>
      <c r="S33" s="17">
        <v>4.3392531511292498</v>
      </c>
      <c r="T33" s="17">
        <v>0.97299951958007902</v>
      </c>
      <c r="U33" s="17">
        <v>8.5016402445754</v>
      </c>
      <c r="V33" s="17">
        <v>11.3474070425499</v>
      </c>
      <c r="W33" s="17">
        <v>1.5618618532283599</v>
      </c>
      <c r="X33" s="17">
        <v>4.9934903374698001</v>
      </c>
      <c r="Y33" s="17">
        <v>5.9489378442499303</v>
      </c>
      <c r="Z33" s="17">
        <v>6.4880316182691598</v>
      </c>
      <c r="AA33" s="17">
        <v>4.0930191105935299</v>
      </c>
      <c r="AB33" s="17">
        <v>1.66697225162061</v>
      </c>
    </row>
    <row r="34" spans="1:29" x14ac:dyDescent="0.2">
      <c r="A34" s="17">
        <f t="shared" si="0"/>
        <v>3.7315038549996036</v>
      </c>
      <c r="B34" s="17">
        <v>30</v>
      </c>
      <c r="C34" s="17">
        <v>7.7916300979079898</v>
      </c>
      <c r="D34" s="17">
        <v>1.0650443392693001</v>
      </c>
      <c r="E34" s="17">
        <v>2.4129747657248202</v>
      </c>
      <c r="F34" s="17" t="s">
        <v>44</v>
      </c>
      <c r="G34" s="17">
        <v>4.5676947398604204</v>
      </c>
      <c r="H34" s="17">
        <v>4.2770257635258799</v>
      </c>
      <c r="I34" s="17">
        <v>3.6348249458761499</v>
      </c>
      <c r="J34" s="17">
        <v>2.3156677197837898</v>
      </c>
      <c r="K34" s="17">
        <v>0.78666747484736899</v>
      </c>
      <c r="L34" s="17" t="s">
        <v>44</v>
      </c>
      <c r="M34" s="17">
        <v>4.0366428745407399</v>
      </c>
      <c r="N34" s="17">
        <v>4.0080516334820304</v>
      </c>
      <c r="O34" s="17">
        <v>1.88741168365011</v>
      </c>
      <c r="P34" s="17">
        <v>4.6298782792311997</v>
      </c>
      <c r="Q34" s="17">
        <v>3.9271115931623699</v>
      </c>
      <c r="R34" s="17">
        <v>1.3518378548888399</v>
      </c>
      <c r="S34" s="17">
        <v>5.21964332753027</v>
      </c>
      <c r="T34" s="17">
        <v>4.4451429978204704</v>
      </c>
      <c r="U34" s="17">
        <v>5.4670873598593204</v>
      </c>
      <c r="V34" s="17">
        <v>3.4367425297798802</v>
      </c>
      <c r="W34" s="17">
        <v>6.0371713258061197</v>
      </c>
      <c r="X34" s="17">
        <v>1.9177432737378299</v>
      </c>
      <c r="Y34" s="17">
        <v>2.4423186430823201</v>
      </c>
      <c r="Z34" s="17">
        <v>2.76643179643919</v>
      </c>
      <c r="AA34" s="17">
        <v>7.3726145001675798</v>
      </c>
      <c r="AB34" s="17">
        <v>7.8188592429248702</v>
      </c>
    </row>
    <row r="35" spans="1:29" x14ac:dyDescent="0.2">
      <c r="A35" s="17">
        <f t="shared" si="0"/>
        <v>4.1467623358957937</v>
      </c>
      <c r="B35" s="17">
        <v>31</v>
      </c>
      <c r="C35" s="17">
        <v>4.2303707089042097</v>
      </c>
      <c r="D35" s="17">
        <v>7.5283121988805899</v>
      </c>
      <c r="E35" s="17">
        <v>2.3913304194648801</v>
      </c>
      <c r="F35" s="17">
        <v>4.7597730024540601</v>
      </c>
      <c r="G35" s="17">
        <v>2.36295268986634</v>
      </c>
      <c r="H35" s="17" t="s">
        <v>44</v>
      </c>
      <c r="I35" s="17">
        <v>0.79765239806376498</v>
      </c>
      <c r="J35" s="17">
        <v>5.5220666846011301</v>
      </c>
      <c r="K35" s="17">
        <v>12.03127609331</v>
      </c>
      <c r="L35" s="17">
        <v>3.1249269812176901</v>
      </c>
      <c r="M35" s="17">
        <v>1.2171320166608399</v>
      </c>
      <c r="N35" s="17">
        <v>6.2719197254881598</v>
      </c>
      <c r="O35" s="17" t="s">
        <v>44</v>
      </c>
      <c r="P35" s="17">
        <v>4.3122874220752196</v>
      </c>
      <c r="Q35" s="17" t="s">
        <v>44</v>
      </c>
      <c r="R35" s="17">
        <v>1.1882968617676299</v>
      </c>
      <c r="S35" s="17">
        <v>1.52761545109601</v>
      </c>
      <c r="T35" s="17">
        <v>5.1144179713787903</v>
      </c>
      <c r="U35" s="17">
        <v>1.3337914549558001</v>
      </c>
      <c r="V35" s="17">
        <v>4.4349093580942203</v>
      </c>
      <c r="W35" s="17">
        <v>2.9630881129911502</v>
      </c>
      <c r="X35" s="17">
        <v>4.4556867856492204</v>
      </c>
      <c r="Y35" s="17">
        <v>5.9778855566856803</v>
      </c>
      <c r="Z35" s="17">
        <v>6.1182334202546897</v>
      </c>
      <c r="AA35" s="17">
        <v>3.64845444885579</v>
      </c>
      <c r="AB35" s="17" t="s">
        <v>44</v>
      </c>
    </row>
    <row r="36" spans="1:29" x14ac:dyDescent="0.2">
      <c r="A36" s="17">
        <f t="shared" si="0"/>
        <v>3.3201605108160925</v>
      </c>
      <c r="B36" s="17">
        <v>32</v>
      </c>
      <c r="C36" s="17">
        <v>1.36423743295165</v>
      </c>
      <c r="D36" s="17" t="s">
        <v>44</v>
      </c>
      <c r="E36" s="17">
        <v>4.3682004177528198</v>
      </c>
      <c r="F36" s="17">
        <v>8.2922355574568201</v>
      </c>
      <c r="G36" s="17">
        <v>3.4058224818551199</v>
      </c>
      <c r="H36" s="17" t="s">
        <v>44</v>
      </c>
      <c r="I36" s="17">
        <v>3.0322677434769001</v>
      </c>
      <c r="J36" s="17">
        <v>2.9936487833082199</v>
      </c>
      <c r="K36" s="17">
        <v>2.2362442994318399</v>
      </c>
      <c r="L36" s="17">
        <v>2.5839850363525998</v>
      </c>
      <c r="M36" s="17">
        <v>3.0375838239522399</v>
      </c>
      <c r="N36" s="17">
        <v>1.2301863817771399</v>
      </c>
      <c r="O36" s="17" t="s">
        <v>44</v>
      </c>
      <c r="P36" s="17" t="s">
        <v>44</v>
      </c>
      <c r="Q36" s="17">
        <v>4.3619817351870296</v>
      </c>
      <c r="R36" s="17">
        <v>5.7044960486631302</v>
      </c>
      <c r="S36" s="17">
        <v>5.0215525930038503</v>
      </c>
      <c r="T36" s="17" t="s">
        <v>44</v>
      </c>
      <c r="U36" s="17">
        <v>2.0761373010347399</v>
      </c>
      <c r="V36" s="17">
        <v>2.3359266174054998</v>
      </c>
      <c r="W36" s="17">
        <v>1.5106118273490801</v>
      </c>
      <c r="X36" s="17">
        <v>1.90708708567443</v>
      </c>
      <c r="Y36" s="17">
        <v>3.9209480767727398</v>
      </c>
      <c r="Z36" s="17">
        <v>3.8029265007800501</v>
      </c>
      <c r="AA36" s="17">
        <v>2.25424345157559</v>
      </c>
      <c r="AB36" s="17">
        <v>2.3271244535119999</v>
      </c>
    </row>
    <row r="37" spans="1:29" x14ac:dyDescent="0.2">
      <c r="A37" s="17">
        <f t="shared" si="0"/>
        <v>4.5999435312528574</v>
      </c>
      <c r="B37" s="17">
        <v>33</v>
      </c>
      <c r="C37" s="17">
        <v>5.9793133153173104</v>
      </c>
      <c r="D37" s="17">
        <v>5.8554398967012498</v>
      </c>
      <c r="E37" s="17">
        <v>5.2874582116858999</v>
      </c>
      <c r="F37" s="17">
        <v>8.0501993179793505</v>
      </c>
      <c r="G37" s="17">
        <v>7.7504638085549002</v>
      </c>
      <c r="H37" s="17">
        <v>3.0220568000975301</v>
      </c>
      <c r="I37" s="17">
        <v>5.8842209018389902</v>
      </c>
      <c r="J37" s="17">
        <v>5.5168064502640304</v>
      </c>
      <c r="K37" s="17" t="s">
        <v>44</v>
      </c>
      <c r="L37" s="17">
        <v>8.5931784293658708</v>
      </c>
      <c r="M37" s="17" t="s">
        <v>44</v>
      </c>
      <c r="N37" s="17">
        <v>5.9711916539952501</v>
      </c>
      <c r="O37" s="17">
        <v>4.4468227742469502</v>
      </c>
      <c r="P37" s="17">
        <v>1.7835399126787499</v>
      </c>
      <c r="Q37" s="17">
        <v>2.13246211576516</v>
      </c>
      <c r="R37" s="17">
        <v>5.0813370464045002</v>
      </c>
      <c r="S37" s="17">
        <v>2.79571312803396</v>
      </c>
      <c r="T37" s="17">
        <v>2.0140840908403299</v>
      </c>
      <c r="U37" s="17">
        <v>6.08549427578403</v>
      </c>
      <c r="V37" s="17">
        <v>2.6667858357849101</v>
      </c>
      <c r="W37" s="17" t="s">
        <v>44</v>
      </c>
      <c r="X37" s="17">
        <v>5.9015255664513004</v>
      </c>
      <c r="Y37" s="17">
        <v>3.6183311034357999</v>
      </c>
      <c r="Z37" s="17">
        <v>5.3225077835307602</v>
      </c>
      <c r="AA37" s="17">
        <v>1.4717411188538201</v>
      </c>
      <c r="AB37" s="17">
        <v>1.9473974652695201</v>
      </c>
    </row>
    <row r="38" spans="1:29" x14ac:dyDescent="0.2">
      <c r="A38" s="17">
        <f t="shared" si="0"/>
        <v>6.8017878117639663</v>
      </c>
      <c r="B38" s="17">
        <v>34</v>
      </c>
      <c r="C38" s="17" t="s">
        <v>44</v>
      </c>
      <c r="D38" s="17">
        <v>2.9090302583159202</v>
      </c>
      <c r="E38" s="17">
        <v>6.7586543921807802</v>
      </c>
      <c r="F38" s="17">
        <v>10.6928220441607</v>
      </c>
      <c r="G38" s="17">
        <v>4.8307461033740804</v>
      </c>
      <c r="H38" s="17">
        <v>20.638897366597401</v>
      </c>
      <c r="I38" s="17">
        <v>3.3974611766940201</v>
      </c>
      <c r="J38" s="17">
        <v>5.6970676064990897</v>
      </c>
      <c r="K38" s="17">
        <v>0.22052970835608299</v>
      </c>
      <c r="L38" s="17">
        <v>6.49399170319814</v>
      </c>
      <c r="M38" s="17">
        <v>8.4226147930039303</v>
      </c>
      <c r="N38" s="17">
        <v>8.7181859659683099</v>
      </c>
      <c r="O38" s="17">
        <v>4.4243957222340997</v>
      </c>
      <c r="P38" s="17">
        <v>12.4208656913193</v>
      </c>
      <c r="Q38" s="17">
        <v>2.6359097276908998</v>
      </c>
      <c r="R38" s="17">
        <v>12.028027555938399</v>
      </c>
      <c r="S38" s="17">
        <v>2.5177548471535101</v>
      </c>
      <c r="T38" s="17">
        <v>3.4154707009165599</v>
      </c>
      <c r="U38" s="17" t="s">
        <v>44</v>
      </c>
      <c r="V38" s="17">
        <v>6.3813747040735</v>
      </c>
      <c r="W38" s="17">
        <v>4.5316969368275402</v>
      </c>
      <c r="X38" s="17">
        <v>9.7245498678862106</v>
      </c>
      <c r="Y38" s="17">
        <v>2.6664285400007399</v>
      </c>
      <c r="Z38" s="17">
        <v>16.154174786227301</v>
      </c>
      <c r="AA38" s="17">
        <v>4.0971714501279903</v>
      </c>
      <c r="AB38" s="17">
        <v>3.46508583359071</v>
      </c>
    </row>
    <row r="39" spans="1:29" x14ac:dyDescent="0.2">
      <c r="A39" s="17">
        <f t="shared" si="0"/>
        <v>4.1783066276571832</v>
      </c>
      <c r="B39" s="17">
        <v>35</v>
      </c>
      <c r="C39" s="17" t="s">
        <v>44</v>
      </c>
      <c r="D39" s="17" t="s">
        <v>44</v>
      </c>
      <c r="E39" s="17">
        <v>5.2347587297267602</v>
      </c>
      <c r="F39" s="17">
        <v>13.852492806396899</v>
      </c>
      <c r="G39" s="17">
        <v>3.7030228954637798</v>
      </c>
      <c r="H39" s="17" t="s">
        <v>44</v>
      </c>
      <c r="I39" s="17">
        <v>3.49059589055486</v>
      </c>
      <c r="J39" s="17">
        <v>2.9113852190435598</v>
      </c>
      <c r="K39" s="17">
        <v>3.5238364644127498</v>
      </c>
      <c r="L39" s="17">
        <v>4.2383768769460799</v>
      </c>
      <c r="M39" s="17" t="s">
        <v>44</v>
      </c>
      <c r="N39" s="17" t="s">
        <v>44</v>
      </c>
      <c r="O39" s="17" t="s">
        <v>44</v>
      </c>
      <c r="P39" s="17">
        <v>6.5077101357073799</v>
      </c>
      <c r="Q39" s="17">
        <v>4.3317474517112302</v>
      </c>
      <c r="R39" s="17" t="s">
        <v>44</v>
      </c>
      <c r="S39" s="17">
        <v>4.8030757729001401</v>
      </c>
      <c r="T39" s="17">
        <v>4.9463665315884002</v>
      </c>
      <c r="U39" s="17">
        <v>8.39767285071032</v>
      </c>
      <c r="V39" s="17">
        <v>1.58937598165576</v>
      </c>
      <c r="W39" s="17">
        <v>1.60585298757226</v>
      </c>
      <c r="X39" s="17">
        <v>1.99197724512168</v>
      </c>
      <c r="Y39" s="17">
        <v>1.98009177271307</v>
      </c>
      <c r="Z39" s="17" t="s">
        <v>44</v>
      </c>
      <c r="AA39" s="17">
        <v>0.51354779323326905</v>
      </c>
      <c r="AB39" s="17">
        <v>1.5876318923711099</v>
      </c>
    </row>
    <row r="40" spans="1:29" x14ac:dyDescent="0.2">
      <c r="A40" s="17">
        <f t="shared" si="0"/>
        <v>5.2073232968104053</v>
      </c>
      <c r="B40" s="17">
        <v>36</v>
      </c>
      <c r="C40" s="17" t="s">
        <v>44</v>
      </c>
      <c r="D40" s="17">
        <v>3.2358275981101099</v>
      </c>
      <c r="E40" s="17">
        <v>12.8718111223</v>
      </c>
      <c r="F40" s="17">
        <v>5.2483853515900902</v>
      </c>
      <c r="G40" s="17">
        <v>7.6770180546226001</v>
      </c>
      <c r="H40" s="17">
        <v>16.595659976210101</v>
      </c>
      <c r="I40" s="17">
        <v>6.8060293850966502</v>
      </c>
      <c r="J40" s="17">
        <v>7.3279679904024997</v>
      </c>
      <c r="K40" s="17">
        <v>6.6250381257301703</v>
      </c>
      <c r="L40" s="17">
        <v>2.81753180000368</v>
      </c>
      <c r="M40" s="17">
        <v>1.7264271885718001</v>
      </c>
      <c r="N40" s="17">
        <v>3.1452544946118701</v>
      </c>
      <c r="O40" s="17">
        <v>1.44631117644229</v>
      </c>
      <c r="P40" s="17">
        <v>6.4236424732331496</v>
      </c>
      <c r="Q40" s="17">
        <v>6.40123382987192</v>
      </c>
      <c r="R40" s="17">
        <v>2.3438391447693498</v>
      </c>
      <c r="S40" s="17">
        <v>1.87753733022474</v>
      </c>
      <c r="T40" s="17">
        <v>3.46464846922742</v>
      </c>
      <c r="U40" s="17">
        <v>0.108722104297618</v>
      </c>
      <c r="V40" s="17">
        <v>9.1578939693317398</v>
      </c>
      <c r="W40" s="17" t="s">
        <v>44</v>
      </c>
      <c r="X40" s="17">
        <v>4.6849711530809799</v>
      </c>
      <c r="Y40" s="17">
        <v>3.5354527661517201</v>
      </c>
      <c r="Z40" s="17">
        <v>4.5084060668482397</v>
      </c>
      <c r="AA40" s="17">
        <v>3.5913761850309101</v>
      </c>
      <c r="AB40" s="17">
        <v>3.3547733676900799</v>
      </c>
    </row>
    <row r="41" spans="1:29" x14ac:dyDescent="0.2">
      <c r="A41" s="17">
        <f t="shared" si="0"/>
        <v>5.3603612514550392</v>
      </c>
      <c r="B41" s="17">
        <v>37</v>
      </c>
      <c r="C41" s="17" t="s">
        <v>44</v>
      </c>
      <c r="D41" s="17">
        <v>7.74813861953879</v>
      </c>
      <c r="E41" s="17">
        <v>4.8149747160844001</v>
      </c>
      <c r="F41" s="17">
        <v>4.31303684898523</v>
      </c>
      <c r="G41" s="17">
        <v>3.4213468483941099</v>
      </c>
      <c r="H41" s="17">
        <v>0.87621039520445398</v>
      </c>
      <c r="I41" s="17">
        <v>3.5052507806136202</v>
      </c>
      <c r="J41" s="17">
        <v>6.0345093936502598</v>
      </c>
      <c r="K41" s="17" t="s">
        <v>44</v>
      </c>
      <c r="L41" s="17">
        <v>5.11459270219994</v>
      </c>
      <c r="M41" s="17" t="s">
        <v>44</v>
      </c>
      <c r="N41" s="17">
        <v>8.1737060413362492</v>
      </c>
      <c r="O41" s="17">
        <v>2.38317810562932</v>
      </c>
      <c r="P41" s="17">
        <v>12.835207269219699</v>
      </c>
      <c r="Q41" s="17">
        <v>7.1304474873608497</v>
      </c>
      <c r="R41" s="17">
        <v>7.2934246215156699</v>
      </c>
      <c r="S41" s="17">
        <v>4.2050974298452601</v>
      </c>
      <c r="T41" s="17">
        <v>3.0825632525860902</v>
      </c>
      <c r="U41" s="17">
        <v>4.3821720796927499</v>
      </c>
      <c r="V41" s="17">
        <v>5.81228468287898</v>
      </c>
      <c r="W41" s="17" t="s">
        <v>44</v>
      </c>
      <c r="X41" s="17" t="s">
        <v>44</v>
      </c>
      <c r="Y41" s="17" t="s">
        <v>44</v>
      </c>
      <c r="Z41" s="17" t="s">
        <v>44</v>
      </c>
      <c r="AA41" s="17" t="s">
        <v>44</v>
      </c>
      <c r="AB41" s="17" t="s">
        <v>44</v>
      </c>
    </row>
    <row r="42" spans="1:29" x14ac:dyDescent="0.2">
      <c r="A42" s="17">
        <f t="shared" si="0"/>
        <v>5.2184899455700249</v>
      </c>
      <c r="B42" s="17">
        <v>38</v>
      </c>
      <c r="C42" s="17">
        <v>3.7569268433693401</v>
      </c>
      <c r="D42" s="17">
        <v>6.1123923450779403</v>
      </c>
      <c r="E42" s="17">
        <v>2.1214455949189599</v>
      </c>
      <c r="F42" s="17">
        <v>12.963849039995001</v>
      </c>
      <c r="G42" s="17">
        <v>0.21692042456475999</v>
      </c>
      <c r="H42" s="17">
        <v>0.81869681165408403</v>
      </c>
      <c r="I42" s="17">
        <v>4.0722315984064803</v>
      </c>
      <c r="J42" s="17">
        <v>1.56825622526818</v>
      </c>
      <c r="K42" s="17">
        <v>4.4335417975828504</v>
      </c>
      <c r="L42" s="17">
        <v>15.7211310980598</v>
      </c>
      <c r="M42" s="17">
        <v>5.0425802389676804</v>
      </c>
      <c r="N42" s="17">
        <v>3.9540678133811098</v>
      </c>
      <c r="O42" s="17">
        <v>4.4067823454064099</v>
      </c>
      <c r="P42" s="17">
        <v>10.1236196327526</v>
      </c>
      <c r="Q42" s="17">
        <v>5.0237420683395904</v>
      </c>
      <c r="R42" s="17">
        <v>11.532632622146201</v>
      </c>
      <c r="S42" s="17">
        <v>1.3969359152554199</v>
      </c>
      <c r="T42" s="17">
        <v>6.1058256388099004</v>
      </c>
      <c r="U42" s="17">
        <v>2.4630459327688401</v>
      </c>
      <c r="V42" s="17" t="s">
        <v>44</v>
      </c>
      <c r="W42" s="17">
        <v>8.8306170366035897</v>
      </c>
      <c r="X42" s="17">
        <v>7.7564351493379604</v>
      </c>
      <c r="Y42" s="17">
        <v>3.84633491855439</v>
      </c>
      <c r="Z42" s="17">
        <v>5.2233339549790001</v>
      </c>
      <c r="AA42" s="17">
        <v>1.2720481722866801</v>
      </c>
      <c r="AB42" s="17">
        <v>0.23729231856320901</v>
      </c>
    </row>
    <row r="43" spans="1:29" x14ac:dyDescent="0.2">
      <c r="A43" s="17">
        <f t="shared" si="0"/>
        <v>4.3620988643324843</v>
      </c>
      <c r="B43" s="17">
        <v>39</v>
      </c>
      <c r="C43" s="17">
        <v>8.1850346155247706</v>
      </c>
      <c r="D43" s="17">
        <v>3.3980610570084702</v>
      </c>
      <c r="E43" s="17">
        <v>5.6025991115053504</v>
      </c>
      <c r="F43" s="17">
        <v>4.9955779385978802</v>
      </c>
      <c r="G43" s="17">
        <v>4.9005297338632596</v>
      </c>
      <c r="H43" s="17">
        <v>1.2392899901315</v>
      </c>
      <c r="I43" s="17">
        <v>2.7300297355407301</v>
      </c>
      <c r="J43" s="17">
        <v>2.6000637646615599</v>
      </c>
      <c r="K43" s="17">
        <v>1.68208231736465</v>
      </c>
      <c r="L43" s="17">
        <v>6.1017926274162804</v>
      </c>
      <c r="M43" s="17">
        <v>6.8291880714671302</v>
      </c>
      <c r="N43" s="17">
        <v>7.5423069578996804</v>
      </c>
      <c r="O43" s="17">
        <v>3.9839954887590099</v>
      </c>
      <c r="P43" s="17">
        <v>7.08290684047335</v>
      </c>
      <c r="Q43" s="17">
        <v>0.76488811625893505</v>
      </c>
      <c r="R43" s="17">
        <v>3.8416439787394001</v>
      </c>
      <c r="S43" s="17">
        <v>8.1309849809874102</v>
      </c>
      <c r="T43" s="17">
        <v>5.8947661117012702</v>
      </c>
      <c r="U43" s="17" t="s">
        <v>44</v>
      </c>
      <c r="V43" s="17" t="s">
        <v>44</v>
      </c>
      <c r="W43" s="17">
        <v>0.76669892137366902</v>
      </c>
      <c r="X43" s="17" t="s">
        <v>44</v>
      </c>
      <c r="Y43" s="17" t="s">
        <v>44</v>
      </c>
      <c r="Z43" s="17">
        <v>4.7924726785676599</v>
      </c>
      <c r="AA43" s="17" t="s">
        <v>44</v>
      </c>
      <c r="AB43" s="17" t="s">
        <v>44</v>
      </c>
    </row>
    <row r="45" spans="1:29" x14ac:dyDescent="0.2">
      <c r="C45" s="17">
        <f>AVERAGE(C5:C43)</f>
        <v>5.4310745663320326</v>
      </c>
      <c r="D45" s="17">
        <f t="shared" ref="D45:AC45" si="1">AVERAGE(D5:D43)</f>
        <v>5.3210504268845016</v>
      </c>
      <c r="E45" s="17">
        <f t="shared" si="1"/>
        <v>4.0854139022812763</v>
      </c>
      <c r="F45" s="17">
        <f t="shared" si="1"/>
        <v>5.8179474579557882</v>
      </c>
      <c r="G45" s="17">
        <f t="shared" si="1"/>
        <v>3.5082134835530994</v>
      </c>
      <c r="H45" s="17">
        <f t="shared" si="1"/>
        <v>5.5654027284960348</v>
      </c>
      <c r="I45" s="17">
        <f t="shared" si="1"/>
        <v>3.7749427332324683</v>
      </c>
      <c r="J45" s="17">
        <f t="shared" si="1"/>
        <v>4.2602275112654642</v>
      </c>
      <c r="K45" s="17">
        <f t="shared" si="1"/>
        <v>3.656798438229091</v>
      </c>
      <c r="L45" s="17">
        <f t="shared" si="1"/>
        <v>4.3412605441080832</v>
      </c>
      <c r="M45" s="17">
        <f t="shared" si="1"/>
        <v>3.4119929879945095</v>
      </c>
      <c r="N45" s="17">
        <f t="shared" si="1"/>
        <v>4.5343571987591762</v>
      </c>
      <c r="O45" s="17">
        <f t="shared" si="1"/>
        <v>3.6167331844015922</v>
      </c>
      <c r="P45" s="17">
        <f t="shared" si="1"/>
        <v>5.463688257722211</v>
      </c>
      <c r="Q45" s="17">
        <f t="shared" si="1"/>
        <v>5.1310460963274291</v>
      </c>
      <c r="R45" s="17">
        <f t="shared" si="1"/>
        <v>4.9508852409799413</v>
      </c>
      <c r="S45" s="17">
        <f t="shared" si="1"/>
        <v>4.3395823050890217</v>
      </c>
      <c r="T45" s="17">
        <f t="shared" si="1"/>
        <v>5.3976718670926296</v>
      </c>
      <c r="U45" s="17">
        <f t="shared" si="1"/>
        <v>3.3702450328589242</v>
      </c>
      <c r="V45" s="17">
        <f t="shared" si="1"/>
        <v>3.9973561234578008</v>
      </c>
      <c r="W45" s="17">
        <f t="shared" si="1"/>
        <v>3.5965921775555776</v>
      </c>
      <c r="X45" s="17">
        <f t="shared" si="1"/>
        <v>4.7194939155993403</v>
      </c>
      <c r="Y45" s="17">
        <f t="shared" si="1"/>
        <v>3.6804820434403944</v>
      </c>
      <c r="Z45" s="17">
        <f t="shared" si="1"/>
        <v>5.6462363799668998</v>
      </c>
      <c r="AA45" s="17">
        <f t="shared" si="1"/>
        <v>3.7873155853060392</v>
      </c>
      <c r="AB45" s="17">
        <f t="shared" si="1"/>
        <v>3.3373165216842735</v>
      </c>
      <c r="AC45" s="17" t="e">
        <f t="shared" si="1"/>
        <v>#DIV/0!</v>
      </c>
    </row>
  </sheetData>
  <phoneticPr fontId="1" type="noConversion"/>
  <conditionalFormatting sqref="A4:A43">
    <cfRule type="aboveAverage" dxfId="1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7273-6075-4754-8088-D9952B3AF17B}">
  <dimension ref="A1:AC45"/>
  <sheetViews>
    <sheetView workbookViewId="0">
      <selection activeCell="V5" sqref="C5:V43"/>
    </sheetView>
  </sheetViews>
  <sheetFormatPr defaultColWidth="8.625" defaultRowHeight="11.25" x14ac:dyDescent="0.2"/>
  <cols>
    <col min="1" max="2" width="8.625" style="17"/>
    <col min="3" max="3" width="8.625" style="17" customWidth="1"/>
    <col min="4" max="16384" width="8.625" style="17"/>
  </cols>
  <sheetData>
    <row r="1" spans="1:29" s="9" customFormat="1" x14ac:dyDescent="0.2">
      <c r="B1" s="9" t="s">
        <v>46</v>
      </c>
      <c r="C1" s="10">
        <v>2</v>
      </c>
      <c r="D1" s="10">
        <v>11</v>
      </c>
      <c r="E1" s="10">
        <v>12</v>
      </c>
      <c r="F1" s="10">
        <v>18</v>
      </c>
      <c r="G1" s="10">
        <v>15</v>
      </c>
      <c r="H1" s="10">
        <v>3</v>
      </c>
      <c r="I1" s="10">
        <v>20</v>
      </c>
      <c r="J1" s="10">
        <v>19</v>
      </c>
      <c r="K1" s="10">
        <v>7</v>
      </c>
      <c r="L1" s="10">
        <v>8</v>
      </c>
      <c r="M1" s="10">
        <v>1</v>
      </c>
      <c r="N1" s="10">
        <v>16</v>
      </c>
      <c r="O1" s="10">
        <v>9</v>
      </c>
      <c r="P1" s="10">
        <v>4</v>
      </c>
      <c r="Q1" s="10">
        <v>5</v>
      </c>
      <c r="R1" s="10">
        <v>13</v>
      </c>
      <c r="S1" s="10">
        <v>17</v>
      </c>
      <c r="T1" s="10">
        <v>14</v>
      </c>
      <c r="U1" s="10">
        <v>10</v>
      </c>
      <c r="V1" s="10">
        <v>6</v>
      </c>
      <c r="W1" s="10"/>
      <c r="X1" s="10"/>
      <c r="Y1" s="10"/>
      <c r="Z1" s="10"/>
      <c r="AA1" s="10"/>
      <c r="AB1" s="10"/>
      <c r="AC1" s="10"/>
    </row>
    <row r="2" spans="1:29" s="9" customFormat="1" x14ac:dyDescent="0.2">
      <c r="B2" s="9" t="s">
        <v>47</v>
      </c>
      <c r="C2" s="10">
        <v>1</v>
      </c>
      <c r="D2" s="11">
        <v>2</v>
      </c>
      <c r="E2" s="11">
        <v>3</v>
      </c>
      <c r="F2" s="12">
        <v>4</v>
      </c>
      <c r="G2" s="13">
        <v>5</v>
      </c>
      <c r="H2" s="14">
        <v>6</v>
      </c>
      <c r="I2" s="10">
        <v>7</v>
      </c>
      <c r="J2" s="12">
        <v>8</v>
      </c>
      <c r="K2" s="15">
        <v>9</v>
      </c>
      <c r="L2" s="15">
        <v>10</v>
      </c>
      <c r="M2" s="16">
        <v>11</v>
      </c>
      <c r="N2" s="13">
        <v>12</v>
      </c>
      <c r="O2" s="15">
        <v>13</v>
      </c>
      <c r="P2" s="14">
        <v>14</v>
      </c>
      <c r="Q2" s="14">
        <v>15</v>
      </c>
      <c r="R2" s="11">
        <v>16</v>
      </c>
      <c r="S2" s="13">
        <v>17</v>
      </c>
      <c r="T2" s="11">
        <v>18</v>
      </c>
      <c r="U2" s="15">
        <v>19</v>
      </c>
      <c r="V2" s="14">
        <v>20</v>
      </c>
      <c r="W2" s="10">
        <v>21</v>
      </c>
      <c r="X2" s="10">
        <v>22</v>
      </c>
      <c r="Y2" s="10">
        <v>23</v>
      </c>
      <c r="Z2" s="10">
        <v>24</v>
      </c>
      <c r="AA2" s="10">
        <v>25</v>
      </c>
      <c r="AB2" s="10">
        <v>26</v>
      </c>
      <c r="AC2" s="10">
        <v>27</v>
      </c>
    </row>
    <row r="3" spans="1:29" s="9" customFormat="1" x14ac:dyDescent="0.2">
      <c r="C3" s="10" t="s">
        <v>0</v>
      </c>
      <c r="D3" s="11" t="s">
        <v>2</v>
      </c>
      <c r="E3" s="11" t="s">
        <v>4</v>
      </c>
      <c r="F3" s="12" t="s">
        <v>6</v>
      </c>
      <c r="G3" s="13" t="s">
        <v>8</v>
      </c>
      <c r="H3" s="14" t="s">
        <v>10</v>
      </c>
      <c r="I3" s="10" t="s">
        <v>12</v>
      </c>
      <c r="J3" s="12" t="s">
        <v>14</v>
      </c>
      <c r="K3" s="15" t="s">
        <v>16</v>
      </c>
      <c r="L3" s="15" t="s">
        <v>18</v>
      </c>
      <c r="M3" s="16" t="s">
        <v>20</v>
      </c>
      <c r="N3" s="13" t="s">
        <v>22</v>
      </c>
      <c r="O3" s="15" t="s">
        <v>24</v>
      </c>
      <c r="P3" s="14" t="s">
        <v>26</v>
      </c>
      <c r="Q3" s="14" t="s">
        <v>28</v>
      </c>
      <c r="R3" s="11" t="s">
        <v>30</v>
      </c>
      <c r="S3" s="13" t="s">
        <v>32</v>
      </c>
      <c r="T3" s="11" t="s">
        <v>34</v>
      </c>
      <c r="U3" s="15" t="s">
        <v>36</v>
      </c>
      <c r="V3" s="14" t="s">
        <v>38</v>
      </c>
      <c r="W3" s="10"/>
      <c r="X3" s="10"/>
      <c r="Y3" s="10"/>
      <c r="Z3" s="10"/>
      <c r="AA3" s="10"/>
      <c r="AB3" s="10"/>
      <c r="AC3" s="10"/>
    </row>
    <row r="4" spans="1:29" s="9" customFormat="1" ht="22.5" x14ac:dyDescent="0.2">
      <c r="A4" s="9" t="s">
        <v>94</v>
      </c>
      <c r="B4" s="17" t="s">
        <v>45</v>
      </c>
      <c r="C4" s="10" t="s">
        <v>1</v>
      </c>
      <c r="D4" s="11" t="s">
        <v>3</v>
      </c>
      <c r="E4" s="11" t="s">
        <v>5</v>
      </c>
      <c r="F4" s="12" t="s">
        <v>7</v>
      </c>
      <c r="G4" s="13" t="s">
        <v>9</v>
      </c>
      <c r="H4" s="14" t="s">
        <v>11</v>
      </c>
      <c r="I4" s="10" t="s">
        <v>13</v>
      </c>
      <c r="J4" s="12" t="s">
        <v>15</v>
      </c>
      <c r="K4" s="15" t="s">
        <v>17</v>
      </c>
      <c r="L4" s="15" t="s">
        <v>19</v>
      </c>
      <c r="M4" s="16" t="s">
        <v>21</v>
      </c>
      <c r="N4" s="13" t="s">
        <v>23</v>
      </c>
      <c r="O4" s="15" t="s">
        <v>25</v>
      </c>
      <c r="P4" s="14" t="s">
        <v>27</v>
      </c>
      <c r="Q4" s="14" t="s">
        <v>29</v>
      </c>
      <c r="R4" s="11" t="s">
        <v>31</v>
      </c>
      <c r="S4" s="13" t="s">
        <v>33</v>
      </c>
      <c r="T4" s="11" t="s">
        <v>35</v>
      </c>
      <c r="U4" s="15" t="s">
        <v>37</v>
      </c>
      <c r="V4" s="14" t="s">
        <v>39</v>
      </c>
      <c r="W4" s="10" t="s">
        <v>42</v>
      </c>
      <c r="X4" s="10" t="s">
        <v>42</v>
      </c>
      <c r="Y4" s="10" t="s">
        <v>42</v>
      </c>
      <c r="Z4" s="10" t="s">
        <v>48</v>
      </c>
      <c r="AA4" s="10" t="s">
        <v>49</v>
      </c>
      <c r="AB4" s="10" t="s">
        <v>50</v>
      </c>
      <c r="AC4" s="10" t="s">
        <v>51</v>
      </c>
    </row>
    <row r="5" spans="1:29" x14ac:dyDescent="0.2">
      <c r="A5" s="17">
        <f>AVERAGE(D5:AC5)</f>
        <v>2.1469248165388102</v>
      </c>
      <c r="B5" s="17">
        <v>1</v>
      </c>
      <c r="C5" s="17" t="s">
        <v>44</v>
      </c>
      <c r="D5" s="17">
        <v>3.4907483654968101</v>
      </c>
      <c r="E5" s="17">
        <v>0.399054315804869</v>
      </c>
      <c r="F5" s="17">
        <v>1.2027285212658401</v>
      </c>
      <c r="G5" s="17">
        <v>1.5373368564565399</v>
      </c>
      <c r="H5" s="17" t="s">
        <v>44</v>
      </c>
      <c r="I5" s="17">
        <v>2.2801501340360799</v>
      </c>
      <c r="J5" s="17">
        <v>8.3005755259191698</v>
      </c>
      <c r="K5" s="17">
        <v>3.73407052179286</v>
      </c>
      <c r="L5" s="17">
        <v>2.0779833255496198</v>
      </c>
      <c r="M5" s="17">
        <v>1.8201664583216901</v>
      </c>
      <c r="N5" s="17">
        <v>1.8751999767948699</v>
      </c>
      <c r="O5" s="17">
        <v>6.4749187080385795E-2</v>
      </c>
      <c r="P5" s="17">
        <v>1.16807886102713</v>
      </c>
      <c r="Q5" s="17">
        <v>2.9454637465809599</v>
      </c>
      <c r="R5" s="17">
        <v>1.8013839231979401</v>
      </c>
      <c r="S5" s="17">
        <v>1.2629658223051099</v>
      </c>
      <c r="T5" s="17">
        <v>0.75232082431599201</v>
      </c>
      <c r="U5" s="17">
        <v>3.70756502519064</v>
      </c>
      <c r="V5" s="17">
        <v>3.28515798869438</v>
      </c>
      <c r="W5" s="17">
        <v>0.89757331226694403</v>
      </c>
      <c r="X5" s="17">
        <v>1.23407131802366</v>
      </c>
      <c r="Y5" s="17">
        <v>3.0017316768070499</v>
      </c>
      <c r="Z5" s="17">
        <v>1.84165952927105</v>
      </c>
      <c r="AA5" s="17">
        <v>1.1631361512785501</v>
      </c>
      <c r="AB5" s="17">
        <v>0.23889078763416099</v>
      </c>
      <c r="AC5" s="17">
        <v>3.5903582583579601</v>
      </c>
    </row>
    <row r="6" spans="1:29" x14ac:dyDescent="0.2">
      <c r="A6" s="17">
        <f t="shared" ref="A6:A43" si="0">AVERAGE(D6:AC6)</f>
        <v>4.677225372815295</v>
      </c>
      <c r="B6" s="17">
        <v>2</v>
      </c>
      <c r="C6" s="17">
        <v>16.384859212302398</v>
      </c>
      <c r="D6" s="17">
        <v>1.2399596544987901</v>
      </c>
      <c r="E6" s="17" t="s">
        <v>44</v>
      </c>
      <c r="F6" s="17">
        <v>0.552080604015877</v>
      </c>
      <c r="G6" s="17" t="s">
        <v>44</v>
      </c>
      <c r="H6" s="17" t="s">
        <v>44</v>
      </c>
      <c r="I6" s="17">
        <v>1.97148603629747</v>
      </c>
      <c r="J6" s="17">
        <v>2.0318391592077498</v>
      </c>
      <c r="K6" s="17">
        <v>2.1362739622255602</v>
      </c>
      <c r="L6" s="17">
        <v>5.9939121838841496</v>
      </c>
      <c r="M6" s="17">
        <v>21.058174400007399</v>
      </c>
      <c r="N6" s="17" t="s">
        <v>44</v>
      </c>
      <c r="O6" s="17" t="s">
        <v>44</v>
      </c>
      <c r="P6" s="17">
        <v>7.3288985433807703</v>
      </c>
      <c r="Q6" s="17">
        <v>9.4476083988508499</v>
      </c>
      <c r="R6" s="17">
        <v>3.9887248840121901</v>
      </c>
      <c r="S6" s="17">
        <v>7.4783804706484602</v>
      </c>
      <c r="T6" s="17">
        <v>3.5915642209704801</v>
      </c>
      <c r="U6" s="17">
        <v>4.0698712370162102</v>
      </c>
      <c r="V6" s="17" t="s">
        <v>44</v>
      </c>
      <c r="W6" s="17" t="s">
        <v>44</v>
      </c>
      <c r="X6" s="17" t="s">
        <v>44</v>
      </c>
      <c r="Y6" s="17" t="s">
        <v>44</v>
      </c>
      <c r="Z6" s="17">
        <v>0.84628462657113901</v>
      </c>
      <c r="AA6" s="17">
        <v>0.68319245250473803</v>
      </c>
      <c r="AB6" s="17">
        <v>0.53564547516870098</v>
      </c>
      <c r="AC6" s="17">
        <v>6.5589350285994801</v>
      </c>
    </row>
    <row r="7" spans="1:29" x14ac:dyDescent="0.2">
      <c r="A7" s="17">
        <f t="shared" si="0"/>
        <v>3.6799793961575844</v>
      </c>
      <c r="B7" s="17">
        <v>3</v>
      </c>
      <c r="C7" s="17">
        <v>7.1687024033521398</v>
      </c>
      <c r="D7" s="17">
        <v>3.4184614254969601</v>
      </c>
      <c r="E7" s="17">
        <v>3.2689843135850101</v>
      </c>
      <c r="F7" s="17">
        <v>2.9810049664229101</v>
      </c>
      <c r="G7" s="17">
        <v>3.2876474342342501</v>
      </c>
      <c r="H7" s="17" t="s">
        <v>44</v>
      </c>
      <c r="I7" s="17">
        <v>1.30076138913291</v>
      </c>
      <c r="J7" s="17">
        <v>1.63044042529253</v>
      </c>
      <c r="K7" s="17">
        <v>1.9674393591127499</v>
      </c>
      <c r="L7" s="17">
        <v>6.76393262388412</v>
      </c>
      <c r="M7" s="17">
        <v>8.0651991993361598</v>
      </c>
      <c r="N7" s="17">
        <v>2.7346218696197302</v>
      </c>
      <c r="O7" s="17" t="s">
        <v>44</v>
      </c>
      <c r="P7" s="17">
        <v>7.4733242145821999</v>
      </c>
      <c r="Q7" s="17">
        <v>6.1723743353952401</v>
      </c>
      <c r="R7" s="17">
        <v>4.4560532676253501</v>
      </c>
      <c r="S7" s="17">
        <v>0.70848462189762595</v>
      </c>
      <c r="T7" s="17">
        <v>3.0744502082330798</v>
      </c>
      <c r="U7" s="17">
        <v>1.33037195305052</v>
      </c>
      <c r="V7" s="17" t="s">
        <v>44</v>
      </c>
      <c r="W7" s="17" t="s">
        <v>44</v>
      </c>
      <c r="X7" s="17">
        <v>1.6837404247357299</v>
      </c>
      <c r="Y7" s="17" t="s">
        <v>44</v>
      </c>
      <c r="Z7" s="17">
        <v>6.1137001588573803</v>
      </c>
      <c r="AA7" s="17">
        <v>4.6898784579305302</v>
      </c>
      <c r="AB7" s="17" t="s">
        <v>44</v>
      </c>
      <c r="AC7" s="17">
        <v>2.4787172747266899</v>
      </c>
    </row>
    <row r="8" spans="1:29" x14ac:dyDescent="0.2">
      <c r="A8" s="17">
        <f t="shared" si="0"/>
        <v>3.7429717888455563</v>
      </c>
      <c r="B8" s="17">
        <v>4</v>
      </c>
      <c r="C8" s="17" t="s">
        <v>44</v>
      </c>
      <c r="D8" s="17">
        <v>1.6611343753790899</v>
      </c>
      <c r="E8" s="17">
        <v>4.0101530001126697</v>
      </c>
      <c r="F8" s="17">
        <v>5.1229414857355398</v>
      </c>
      <c r="G8" s="17">
        <v>1.8236399616907799</v>
      </c>
      <c r="H8" s="17">
        <v>9.2114217232267794</v>
      </c>
      <c r="I8" s="17">
        <v>2.5825624750288299</v>
      </c>
      <c r="J8" s="17">
        <v>6.78086502324261</v>
      </c>
      <c r="K8" s="17">
        <v>2.7463139687179399</v>
      </c>
      <c r="L8" s="17" t="s">
        <v>44</v>
      </c>
      <c r="M8" s="17">
        <v>7.7945037568666802</v>
      </c>
      <c r="N8" s="17">
        <v>4.4867985500218204</v>
      </c>
      <c r="O8" s="17">
        <v>2.1920349037167202</v>
      </c>
      <c r="P8" s="17">
        <v>6.9639238800220697</v>
      </c>
      <c r="Q8" s="17">
        <v>0.92618704604269797</v>
      </c>
      <c r="R8" s="17">
        <v>3.6468010130276798</v>
      </c>
      <c r="S8" s="17">
        <v>1.4581777704335801</v>
      </c>
      <c r="T8" s="17">
        <v>3.0355498989354399</v>
      </c>
      <c r="U8" s="17">
        <v>4.3803965344751497</v>
      </c>
      <c r="V8" s="17">
        <v>3.3936611213250498</v>
      </c>
      <c r="W8" s="17" t="s">
        <v>44</v>
      </c>
      <c r="X8" s="17" t="s">
        <v>44</v>
      </c>
      <c r="Y8" s="17">
        <v>1.51872015529398</v>
      </c>
      <c r="Z8" s="17">
        <v>3.5848270207124502</v>
      </c>
      <c r="AA8" s="17">
        <v>5.5672485339784101</v>
      </c>
      <c r="AB8" s="17">
        <v>1.4793415375505801</v>
      </c>
      <c r="AC8" s="17">
        <v>1.7211474079112301</v>
      </c>
    </row>
    <row r="9" spans="1:29" x14ac:dyDescent="0.2">
      <c r="A9" s="17">
        <f t="shared" si="0"/>
        <v>4.3761982690863439</v>
      </c>
      <c r="B9" s="17">
        <v>5</v>
      </c>
      <c r="C9" s="17">
        <v>0.76217792346178104</v>
      </c>
      <c r="D9" s="17">
        <v>4.4962006548398001</v>
      </c>
      <c r="E9" s="17">
        <v>3.73360260138453</v>
      </c>
      <c r="F9" s="17">
        <v>4.1125157040008897</v>
      </c>
      <c r="G9" s="17">
        <v>5.1809270244859196</v>
      </c>
      <c r="H9" s="17">
        <v>4.8483093654893397</v>
      </c>
      <c r="I9" s="17">
        <v>7.9150842633434397</v>
      </c>
      <c r="J9" s="17">
        <v>1.9754656268164399</v>
      </c>
      <c r="K9" s="17">
        <v>2.8516752465399802</v>
      </c>
      <c r="L9" s="17">
        <v>10.1108756574225</v>
      </c>
      <c r="M9" s="17">
        <v>4.7665932715694801</v>
      </c>
      <c r="N9" s="17">
        <v>2.3624920673059799</v>
      </c>
      <c r="O9" s="17">
        <v>1.69296872153584</v>
      </c>
      <c r="P9" s="17">
        <v>1.2788108036755099</v>
      </c>
      <c r="Q9" s="17" t="s">
        <v>44</v>
      </c>
      <c r="R9" s="17">
        <v>4.8693955505636097</v>
      </c>
      <c r="S9" s="17">
        <v>7.9877955608535096</v>
      </c>
      <c r="T9" s="17">
        <v>4.8203617986121703</v>
      </c>
      <c r="U9" s="17">
        <v>0.80803234460495199</v>
      </c>
      <c r="V9" s="17">
        <v>7.8181688143467802</v>
      </c>
      <c r="W9" s="17">
        <v>8.1366264222088294</v>
      </c>
      <c r="X9" s="17">
        <v>7.7883264105961203</v>
      </c>
      <c r="Y9" s="17">
        <v>3.91873529093747</v>
      </c>
      <c r="Z9" s="17">
        <v>1.84609186557639</v>
      </c>
      <c r="AA9" s="17">
        <v>0.58155907790405903</v>
      </c>
      <c r="AB9" s="17">
        <v>0.56158892269605398</v>
      </c>
      <c r="AC9" s="17">
        <v>4.9427536598490098</v>
      </c>
    </row>
    <row r="10" spans="1:29" x14ac:dyDescent="0.2">
      <c r="A10" s="17">
        <f t="shared" si="0"/>
        <v>3.089932429225791</v>
      </c>
      <c r="B10" s="17">
        <v>6</v>
      </c>
      <c r="C10" s="17">
        <v>5.4634230604620804</v>
      </c>
      <c r="D10" s="17">
        <v>1.37078443258029</v>
      </c>
      <c r="E10" s="17">
        <v>1.5615290540292599</v>
      </c>
      <c r="F10" s="17">
        <v>6.4741656254616098</v>
      </c>
      <c r="G10" s="17">
        <v>4.0875526544373404</v>
      </c>
      <c r="H10" s="17">
        <v>3.36983250962603</v>
      </c>
      <c r="I10" s="17">
        <v>2.61967172836657</v>
      </c>
      <c r="J10" s="17">
        <v>5.5459594768602898</v>
      </c>
      <c r="K10" s="17">
        <v>3.32273225220468</v>
      </c>
      <c r="L10" s="17">
        <v>2.80304166121666</v>
      </c>
      <c r="M10" s="17">
        <v>2.07230953185532</v>
      </c>
      <c r="N10" s="17">
        <v>2.9121986475172701</v>
      </c>
      <c r="O10" s="17">
        <v>1.4328359763160201</v>
      </c>
      <c r="P10" s="17">
        <v>3.0356492350977198</v>
      </c>
      <c r="Q10" s="17">
        <v>3.4089082019721801</v>
      </c>
      <c r="R10" s="17">
        <v>4.4213606000736698</v>
      </c>
      <c r="S10" s="17" t="s">
        <v>44</v>
      </c>
      <c r="T10" s="17">
        <v>2.6509929189423498</v>
      </c>
      <c r="U10" s="17">
        <v>1.21562667771227</v>
      </c>
      <c r="V10" s="17">
        <v>0.60842322818508598</v>
      </c>
      <c r="W10" s="17">
        <v>2.4717503322436301</v>
      </c>
      <c r="X10" s="17">
        <v>1.4603809807455499</v>
      </c>
      <c r="Y10" s="17">
        <v>2.3888559208959399</v>
      </c>
      <c r="Z10" s="17">
        <v>4.6189765472459197</v>
      </c>
      <c r="AA10" s="17">
        <v>5.9130184373897796</v>
      </c>
      <c r="AB10" s="17">
        <v>2.1128416509916201</v>
      </c>
      <c r="AC10" s="17">
        <v>5.3689124486777002</v>
      </c>
    </row>
    <row r="11" spans="1:29" x14ac:dyDescent="0.2">
      <c r="A11" s="17">
        <f t="shared" si="0"/>
        <v>4.2855556725410713</v>
      </c>
      <c r="B11" s="17">
        <v>7</v>
      </c>
      <c r="C11" s="17">
        <v>3.3350566034593201</v>
      </c>
      <c r="D11" s="17">
        <v>9.90374831585628</v>
      </c>
      <c r="E11" s="17">
        <v>0.47182379046405298</v>
      </c>
      <c r="F11" s="17">
        <v>6.5491116710295296</v>
      </c>
      <c r="G11" s="17">
        <v>2.9336776750015701</v>
      </c>
      <c r="H11" s="17">
        <v>6.4461339780471203</v>
      </c>
      <c r="I11" s="17">
        <v>1.6758657999327899</v>
      </c>
      <c r="J11" s="17">
        <v>6.8012128349246002</v>
      </c>
      <c r="K11" s="17" t="s">
        <v>44</v>
      </c>
      <c r="L11" s="17" t="s">
        <v>44</v>
      </c>
      <c r="M11" s="17" t="s">
        <v>44</v>
      </c>
      <c r="N11" s="17" t="s">
        <v>44</v>
      </c>
      <c r="O11" s="17" t="s">
        <v>44</v>
      </c>
      <c r="P11" s="17">
        <v>1.9687362009854401</v>
      </c>
      <c r="Q11" s="17" t="s">
        <v>44</v>
      </c>
      <c r="R11" s="17">
        <v>8.5505596468029292</v>
      </c>
      <c r="S11" s="17">
        <v>3.1989676060723302</v>
      </c>
      <c r="T11" s="17">
        <v>0.34393848825017698</v>
      </c>
      <c r="U11" s="17">
        <v>4.1433250839118996</v>
      </c>
      <c r="V11" s="17">
        <v>3.65978121865259</v>
      </c>
      <c r="W11" s="17">
        <v>6.4792420348312101</v>
      </c>
      <c r="X11" s="17" t="s">
        <v>44</v>
      </c>
      <c r="Y11" s="17" t="s">
        <v>44</v>
      </c>
      <c r="Z11" s="17">
        <v>2.1694436375470798</v>
      </c>
      <c r="AA11" s="17">
        <v>0.63159871120162303</v>
      </c>
      <c r="AB11" s="17">
        <v>8.3352701384596806</v>
      </c>
      <c r="AC11" s="17">
        <v>2.8775652737684001</v>
      </c>
    </row>
    <row r="12" spans="1:29" x14ac:dyDescent="0.2">
      <c r="A12" s="17">
        <f t="shared" si="0"/>
        <v>2.8367367033520421</v>
      </c>
      <c r="B12" s="17">
        <v>8</v>
      </c>
      <c r="C12" s="17">
        <v>2.09473212103308</v>
      </c>
      <c r="D12" s="17">
        <v>4.0982951152830998</v>
      </c>
      <c r="E12" s="17">
        <v>2.3344610307263198</v>
      </c>
      <c r="F12" s="17">
        <v>3.9014069495668302</v>
      </c>
      <c r="G12" s="17" t="s">
        <v>44</v>
      </c>
      <c r="H12" s="17">
        <v>2.1011940332687198</v>
      </c>
      <c r="I12" s="17">
        <v>1.5196396078890499</v>
      </c>
      <c r="J12" s="17">
        <v>2.6119982561871899</v>
      </c>
      <c r="K12" s="17">
        <v>1.88460716986217</v>
      </c>
      <c r="L12" s="17">
        <v>4.6437163753500901</v>
      </c>
      <c r="M12" s="17">
        <v>0.88361732863148701</v>
      </c>
      <c r="N12" s="17">
        <v>4.4899110587972002</v>
      </c>
      <c r="O12" s="17">
        <v>0.12973895450939499</v>
      </c>
      <c r="P12" s="17">
        <v>1.8156747488557401</v>
      </c>
      <c r="Q12" s="17">
        <v>10.099509892035099</v>
      </c>
      <c r="R12" s="17">
        <v>2.87504927004007</v>
      </c>
      <c r="S12" s="17">
        <v>2.4324310462902901</v>
      </c>
      <c r="T12" s="17" t="s">
        <v>44</v>
      </c>
      <c r="U12" s="17">
        <v>1.59642121470877</v>
      </c>
      <c r="V12" s="17">
        <v>2.9247811081176001</v>
      </c>
      <c r="W12" s="17">
        <v>5.5081966650723899</v>
      </c>
      <c r="X12" s="17">
        <v>2.5753688084425899</v>
      </c>
      <c r="Y12" s="17">
        <v>2.0095158540658602</v>
      </c>
      <c r="Z12" s="17">
        <v>1.46646613183594</v>
      </c>
      <c r="AA12" s="17">
        <v>1.8092689379518101</v>
      </c>
      <c r="AB12" s="17">
        <v>1.6925212902590301</v>
      </c>
      <c r="AC12" s="17">
        <v>2.6778900327022699</v>
      </c>
    </row>
    <row r="13" spans="1:29" x14ac:dyDescent="0.2">
      <c r="A13" s="17">
        <f t="shared" si="0"/>
        <v>4.0449119615704392</v>
      </c>
      <c r="B13" s="17">
        <v>9</v>
      </c>
      <c r="C13" s="17">
        <v>0.87731117741919895</v>
      </c>
      <c r="D13" s="17">
        <v>3.7567865360342099</v>
      </c>
      <c r="E13" s="17" t="s">
        <v>44</v>
      </c>
      <c r="F13" s="17">
        <v>2.7034523307424498</v>
      </c>
      <c r="G13" s="17">
        <v>6.0298425541332099</v>
      </c>
      <c r="H13" s="17" t="s">
        <v>44</v>
      </c>
      <c r="I13" s="17">
        <v>6.3504347803959398</v>
      </c>
      <c r="J13" s="17">
        <v>2.8319875651631299</v>
      </c>
      <c r="K13" s="17">
        <v>2.5351912663384999</v>
      </c>
      <c r="L13" s="17">
        <v>5.4178354916414104</v>
      </c>
      <c r="M13" s="17">
        <v>2.9794172263794398</v>
      </c>
      <c r="N13" s="17">
        <v>7.1209498868775798</v>
      </c>
      <c r="O13" s="17">
        <v>4.9348898187152797</v>
      </c>
      <c r="P13" s="17">
        <v>3.5438094117343102</v>
      </c>
      <c r="Q13" s="17">
        <v>10.1877832929904</v>
      </c>
      <c r="R13" s="17">
        <v>2.0229897941796899</v>
      </c>
      <c r="S13" s="17">
        <v>7.8497883267936901</v>
      </c>
      <c r="T13" s="17">
        <v>6.4533705049253802</v>
      </c>
      <c r="U13" s="17">
        <v>1.18973619187302</v>
      </c>
      <c r="V13" s="17">
        <v>1.04366349481339</v>
      </c>
      <c r="W13" s="17">
        <v>1.7699075333926499</v>
      </c>
      <c r="X13" s="17" t="s">
        <v>44</v>
      </c>
      <c r="Y13" s="17">
        <v>3.8323014468687302</v>
      </c>
      <c r="Z13" s="17">
        <v>0.45376864108520598</v>
      </c>
      <c r="AA13" s="17">
        <v>4.83766860394263</v>
      </c>
      <c r="AB13" s="17">
        <v>1.18618601936145</v>
      </c>
      <c r="AC13" s="17">
        <v>4.00121439773842</v>
      </c>
    </row>
    <row r="14" spans="1:29" x14ac:dyDescent="0.2">
      <c r="A14" s="17">
        <f t="shared" si="0"/>
        <v>3.4220591819043791</v>
      </c>
      <c r="B14" s="17">
        <v>10</v>
      </c>
      <c r="C14" s="17">
        <v>5.6570710624362999</v>
      </c>
      <c r="D14" s="17">
        <v>1.5359104518509901</v>
      </c>
      <c r="E14" s="17">
        <v>4.5535572394575601</v>
      </c>
      <c r="F14" s="17">
        <v>8.7946640298688195</v>
      </c>
      <c r="G14" s="17">
        <v>2.12280329682243</v>
      </c>
      <c r="H14" s="17">
        <v>10.787923578189901</v>
      </c>
      <c r="I14" s="17">
        <v>1.4853427361079901</v>
      </c>
      <c r="J14" s="17">
        <v>4.5252578982003699</v>
      </c>
      <c r="K14" s="17">
        <v>3.4801856929558402E-2</v>
      </c>
      <c r="L14" s="17">
        <v>5.6695058690945803</v>
      </c>
      <c r="M14" s="17">
        <v>2.0563652429518902</v>
      </c>
      <c r="N14" s="17">
        <v>2.6767862360941201</v>
      </c>
      <c r="O14" s="17">
        <v>1.2340199472333</v>
      </c>
      <c r="P14" s="17">
        <v>4.01148790917801</v>
      </c>
      <c r="Q14" s="17" t="s">
        <v>44</v>
      </c>
      <c r="R14" s="17">
        <v>3.2044887645321301</v>
      </c>
      <c r="S14" s="17">
        <v>0.38013026983931397</v>
      </c>
      <c r="T14" s="17">
        <v>2.5483509561259501</v>
      </c>
      <c r="U14" s="17">
        <v>1.0437515144965801</v>
      </c>
      <c r="V14" s="17" t="s">
        <v>44</v>
      </c>
      <c r="W14" s="17">
        <v>2.9808850928977799</v>
      </c>
      <c r="X14" s="17">
        <v>3.6281029532775002</v>
      </c>
      <c r="Y14" s="17">
        <v>3.7024043935753199</v>
      </c>
      <c r="Z14" s="17">
        <v>4.4362512836478398</v>
      </c>
      <c r="AA14" s="17">
        <v>7.0558352179533097</v>
      </c>
      <c r="AB14" s="17">
        <v>1.2408412230199799</v>
      </c>
      <c r="AC14" s="17">
        <v>2.4199524043598699</v>
      </c>
    </row>
    <row r="15" spans="1:29" x14ac:dyDescent="0.2">
      <c r="A15" s="17">
        <f t="shared" si="0"/>
        <v>3.370733545902262</v>
      </c>
      <c r="B15" s="17">
        <v>11</v>
      </c>
      <c r="C15" s="17">
        <v>1.6559701588500499</v>
      </c>
      <c r="D15" s="17">
        <v>6.6927843060550298</v>
      </c>
      <c r="E15" s="17" t="s">
        <v>44</v>
      </c>
      <c r="F15" s="17">
        <v>0.94502006931692495</v>
      </c>
      <c r="G15" s="17">
        <v>3.3369661924902498</v>
      </c>
      <c r="H15" s="17">
        <v>5.2226905986359498</v>
      </c>
      <c r="I15" s="17">
        <v>1.00079038129429</v>
      </c>
      <c r="J15" s="17">
        <v>2.8684932755735599</v>
      </c>
      <c r="K15" s="17">
        <v>4.1639530995206</v>
      </c>
      <c r="L15" s="17">
        <v>3.7063955250964198</v>
      </c>
      <c r="M15" s="17">
        <v>3.1263593122043298</v>
      </c>
      <c r="N15" s="17">
        <v>7.0223013049127996</v>
      </c>
      <c r="O15" s="17" t="s">
        <v>44</v>
      </c>
      <c r="P15" s="17">
        <v>0.30870047690313301</v>
      </c>
      <c r="Q15" s="17">
        <v>3.80327769322394</v>
      </c>
      <c r="R15" s="17">
        <v>1.61653641748823</v>
      </c>
      <c r="S15" s="17" t="s">
        <v>44</v>
      </c>
      <c r="T15" s="17">
        <v>10.501943147458199</v>
      </c>
      <c r="U15" s="17">
        <v>2.9363650743606202</v>
      </c>
      <c r="V15" s="17">
        <v>6.5729271702767198</v>
      </c>
      <c r="W15" s="17">
        <v>5.4216858040669003</v>
      </c>
      <c r="X15" s="17">
        <v>0.27388610078748798</v>
      </c>
      <c r="Y15" s="17">
        <v>3.0502612537238298</v>
      </c>
      <c r="Z15" s="17">
        <v>3.0705763433439701</v>
      </c>
      <c r="AA15" s="17">
        <v>0.38554091710854699</v>
      </c>
      <c r="AB15" s="17">
        <v>0.42363215835001</v>
      </c>
      <c r="AC15" s="17">
        <v>1.0757849335602701</v>
      </c>
    </row>
    <row r="16" spans="1:29" x14ac:dyDescent="0.2">
      <c r="A16" s="17">
        <f t="shared" si="0"/>
        <v>4.292542341764932</v>
      </c>
      <c r="B16" s="17">
        <v>12</v>
      </c>
      <c r="C16" s="17" t="s">
        <v>44</v>
      </c>
      <c r="D16" s="17">
        <v>2.2686484125555602</v>
      </c>
      <c r="E16" s="17" t="s">
        <v>44</v>
      </c>
      <c r="F16" s="17">
        <v>1.2085442985094399</v>
      </c>
      <c r="G16" s="17">
        <v>7.2518759160342796</v>
      </c>
      <c r="H16" s="17" t="s">
        <v>44</v>
      </c>
      <c r="I16" s="17">
        <v>2.27123516485049</v>
      </c>
      <c r="J16" s="17">
        <v>4.0875626809590599</v>
      </c>
      <c r="K16" s="17">
        <v>1.9803817590308599</v>
      </c>
      <c r="L16" s="17">
        <v>6.1774167807598799</v>
      </c>
      <c r="M16" s="17">
        <v>3.4450201106450402</v>
      </c>
      <c r="N16" s="17">
        <v>4.7091785186743804</v>
      </c>
      <c r="O16" s="17">
        <v>3.9564273626139999</v>
      </c>
      <c r="P16" s="17" t="s">
        <v>44</v>
      </c>
      <c r="Q16" s="17" t="s">
        <v>44</v>
      </c>
      <c r="R16" s="17">
        <v>11.37852782749</v>
      </c>
      <c r="S16" s="17">
        <v>5.2591693718180901</v>
      </c>
      <c r="T16" s="17">
        <v>4.1149163393795698</v>
      </c>
      <c r="U16" s="17">
        <v>3.5810375461834401</v>
      </c>
      <c r="V16" s="17">
        <v>0.69463158136991299</v>
      </c>
      <c r="W16" s="17">
        <v>7.1546118469233404</v>
      </c>
      <c r="X16" s="17">
        <v>2.06825549761595</v>
      </c>
      <c r="Y16" s="17">
        <v>2.9134128125401402</v>
      </c>
      <c r="Z16" s="17">
        <v>6.7068602725114701</v>
      </c>
      <c r="AA16" s="17">
        <v>6.3938607499277103</v>
      </c>
      <c r="AB16" s="17">
        <v>2.2816783557853699</v>
      </c>
      <c r="AC16" s="17">
        <v>4.5326783126505097</v>
      </c>
    </row>
    <row r="17" spans="1:29" x14ac:dyDescent="0.2">
      <c r="A17" s="17">
        <f t="shared" si="0"/>
        <v>2.8438058871678162</v>
      </c>
      <c r="B17" s="17">
        <v>13</v>
      </c>
      <c r="C17" s="17">
        <v>5.3231657974636404</v>
      </c>
      <c r="D17" s="17">
        <v>2.63476404957221</v>
      </c>
      <c r="E17" s="17">
        <v>6.8466137470952901</v>
      </c>
      <c r="F17" s="17">
        <v>6.9079348924688402</v>
      </c>
      <c r="G17" s="17">
        <v>3.4601303193568098</v>
      </c>
      <c r="H17" s="17">
        <v>0.97820473179702006</v>
      </c>
      <c r="I17" s="17">
        <v>2.4370338278674302</v>
      </c>
      <c r="J17" s="17">
        <v>5.3838130634024601</v>
      </c>
      <c r="K17" s="17">
        <v>1.52967761534785</v>
      </c>
      <c r="L17" s="17">
        <v>0.73003082635764904</v>
      </c>
      <c r="M17" s="17">
        <v>2.6253415498108801</v>
      </c>
      <c r="N17" s="17">
        <v>5.8625867653809998</v>
      </c>
      <c r="O17" s="17">
        <v>0.55741698158310404</v>
      </c>
      <c r="P17" s="17">
        <v>1.1069467180849399</v>
      </c>
      <c r="Q17" s="17">
        <v>1.5267149016628101</v>
      </c>
      <c r="R17" s="17">
        <v>1.9259146099825499</v>
      </c>
      <c r="S17" s="17">
        <v>4.2254977146849901</v>
      </c>
      <c r="T17" s="17">
        <v>5.1022197192952703</v>
      </c>
      <c r="U17" s="17">
        <v>1.6396219995810599</v>
      </c>
      <c r="V17" s="17">
        <v>1.7270640959566801</v>
      </c>
      <c r="W17" s="17">
        <v>0.56617038384039198</v>
      </c>
      <c r="X17" s="17">
        <v>2.8878700712011902</v>
      </c>
      <c r="Y17" s="17">
        <v>3.84080855142926</v>
      </c>
      <c r="Z17" s="17">
        <v>2.23014930554743</v>
      </c>
      <c r="AA17" s="17">
        <v>5.0817743709577696</v>
      </c>
      <c r="AB17" s="17">
        <v>0.33943113723018198</v>
      </c>
      <c r="AC17" s="17">
        <v>1.78522111686817</v>
      </c>
    </row>
    <row r="18" spans="1:29" x14ac:dyDescent="0.2">
      <c r="A18" s="17">
        <f t="shared" si="0"/>
        <v>4.3947222199104496</v>
      </c>
      <c r="B18" s="17">
        <v>14</v>
      </c>
      <c r="C18" s="17" t="s">
        <v>44</v>
      </c>
      <c r="D18" s="17">
        <v>4.2636253365588699</v>
      </c>
      <c r="E18" s="17">
        <v>4.03677006613795</v>
      </c>
      <c r="F18" s="17">
        <v>8.0913572956672795</v>
      </c>
      <c r="G18" s="17">
        <v>0.81241097975436805</v>
      </c>
      <c r="H18" s="17">
        <v>7.1351142986946599</v>
      </c>
      <c r="I18" s="17" t="s">
        <v>44</v>
      </c>
      <c r="J18" s="17">
        <v>3.90573064435549</v>
      </c>
      <c r="K18" s="17">
        <v>1.0217317859874899</v>
      </c>
      <c r="L18" s="17">
        <v>0.98918631422930203</v>
      </c>
      <c r="M18" s="17">
        <v>2.02699953081851</v>
      </c>
      <c r="N18" s="17">
        <v>1.5667891506935601</v>
      </c>
      <c r="O18" s="17">
        <v>5.2691779894390303</v>
      </c>
      <c r="P18" s="17">
        <v>9.7194201630197998</v>
      </c>
      <c r="Q18" s="17">
        <v>2.0542825780274701</v>
      </c>
      <c r="R18" s="17">
        <v>3.9949307044725502</v>
      </c>
      <c r="S18" s="17">
        <v>3.0189600993819798</v>
      </c>
      <c r="T18" s="17">
        <v>15.2268222363034</v>
      </c>
      <c r="U18" s="17">
        <v>5.0091617889469102</v>
      </c>
      <c r="V18" s="17">
        <v>6.3375691404510404</v>
      </c>
      <c r="W18" s="17">
        <v>2.2809361341476801</v>
      </c>
      <c r="X18" s="17">
        <v>3.1777230772366298</v>
      </c>
      <c r="Y18" s="17">
        <v>1.4422373186674</v>
      </c>
      <c r="Z18" s="17">
        <v>0.57638926930366097</v>
      </c>
      <c r="AA18" s="17">
        <v>9.5641070961814094</v>
      </c>
      <c r="AB18" s="17" t="s">
        <v>44</v>
      </c>
      <c r="AC18" s="17">
        <v>3.9519002793743501</v>
      </c>
    </row>
    <row r="19" spans="1:29" x14ac:dyDescent="0.2">
      <c r="A19" s="17">
        <f t="shared" si="0"/>
        <v>3.2530503666853718</v>
      </c>
      <c r="B19" s="17">
        <v>15</v>
      </c>
      <c r="C19" s="17">
        <v>7.1266067395177499</v>
      </c>
      <c r="D19" s="17">
        <v>1.6532490850585499</v>
      </c>
      <c r="E19" s="17">
        <v>0.75076936550806805</v>
      </c>
      <c r="F19" s="17">
        <v>2.3384890180630999</v>
      </c>
      <c r="G19" s="17">
        <v>1.8048353781725699</v>
      </c>
      <c r="H19" s="17">
        <v>6.4657252720544598</v>
      </c>
      <c r="I19" s="17">
        <v>2.6835045405106901</v>
      </c>
      <c r="J19" s="17">
        <v>4.6366213352471704</v>
      </c>
      <c r="K19" s="17">
        <v>3.8074033381855199</v>
      </c>
      <c r="L19" s="17">
        <v>4.3492174655045099</v>
      </c>
      <c r="M19" s="17">
        <v>3.0516921546810201</v>
      </c>
      <c r="N19" s="17">
        <v>5.3241412675345101</v>
      </c>
      <c r="O19" s="17">
        <v>1.38954185141444</v>
      </c>
      <c r="P19" s="17">
        <v>2.6773102488838201</v>
      </c>
      <c r="Q19" s="17">
        <v>3.3395711082539399</v>
      </c>
      <c r="R19" s="17">
        <v>5.5515826423148598</v>
      </c>
      <c r="S19" s="17">
        <v>2.3326638262778499</v>
      </c>
      <c r="T19" s="17">
        <v>2.8711234335595899</v>
      </c>
      <c r="U19" s="17">
        <v>2.3328694261306802</v>
      </c>
      <c r="V19" s="17">
        <v>6.6297510743116499</v>
      </c>
      <c r="W19" s="17">
        <v>4.6546200229840702</v>
      </c>
      <c r="X19" s="17">
        <v>4.7373017159277397</v>
      </c>
      <c r="Y19" s="17">
        <v>1.0497310873882699</v>
      </c>
      <c r="Z19" s="17">
        <v>1.8622353519430099</v>
      </c>
      <c r="AA19" s="17">
        <v>1.79492347648047</v>
      </c>
      <c r="AB19" s="17">
        <v>0.54370454442203098</v>
      </c>
      <c r="AC19" s="17">
        <v>5.94673150300709</v>
      </c>
    </row>
    <row r="20" spans="1:29" x14ac:dyDescent="0.2">
      <c r="A20" s="17">
        <f t="shared" si="0"/>
        <v>3.1694870479627197</v>
      </c>
      <c r="B20" s="17">
        <v>16</v>
      </c>
      <c r="C20" s="17">
        <v>1.7279659324657599</v>
      </c>
      <c r="D20" s="17">
        <v>4.6755013375678001</v>
      </c>
      <c r="E20" s="17">
        <v>3.5254354206019798</v>
      </c>
      <c r="F20" s="17">
        <v>4.9600487966251299</v>
      </c>
      <c r="G20" s="17" t="s">
        <v>44</v>
      </c>
      <c r="H20" s="17">
        <v>2.0853487652251799</v>
      </c>
      <c r="I20" s="17">
        <v>6.6623525123192904</v>
      </c>
      <c r="J20" s="17">
        <v>4.7501733308704504</v>
      </c>
      <c r="K20" s="17">
        <v>2.2933521974743099</v>
      </c>
      <c r="L20" s="17">
        <v>5.39668758466805</v>
      </c>
      <c r="M20" s="17">
        <v>2.7531619349074599</v>
      </c>
      <c r="N20" s="17">
        <v>3.9710610260644699</v>
      </c>
      <c r="O20" s="17">
        <v>0.86823840739965297</v>
      </c>
      <c r="P20" s="17">
        <v>3.34645038632295</v>
      </c>
      <c r="Q20" s="17">
        <v>2.8412497632775802</v>
      </c>
      <c r="R20" s="17">
        <v>3.26342468742327</v>
      </c>
      <c r="S20" s="17">
        <v>2.1126385271976602</v>
      </c>
      <c r="T20" s="17">
        <v>3.4136391557822701</v>
      </c>
      <c r="U20" s="17">
        <v>1.3306753380912799</v>
      </c>
      <c r="V20" s="17">
        <v>1.2943313282163</v>
      </c>
      <c r="W20" s="17">
        <v>4.6536524416964999</v>
      </c>
      <c r="X20" s="17">
        <v>1.76875391318589</v>
      </c>
      <c r="Y20" s="17">
        <v>1.6332398204993399</v>
      </c>
      <c r="Z20" s="17">
        <v>2.70341933555388</v>
      </c>
      <c r="AA20" s="17">
        <v>3.2448064595478598</v>
      </c>
      <c r="AB20" s="17">
        <v>2.0000655727757199</v>
      </c>
      <c r="AC20" s="17">
        <v>3.6894681557737301</v>
      </c>
    </row>
    <row r="21" spans="1:29" x14ac:dyDescent="0.2">
      <c r="A21" s="17">
        <f t="shared" si="0"/>
        <v>3.0840900225378629</v>
      </c>
      <c r="B21" s="17">
        <v>17</v>
      </c>
      <c r="C21" s="17">
        <v>2.75141844757183</v>
      </c>
      <c r="D21" s="17">
        <v>3.4779089834657402</v>
      </c>
      <c r="E21" s="17">
        <v>1.5245333300688699</v>
      </c>
      <c r="F21" s="17">
        <v>5.1326118403823102</v>
      </c>
      <c r="G21" s="17">
        <v>0.66933723965818703</v>
      </c>
      <c r="H21" s="17">
        <v>2.2845069601503698</v>
      </c>
      <c r="I21" s="17">
        <v>2.5348036578989701</v>
      </c>
      <c r="J21" s="17">
        <v>7.0761778444248904</v>
      </c>
      <c r="K21" s="17">
        <v>1.2959596085434699</v>
      </c>
      <c r="L21" s="17">
        <v>0.66697435641018998</v>
      </c>
      <c r="M21" s="17">
        <v>2.0426008528697799</v>
      </c>
      <c r="N21" s="17">
        <v>0.36823131921367802</v>
      </c>
      <c r="O21" s="17">
        <v>4.7134641110690803</v>
      </c>
      <c r="P21" s="17">
        <v>4.0876807801288102</v>
      </c>
      <c r="Q21" s="17">
        <v>3.8853843802599202</v>
      </c>
      <c r="R21" s="17">
        <v>3.19798999027301</v>
      </c>
      <c r="S21" s="17">
        <v>2.9928158630712201</v>
      </c>
      <c r="T21" s="17">
        <v>2.4889025747509499</v>
      </c>
      <c r="U21" s="17">
        <v>4.0110179342465404</v>
      </c>
      <c r="V21" s="17">
        <v>0.73296736338443103</v>
      </c>
      <c r="W21" s="17">
        <v>3.0280437973636198</v>
      </c>
      <c r="X21" s="17">
        <v>3.2784960967182402</v>
      </c>
      <c r="Y21" s="17">
        <v>3.89265502261479</v>
      </c>
      <c r="Z21" s="17">
        <v>9.7598942517699694</v>
      </c>
      <c r="AA21" s="17">
        <v>0.79672833551872102</v>
      </c>
      <c r="AB21" s="17">
        <v>0.29550307268090997</v>
      </c>
      <c r="AC21" s="17">
        <v>5.9511510190477503</v>
      </c>
    </row>
    <row r="22" spans="1:29" x14ac:dyDescent="0.2">
      <c r="A22" s="17">
        <f t="shared" si="0"/>
        <v>3.331659803308455</v>
      </c>
      <c r="B22" s="17">
        <v>18</v>
      </c>
      <c r="C22" s="17" t="s">
        <v>44</v>
      </c>
      <c r="D22" s="17">
        <v>7.52811692580116</v>
      </c>
      <c r="E22" s="17" t="s">
        <v>44</v>
      </c>
      <c r="F22" s="17">
        <v>1.53494866415534</v>
      </c>
      <c r="G22" s="17">
        <v>4.3673566173425202</v>
      </c>
      <c r="H22" s="17" t="s">
        <v>44</v>
      </c>
      <c r="I22" s="17">
        <v>4.3352091130238097</v>
      </c>
      <c r="J22" s="17">
        <v>2.2923359568320301</v>
      </c>
      <c r="K22" s="17">
        <v>1.35652612506698</v>
      </c>
      <c r="L22" s="17">
        <v>10.454155098919699</v>
      </c>
      <c r="M22" s="17">
        <v>2.1861052286640601</v>
      </c>
      <c r="N22" s="17">
        <v>6.2637286191437198</v>
      </c>
      <c r="O22" s="17">
        <v>0.63413187729064602</v>
      </c>
      <c r="P22" s="17">
        <v>5.3760161995575499</v>
      </c>
      <c r="Q22" s="17">
        <v>4.1485236694975196</v>
      </c>
      <c r="R22" s="17">
        <v>5.5957493250833803</v>
      </c>
      <c r="S22" s="17">
        <v>3.2625387006036002</v>
      </c>
      <c r="T22" s="17">
        <v>0.72829504604561701</v>
      </c>
      <c r="U22" s="17">
        <v>2.03419951276065</v>
      </c>
      <c r="V22" s="17">
        <v>2.3244954783787399</v>
      </c>
      <c r="W22" s="17">
        <v>2.7947616614222599</v>
      </c>
      <c r="X22" s="17">
        <v>2.5312154182287299</v>
      </c>
      <c r="Y22" s="17" t="s">
        <v>44</v>
      </c>
      <c r="Z22" s="17">
        <v>1.8515983790567101</v>
      </c>
      <c r="AA22" s="17">
        <v>0.36634781350623302</v>
      </c>
      <c r="AB22" s="17">
        <v>2.0218353689313102</v>
      </c>
      <c r="AC22" s="17">
        <v>2.6399846767822099</v>
      </c>
    </row>
    <row r="23" spans="1:29" x14ac:dyDescent="0.2">
      <c r="A23" s="17">
        <f t="shared" si="0"/>
        <v>3.530820159534219</v>
      </c>
      <c r="B23" s="17">
        <v>19</v>
      </c>
      <c r="C23" s="17" t="s">
        <v>44</v>
      </c>
      <c r="D23" s="17">
        <v>5.63953564623883</v>
      </c>
      <c r="E23" s="17">
        <v>2.7276892003660098</v>
      </c>
      <c r="F23" s="17">
        <v>4.7972668556761402</v>
      </c>
      <c r="G23" s="17">
        <v>3.52837066497553</v>
      </c>
      <c r="H23" s="17">
        <v>5.1142917185836598</v>
      </c>
      <c r="I23" s="17" t="s">
        <v>44</v>
      </c>
      <c r="J23" s="17">
        <v>2.56732739902733</v>
      </c>
      <c r="K23" s="17" t="s">
        <v>44</v>
      </c>
      <c r="L23" s="17" t="s">
        <v>44</v>
      </c>
      <c r="M23" s="17">
        <v>1.0155146215264099</v>
      </c>
      <c r="N23" s="17">
        <v>1.45369088079806</v>
      </c>
      <c r="O23" s="17" t="s">
        <v>44</v>
      </c>
      <c r="P23" s="17" t="s">
        <v>44</v>
      </c>
      <c r="Q23" s="17" t="s">
        <v>44</v>
      </c>
      <c r="R23" s="17">
        <v>3.1895577611777801</v>
      </c>
      <c r="S23" s="17">
        <v>2.5493162099716198</v>
      </c>
      <c r="T23" s="17">
        <v>5.9897864586072904</v>
      </c>
      <c r="U23" s="17" t="s">
        <v>44</v>
      </c>
      <c r="V23" s="17" t="s">
        <v>44</v>
      </c>
      <c r="W23" s="17" t="s">
        <v>44</v>
      </c>
      <c r="X23" s="17" t="s">
        <v>44</v>
      </c>
      <c r="Y23" s="17" t="s">
        <v>44</v>
      </c>
      <c r="Z23" s="17">
        <v>4.1947300361332696</v>
      </c>
      <c r="AA23" s="17">
        <v>3.4904331955989001</v>
      </c>
      <c r="AB23" s="17" t="s">
        <v>44</v>
      </c>
      <c r="AC23" s="17">
        <v>3.1739715847982302</v>
      </c>
    </row>
    <row r="24" spans="1:29" x14ac:dyDescent="0.2">
      <c r="A24" s="17">
        <f t="shared" si="0"/>
        <v>3.8619289459778416</v>
      </c>
      <c r="B24" s="17">
        <v>20</v>
      </c>
      <c r="C24" s="17" t="s">
        <v>44</v>
      </c>
      <c r="D24" s="17">
        <v>5.2842236338087396</v>
      </c>
      <c r="E24" s="17">
        <v>4.7028919625506296</v>
      </c>
      <c r="F24" s="17">
        <v>4.8881471395079599</v>
      </c>
      <c r="G24" s="17">
        <v>3.6761357470753002</v>
      </c>
      <c r="H24" s="17" t="s">
        <v>44</v>
      </c>
      <c r="I24" s="17">
        <v>1.3377822041726599</v>
      </c>
      <c r="J24" s="17" t="s">
        <v>44</v>
      </c>
      <c r="K24" s="17">
        <v>4.84220431676665</v>
      </c>
      <c r="L24" s="17">
        <v>3.1960185940130299</v>
      </c>
      <c r="M24" s="17">
        <v>4.1210270395121702</v>
      </c>
      <c r="N24" s="17">
        <v>3.9188372741978501</v>
      </c>
      <c r="O24" s="17">
        <v>2.75965072632432</v>
      </c>
      <c r="P24" s="17">
        <v>1.367588522296</v>
      </c>
      <c r="Q24" s="17">
        <v>1.69472104841157</v>
      </c>
      <c r="R24" s="17">
        <v>6.3418695419193201</v>
      </c>
      <c r="S24" s="17">
        <v>8.2462018684224692</v>
      </c>
      <c r="T24" s="17">
        <v>6.5839092991483197</v>
      </c>
      <c r="U24" s="17">
        <v>2.2266164072324099</v>
      </c>
      <c r="V24" s="17">
        <v>0.215434064457417</v>
      </c>
      <c r="W24" s="17">
        <v>9.7817702813004903</v>
      </c>
      <c r="X24" s="17">
        <v>2.2908912492816702</v>
      </c>
      <c r="Y24" s="17">
        <v>1.9738619697965301</v>
      </c>
      <c r="Z24" s="17">
        <v>1.05604332431388</v>
      </c>
      <c r="AA24" s="17">
        <v>2.7452342679005399</v>
      </c>
      <c r="AB24" s="17" t="s">
        <v>44</v>
      </c>
      <c r="AC24" s="17">
        <v>5.5733052750804299</v>
      </c>
    </row>
    <row r="25" spans="1:29" x14ac:dyDescent="0.2">
      <c r="A25" s="17">
        <f t="shared" si="0"/>
        <v>3.2729980891133255</v>
      </c>
      <c r="B25" s="17">
        <v>21</v>
      </c>
      <c r="C25" s="17">
        <v>2.5798257791391799</v>
      </c>
      <c r="D25" s="17" t="s">
        <v>44</v>
      </c>
      <c r="E25" s="17" t="s">
        <v>44</v>
      </c>
      <c r="F25" s="17">
        <v>2.4526903324218101</v>
      </c>
      <c r="G25" s="17" t="s">
        <v>44</v>
      </c>
      <c r="H25" s="17" t="s">
        <v>44</v>
      </c>
      <c r="I25" s="17">
        <v>2.7656590074874901</v>
      </c>
      <c r="J25" s="17">
        <v>2.3005521380510898</v>
      </c>
      <c r="K25" s="17">
        <v>2.4512780465169102</v>
      </c>
      <c r="L25" s="17" t="s">
        <v>44</v>
      </c>
      <c r="M25" s="17">
        <v>4.0647333529387204</v>
      </c>
      <c r="N25" s="17" t="s">
        <v>44</v>
      </c>
      <c r="O25" s="17" t="s">
        <v>44</v>
      </c>
      <c r="P25" s="17">
        <v>3.06260103500964</v>
      </c>
      <c r="Q25" s="17" t="s">
        <v>44</v>
      </c>
      <c r="R25" s="17" t="s">
        <v>44</v>
      </c>
      <c r="S25" s="17">
        <v>1.41131242848928</v>
      </c>
      <c r="T25" s="17">
        <v>5.06187404507798</v>
      </c>
      <c r="U25" s="17">
        <v>5.3832677666556199</v>
      </c>
      <c r="V25" s="17">
        <v>1.2315926501318599</v>
      </c>
      <c r="W25" s="17" t="s">
        <v>44</v>
      </c>
      <c r="X25" s="17">
        <v>1.78596595155635</v>
      </c>
      <c r="Y25" s="17">
        <v>4.0515939440173598</v>
      </c>
      <c r="Z25" s="17">
        <v>3.29041714884004</v>
      </c>
      <c r="AA25" s="17">
        <v>7.0418105641948703</v>
      </c>
      <c r="AB25" s="17">
        <v>2.58865313235211</v>
      </c>
      <c r="AC25" s="17">
        <v>3.42396788207208</v>
      </c>
    </row>
    <row r="26" spans="1:29" x14ac:dyDescent="0.2">
      <c r="A26" s="17">
        <f t="shared" si="0"/>
        <v>3.4537334411429437</v>
      </c>
      <c r="B26" s="17">
        <v>22</v>
      </c>
      <c r="C26" s="17">
        <v>6.1147189192181397</v>
      </c>
      <c r="D26" s="17">
        <v>7.29860935729661</v>
      </c>
      <c r="E26" s="17">
        <v>4.3144601704893697</v>
      </c>
      <c r="F26" s="17">
        <v>6.1640827248144001</v>
      </c>
      <c r="G26" s="17">
        <v>4.1560298924291201</v>
      </c>
      <c r="H26" s="17" t="s">
        <v>44</v>
      </c>
      <c r="I26" s="17">
        <v>2.22772139441541</v>
      </c>
      <c r="J26" s="17">
        <v>1.5171900788019299</v>
      </c>
      <c r="K26" s="17">
        <v>4.5116626418627304</v>
      </c>
      <c r="L26" s="17">
        <v>1.31255693337586</v>
      </c>
      <c r="M26" s="17">
        <v>5.23974466991619</v>
      </c>
      <c r="N26" s="17">
        <v>1.08967636087355</v>
      </c>
      <c r="O26" s="17">
        <v>2.5475400863422499</v>
      </c>
      <c r="P26" s="17">
        <v>1.8052363246485801</v>
      </c>
      <c r="Q26" s="17">
        <v>3.7167202609735899</v>
      </c>
      <c r="R26" s="17">
        <v>0.75016226676709996</v>
      </c>
      <c r="S26" s="17">
        <v>1.7174861774671599</v>
      </c>
      <c r="T26" s="17">
        <v>7.5985984743740502</v>
      </c>
      <c r="U26" s="17">
        <v>3.3927263610815501</v>
      </c>
      <c r="V26" s="17">
        <v>2.8824160379600801</v>
      </c>
      <c r="W26" s="17">
        <v>6.5700892365980303</v>
      </c>
      <c r="X26" s="17">
        <v>4.33494205424316</v>
      </c>
      <c r="Y26" s="17" t="s">
        <v>44</v>
      </c>
      <c r="Z26" s="17" t="s">
        <v>44</v>
      </c>
      <c r="AA26" s="17" t="s">
        <v>44</v>
      </c>
      <c r="AB26" s="17">
        <v>0.95669459392189204</v>
      </c>
      <c r="AC26" s="17">
        <v>1.87778960649215</v>
      </c>
    </row>
    <row r="27" spans="1:29" x14ac:dyDescent="0.2">
      <c r="A27" s="17">
        <f t="shared" si="0"/>
        <v>5.365120645809931</v>
      </c>
      <c r="B27" s="17">
        <v>23</v>
      </c>
      <c r="C27" s="17">
        <v>4.0201957065794396</v>
      </c>
      <c r="D27" s="17">
        <v>7.0921556156789904</v>
      </c>
      <c r="E27" s="17">
        <v>8.5054483423449891</v>
      </c>
      <c r="F27" s="17">
        <v>10.5834217668636</v>
      </c>
      <c r="G27" s="17">
        <v>5.4100133375283104</v>
      </c>
      <c r="H27" s="17" t="s">
        <v>44</v>
      </c>
      <c r="I27" s="17">
        <v>8.7716557651999807</v>
      </c>
      <c r="J27" s="17">
        <v>7.4445565320280398</v>
      </c>
      <c r="K27" s="17">
        <v>0.35064389057662199</v>
      </c>
      <c r="L27" s="17">
        <v>9.2582179719308701</v>
      </c>
      <c r="M27" s="17">
        <v>5.2446271098839699</v>
      </c>
      <c r="N27" s="17">
        <v>3.12913021616454</v>
      </c>
      <c r="O27" s="17">
        <v>2.06410914012138</v>
      </c>
      <c r="P27" s="17">
        <v>0.90056626946032903</v>
      </c>
      <c r="Q27" s="17">
        <v>10.639431221333799</v>
      </c>
      <c r="R27" s="17">
        <v>8.0503639741397706</v>
      </c>
      <c r="S27" s="17">
        <v>4.1339005772593103</v>
      </c>
      <c r="T27" s="17">
        <v>5.1673441501444204</v>
      </c>
      <c r="U27" s="17">
        <v>1.6983157340673301</v>
      </c>
      <c r="V27" s="17">
        <v>6.0696786448752897</v>
      </c>
      <c r="W27" s="17">
        <v>8.6474273146202094</v>
      </c>
      <c r="X27" s="17">
        <v>1.4897659319268199</v>
      </c>
      <c r="Y27" s="17">
        <v>7.0104694999596102</v>
      </c>
      <c r="Z27" s="17">
        <v>1.9849020876897101</v>
      </c>
      <c r="AA27" s="17">
        <v>4.7157120636995504</v>
      </c>
      <c r="AB27" s="17">
        <v>3.8173628713057699</v>
      </c>
      <c r="AC27" s="17">
        <v>1.94879611644507</v>
      </c>
    </row>
    <row r="28" spans="1:29" x14ac:dyDescent="0.2">
      <c r="A28" s="17">
        <f t="shared" si="0"/>
        <v>3.2549714323737247</v>
      </c>
      <c r="B28" s="17">
        <v>24</v>
      </c>
      <c r="C28" s="17" t="s">
        <v>44</v>
      </c>
      <c r="D28" s="17">
        <v>3.9697985873531199</v>
      </c>
      <c r="E28" s="17">
        <v>3.3253122319913402</v>
      </c>
      <c r="F28" s="17">
        <v>2.5293593832307399</v>
      </c>
      <c r="G28" s="17">
        <v>6.0832575213741302</v>
      </c>
      <c r="H28" s="17" t="s">
        <v>44</v>
      </c>
      <c r="I28" s="17">
        <v>1.71131064621671</v>
      </c>
      <c r="J28" s="17">
        <v>1.81511986318787</v>
      </c>
      <c r="K28" s="17">
        <v>8.5889716128339996E-2</v>
      </c>
      <c r="L28" s="17">
        <v>6.0219017547865503</v>
      </c>
      <c r="M28" s="17">
        <v>3.4625296273212198</v>
      </c>
      <c r="N28" s="17">
        <v>3.1015835104732901</v>
      </c>
      <c r="O28" s="17">
        <v>2.8640745456679801</v>
      </c>
      <c r="P28" s="17">
        <v>2.2388903144483798</v>
      </c>
      <c r="Q28" s="17">
        <v>3.4729898282961398</v>
      </c>
      <c r="R28" s="17">
        <v>6.1537909071085997</v>
      </c>
      <c r="S28" s="17">
        <v>1.0824735790807301</v>
      </c>
      <c r="T28" s="17">
        <v>6.8805467124855397</v>
      </c>
      <c r="U28" s="17">
        <v>4.7942323884311797</v>
      </c>
      <c r="V28" s="17">
        <v>3.9127607293706999</v>
      </c>
      <c r="W28" s="17">
        <v>2.34298975197806</v>
      </c>
      <c r="X28" s="17">
        <v>4.1308918653670599</v>
      </c>
      <c r="Y28" s="17">
        <v>4.5001684506553801</v>
      </c>
      <c r="Z28" s="17">
        <v>0.35867170134176402</v>
      </c>
      <c r="AA28" s="17">
        <v>1.97216397791495</v>
      </c>
      <c r="AB28" s="17">
        <v>1.03901506236925</v>
      </c>
      <c r="AC28" s="17">
        <v>3.5245631527641001</v>
      </c>
    </row>
    <row r="29" spans="1:29" x14ac:dyDescent="0.2">
      <c r="A29" s="17">
        <f t="shared" si="0"/>
        <v>4.0022252280571307</v>
      </c>
      <c r="B29" s="17">
        <v>25</v>
      </c>
      <c r="C29" s="17">
        <v>2.2930353550663898</v>
      </c>
      <c r="D29" s="17">
        <v>6.2805879298910003</v>
      </c>
      <c r="E29" s="17">
        <v>2.2116175888190202</v>
      </c>
      <c r="F29" s="17">
        <v>2.6550579077267198</v>
      </c>
      <c r="G29" s="17">
        <v>2.2378500950303701</v>
      </c>
      <c r="H29" s="17">
        <v>1.3460235819536599</v>
      </c>
      <c r="I29" s="17">
        <v>5.9058041750982904</v>
      </c>
      <c r="J29" s="17">
        <v>5.7774663154133199</v>
      </c>
      <c r="K29" s="17">
        <v>2.0626546632477698</v>
      </c>
      <c r="L29" s="17">
        <v>4.2800790402243898</v>
      </c>
      <c r="M29" s="17">
        <v>0.74431716872764797</v>
      </c>
      <c r="N29" s="17">
        <v>3.22659109522818</v>
      </c>
      <c r="O29" s="17">
        <v>3.3200119673799402</v>
      </c>
      <c r="P29" s="17" t="s">
        <v>44</v>
      </c>
      <c r="Q29" s="17">
        <v>0.20516199081886299</v>
      </c>
      <c r="R29" s="17">
        <v>0.50987828271441205</v>
      </c>
      <c r="S29" s="17">
        <v>1.5606232428730999</v>
      </c>
      <c r="T29" s="17">
        <v>7.4282035529061501</v>
      </c>
      <c r="U29" s="17">
        <v>6.4165739922494902</v>
      </c>
      <c r="V29" s="17">
        <v>4.9652565729734102</v>
      </c>
      <c r="W29" s="17">
        <v>5.7801408531147898</v>
      </c>
      <c r="X29" s="17">
        <v>2.4767487870443001</v>
      </c>
      <c r="Y29" s="17">
        <v>6.36981847341068</v>
      </c>
      <c r="Z29" s="17">
        <v>3.1004852638298099</v>
      </c>
      <c r="AA29" s="17">
        <v>7.2314711901841804</v>
      </c>
      <c r="AB29" s="17">
        <v>6.8643174531589901</v>
      </c>
      <c r="AC29" s="17">
        <v>7.0988895174097797</v>
      </c>
    </row>
    <row r="30" spans="1:29" x14ac:dyDescent="0.2">
      <c r="A30" s="17">
        <f t="shared" si="0"/>
        <v>3.4405192659195216</v>
      </c>
      <c r="B30" s="17">
        <v>26</v>
      </c>
      <c r="C30" s="17">
        <v>8.4932606516022702</v>
      </c>
      <c r="D30" s="17">
        <v>2.0588463996685999</v>
      </c>
      <c r="E30" s="17">
        <v>4.7077720346663101</v>
      </c>
      <c r="F30" s="17">
        <v>4.8383470793864003</v>
      </c>
      <c r="G30" s="17">
        <v>7.7030194073740503</v>
      </c>
      <c r="H30" s="17">
        <v>2.5222302742994001</v>
      </c>
      <c r="I30" s="17">
        <v>1.07235554493971</v>
      </c>
      <c r="J30" s="17">
        <v>5.1638531606773403</v>
      </c>
      <c r="K30" s="17">
        <v>0.58354923325640695</v>
      </c>
      <c r="L30" s="17">
        <v>0.54432294508122203</v>
      </c>
      <c r="M30" s="17">
        <v>1.02066120869054</v>
      </c>
      <c r="N30" s="17">
        <v>5.8485216365913599</v>
      </c>
      <c r="O30" s="17">
        <v>2.9316995450106602</v>
      </c>
      <c r="P30" s="17">
        <v>4.4976367018619703</v>
      </c>
      <c r="Q30" s="17">
        <v>3.8917396853111201</v>
      </c>
      <c r="R30" s="17">
        <v>3.4438959180920001</v>
      </c>
      <c r="S30" s="17">
        <v>1.49234735548576</v>
      </c>
      <c r="T30" s="17">
        <v>6.7569244094817096</v>
      </c>
      <c r="U30" s="17">
        <v>7.7713371618440297</v>
      </c>
      <c r="V30" s="17">
        <v>1.74490859696439</v>
      </c>
      <c r="W30" s="17">
        <v>4.0141101038353098</v>
      </c>
      <c r="X30" s="17">
        <v>3.49365510677876</v>
      </c>
      <c r="Y30" s="17">
        <v>2.4988888584112701</v>
      </c>
      <c r="Z30" s="17">
        <v>2.07008310806996</v>
      </c>
      <c r="AA30" s="17">
        <v>3.92098550795999</v>
      </c>
      <c r="AB30" s="17">
        <v>0.63144830109040995</v>
      </c>
      <c r="AC30" s="17">
        <v>4.2303616290788701</v>
      </c>
    </row>
    <row r="31" spans="1:29" x14ac:dyDescent="0.2">
      <c r="A31" s="17">
        <f t="shared" si="0"/>
        <v>5.460109284293325</v>
      </c>
      <c r="B31" s="17">
        <v>27</v>
      </c>
      <c r="C31" s="17">
        <v>5.6274172550949499</v>
      </c>
      <c r="D31" s="17">
        <v>8.8167497400019101</v>
      </c>
      <c r="E31" s="17">
        <v>8.7741789614987198</v>
      </c>
      <c r="F31" s="17">
        <v>2.7690880874363502</v>
      </c>
      <c r="G31" s="17">
        <v>0.63734835640351695</v>
      </c>
      <c r="H31" s="17">
        <v>10.1258426772356</v>
      </c>
      <c r="I31" s="17">
        <v>3.3184769462597701</v>
      </c>
      <c r="J31" s="17">
        <v>2.0883850622756102</v>
      </c>
      <c r="K31" s="17">
        <v>1.8803261953038699</v>
      </c>
      <c r="L31" s="17">
        <v>6.7349658116226099</v>
      </c>
      <c r="M31" s="17">
        <v>6.1213380595436</v>
      </c>
      <c r="N31" s="17">
        <v>4.0115956916632598</v>
      </c>
      <c r="O31" s="17">
        <v>8.3932771377472601</v>
      </c>
      <c r="P31" s="17">
        <v>3.1729452901619499</v>
      </c>
      <c r="Q31" s="17">
        <v>2.5816632355187101</v>
      </c>
      <c r="R31" s="17">
        <v>10.775438129176999</v>
      </c>
      <c r="S31" s="17">
        <v>4.3872908713990801</v>
      </c>
      <c r="T31" s="17">
        <v>7.0633333173687198</v>
      </c>
      <c r="U31" s="17">
        <v>9.7306371720803604</v>
      </c>
      <c r="V31" s="17">
        <v>2.9006079760447698</v>
      </c>
      <c r="W31" s="17">
        <v>4.6125795002253396</v>
      </c>
      <c r="X31" s="17" t="s">
        <v>44</v>
      </c>
      <c r="Y31" s="17">
        <v>5.6821077477460298</v>
      </c>
      <c r="Z31" s="17">
        <v>9.6894849303543609</v>
      </c>
      <c r="AA31" s="17">
        <v>5.5418409987858004</v>
      </c>
      <c r="AB31" s="17">
        <v>5.0273061086145798</v>
      </c>
      <c r="AC31" s="17">
        <v>1.6659241028643399</v>
      </c>
    </row>
    <row r="32" spans="1:29" x14ac:dyDescent="0.2">
      <c r="A32" s="17">
        <f t="shared" si="0"/>
        <v>4.0320364674711113</v>
      </c>
      <c r="B32" s="17">
        <v>28</v>
      </c>
      <c r="C32" s="17" t="s">
        <v>44</v>
      </c>
      <c r="D32" s="17">
        <v>6.8537626202370099</v>
      </c>
      <c r="E32" s="17">
        <v>2.4792292426788598</v>
      </c>
      <c r="F32" s="17">
        <v>9.1049543251226108</v>
      </c>
      <c r="G32" s="17">
        <v>1.97514554399624</v>
      </c>
      <c r="H32" s="17" t="s">
        <v>44</v>
      </c>
      <c r="I32" s="17">
        <v>0.82010007339147495</v>
      </c>
      <c r="J32" s="17">
        <v>9.8527093208907903</v>
      </c>
      <c r="K32" s="17">
        <v>11.723214515479899</v>
      </c>
      <c r="L32" s="17">
        <v>2.4153982840452</v>
      </c>
      <c r="M32" s="17" t="s">
        <v>44</v>
      </c>
      <c r="N32" s="17">
        <v>6.76352010502195</v>
      </c>
      <c r="O32" s="17">
        <v>5.0424485548048299</v>
      </c>
      <c r="P32" s="17">
        <v>3.8596714525221398</v>
      </c>
      <c r="Q32" s="17">
        <v>2.4202732383393601</v>
      </c>
      <c r="R32" s="17">
        <v>1.46613546596819</v>
      </c>
      <c r="S32" s="17">
        <v>1.9719846658778999</v>
      </c>
      <c r="T32" s="17">
        <v>4.3390603883876002</v>
      </c>
      <c r="U32" s="17">
        <v>0.52558430172371895</v>
      </c>
      <c r="V32" s="17">
        <v>1.0995420713542099</v>
      </c>
      <c r="W32" s="17">
        <v>3.7904147711647602</v>
      </c>
      <c r="X32" s="17">
        <v>2.2079279222833499</v>
      </c>
      <c r="Y32" s="17">
        <v>5.83860246530522</v>
      </c>
      <c r="Z32" s="17">
        <v>2.0714992471076701</v>
      </c>
      <c r="AA32" s="17">
        <v>3.8286731045651901</v>
      </c>
      <c r="AB32" s="17">
        <v>2.88361387430959</v>
      </c>
      <c r="AC32" s="17">
        <v>3.4354096647289101</v>
      </c>
    </row>
    <row r="33" spans="1:29" x14ac:dyDescent="0.2">
      <c r="A33" s="17">
        <f t="shared" si="0"/>
        <v>4.3998267951369163</v>
      </c>
      <c r="B33" s="17">
        <v>29</v>
      </c>
      <c r="C33" s="17">
        <v>7.8812929728941699</v>
      </c>
      <c r="D33" s="17">
        <v>4.6331944523214199</v>
      </c>
      <c r="E33" s="17">
        <v>3.6229300683294401</v>
      </c>
      <c r="F33" s="17">
        <v>9.7688436776283094</v>
      </c>
      <c r="G33" s="17">
        <v>5.3646633820708898</v>
      </c>
      <c r="H33" s="17">
        <v>4.2997265696228002</v>
      </c>
      <c r="I33" s="17">
        <v>4.3524887904591001</v>
      </c>
      <c r="J33" s="17">
        <v>4.5096508848042598</v>
      </c>
      <c r="K33" s="17">
        <v>4.0888403962206397</v>
      </c>
      <c r="L33" s="17">
        <v>2.4422946936308101</v>
      </c>
      <c r="M33" s="17">
        <v>2.2211219285927499</v>
      </c>
      <c r="N33" s="17">
        <v>8.0538865605181105</v>
      </c>
      <c r="O33" s="17">
        <v>2.5749149782459999</v>
      </c>
      <c r="P33" s="17">
        <v>6.6094689044321102</v>
      </c>
      <c r="Q33" s="17">
        <v>4.8096135454000102</v>
      </c>
      <c r="R33" s="17">
        <v>2.3995503814777099</v>
      </c>
      <c r="S33" s="17">
        <v>4.4951151712113901</v>
      </c>
      <c r="T33" s="17">
        <v>5.5341459250647702</v>
      </c>
      <c r="U33" s="17">
        <v>5.4475052393719503</v>
      </c>
      <c r="V33" s="17">
        <v>9.7270980475662494</v>
      </c>
      <c r="W33" s="17">
        <v>2.55209711557678</v>
      </c>
      <c r="X33" s="17">
        <v>5.0060822594173899</v>
      </c>
      <c r="Y33" s="17">
        <v>2.5565993587472202</v>
      </c>
      <c r="Z33" s="17">
        <v>2.4675565384581302</v>
      </c>
      <c r="AA33" s="17" t="s">
        <v>44</v>
      </c>
      <c r="AB33" s="17">
        <v>2.1975427792903899</v>
      </c>
      <c r="AC33" s="17">
        <v>0.26073822996430601</v>
      </c>
    </row>
    <row r="34" spans="1:29" x14ac:dyDescent="0.2">
      <c r="A34" s="17">
        <f t="shared" si="0"/>
        <v>3.8863917902206944</v>
      </c>
      <c r="B34" s="17">
        <v>30</v>
      </c>
      <c r="C34" s="17">
        <v>8.2450619263011493</v>
      </c>
      <c r="D34" s="17" t="s">
        <v>44</v>
      </c>
      <c r="E34" s="17">
        <v>4.4861662623206398</v>
      </c>
      <c r="F34" s="17" t="s">
        <v>44</v>
      </c>
      <c r="G34" s="17">
        <v>2.6314784362167898</v>
      </c>
      <c r="H34" s="17">
        <v>3.6173387405336999</v>
      </c>
      <c r="I34" s="17">
        <v>2.9874116921910998</v>
      </c>
      <c r="J34" s="17">
        <v>4.8330550796024596</v>
      </c>
      <c r="K34" s="17">
        <v>1.5541262248921299</v>
      </c>
      <c r="L34" s="17">
        <v>8.7054850333658003</v>
      </c>
      <c r="M34" s="17">
        <v>2.1412597782334499</v>
      </c>
      <c r="N34" s="17">
        <v>4.1576349388563099</v>
      </c>
      <c r="O34" s="17">
        <v>1.2195648195069799</v>
      </c>
      <c r="P34" s="17">
        <v>6.2895970512227803</v>
      </c>
      <c r="Q34" s="17">
        <v>4.6340561971735701</v>
      </c>
      <c r="R34" s="17">
        <v>5.4189467553412403</v>
      </c>
      <c r="S34" s="17">
        <v>0.45673340064800699</v>
      </c>
      <c r="T34" s="17">
        <v>6.0292035205388999</v>
      </c>
      <c r="U34" s="17">
        <v>5.0094603758803302</v>
      </c>
      <c r="V34" s="17">
        <v>2.8415868885322602</v>
      </c>
      <c r="W34" s="17">
        <v>5.1574853467672099</v>
      </c>
      <c r="X34" s="17">
        <v>4.9288090867085304</v>
      </c>
      <c r="Y34" s="17">
        <v>3.3495205917572402</v>
      </c>
      <c r="Z34" s="17">
        <v>1.0348953814574</v>
      </c>
      <c r="AA34" s="17">
        <v>5.8472489483707299</v>
      </c>
      <c r="AB34" s="17" t="s">
        <v>44</v>
      </c>
      <c r="AC34" s="17">
        <v>2.05594662495841</v>
      </c>
    </row>
    <row r="35" spans="1:29" x14ac:dyDescent="0.2">
      <c r="A35" s="17">
        <f t="shared" si="0"/>
        <v>3.3046027464417489</v>
      </c>
      <c r="B35" s="17">
        <v>31</v>
      </c>
      <c r="C35" s="17" t="s">
        <v>44</v>
      </c>
      <c r="D35" s="17" t="s">
        <v>44</v>
      </c>
      <c r="E35" s="17">
        <v>3.8934274052938198</v>
      </c>
      <c r="F35" s="17">
        <v>2.0844027464328501</v>
      </c>
      <c r="G35" s="17">
        <v>2.6986010175622202</v>
      </c>
      <c r="H35" s="17" t="s">
        <v>44</v>
      </c>
      <c r="I35" s="17">
        <v>0.29256283971747798</v>
      </c>
      <c r="J35" s="17">
        <v>4.1115640382089103</v>
      </c>
      <c r="K35" s="17" t="s">
        <v>44</v>
      </c>
      <c r="L35" s="17" t="s">
        <v>44</v>
      </c>
      <c r="M35" s="17">
        <v>1.77535187514966</v>
      </c>
      <c r="N35" s="17">
        <v>3.5568900490815998</v>
      </c>
      <c r="O35" s="17" t="s">
        <v>44</v>
      </c>
      <c r="P35" s="17" t="s">
        <v>44</v>
      </c>
      <c r="Q35" s="17">
        <v>6.0922295266424502</v>
      </c>
      <c r="R35" s="17">
        <v>0.69523223307557902</v>
      </c>
      <c r="S35" s="17">
        <v>3.7826106852996499</v>
      </c>
      <c r="T35" s="17">
        <v>4.9773286764009503</v>
      </c>
      <c r="U35" s="17">
        <v>7.6314906928527</v>
      </c>
      <c r="V35" s="17">
        <v>2.61124822373425</v>
      </c>
      <c r="W35" s="17">
        <v>4.7547415289871404</v>
      </c>
      <c r="X35" s="17">
        <v>8.6797109740029494</v>
      </c>
      <c r="Y35" s="17" t="s">
        <v>44</v>
      </c>
      <c r="Z35" s="17">
        <v>0.54951926598621104</v>
      </c>
      <c r="AA35" s="17">
        <v>5.9579929189999797E-2</v>
      </c>
      <c r="AB35" s="17">
        <v>1.13026208295454</v>
      </c>
      <c r="AC35" s="17">
        <v>3.41069839182027</v>
      </c>
    </row>
    <row r="36" spans="1:29" x14ac:dyDescent="0.2">
      <c r="A36" s="17">
        <f t="shared" si="0"/>
        <v>2.2919485251996545</v>
      </c>
      <c r="B36" s="17">
        <v>32</v>
      </c>
      <c r="C36" s="17">
        <v>0.70929036702910497</v>
      </c>
      <c r="D36" s="17" t="s">
        <v>44</v>
      </c>
      <c r="E36" s="17">
        <v>2.2709093146257899</v>
      </c>
      <c r="F36" s="17">
        <v>5.0540890410553603</v>
      </c>
      <c r="G36" s="17">
        <v>2.29770038608646</v>
      </c>
      <c r="H36" s="17" t="s">
        <v>44</v>
      </c>
      <c r="I36" s="17">
        <v>0.58713918243949204</v>
      </c>
      <c r="J36" s="17">
        <v>0.41060996269072397</v>
      </c>
      <c r="K36" s="17">
        <v>4.0828216342106201</v>
      </c>
      <c r="L36" s="17">
        <v>1.4171637714852601</v>
      </c>
      <c r="M36" s="17">
        <v>3.8789171033095702</v>
      </c>
      <c r="N36" s="17">
        <v>2.0753866467262401</v>
      </c>
      <c r="O36" s="17" t="s">
        <v>44</v>
      </c>
      <c r="P36" s="17" t="s">
        <v>44</v>
      </c>
      <c r="Q36" s="17">
        <v>0.82816574005029397</v>
      </c>
      <c r="R36" s="17">
        <v>3.3295713364213202</v>
      </c>
      <c r="S36" s="17">
        <v>2.2433373855441201</v>
      </c>
      <c r="T36" s="17">
        <v>2.4646044962437199</v>
      </c>
      <c r="U36" s="17">
        <v>2.09615513906579</v>
      </c>
      <c r="V36" s="17">
        <v>2.2889212474171798</v>
      </c>
      <c r="W36" s="17">
        <v>1.9119184891749299</v>
      </c>
      <c r="X36" s="17">
        <v>3.2069069982288402E-2</v>
      </c>
      <c r="Y36" s="32">
        <v>0.79846942422491196</v>
      </c>
      <c r="Z36" s="17">
        <v>2.86372007504059</v>
      </c>
      <c r="AA36" s="17">
        <v>4.1851960346355304</v>
      </c>
      <c r="AB36" s="17" t="s">
        <v>44</v>
      </c>
      <c r="AC36" s="17">
        <v>3.0140535487625502</v>
      </c>
    </row>
    <row r="37" spans="1:29" x14ac:dyDescent="0.2">
      <c r="A37" s="17">
        <f t="shared" si="0"/>
        <v>4.0717140084601526</v>
      </c>
      <c r="B37" s="17">
        <v>33</v>
      </c>
      <c r="C37" s="17">
        <v>2.5365986076474001</v>
      </c>
      <c r="D37" s="17">
        <v>6.2799363966756303</v>
      </c>
      <c r="E37" s="17">
        <v>6.88401173159808</v>
      </c>
      <c r="F37" s="17">
        <v>4.6062467349712302</v>
      </c>
      <c r="G37" s="17" t="s">
        <v>44</v>
      </c>
      <c r="H37" s="17">
        <v>5.0957470007156198</v>
      </c>
      <c r="I37" s="17">
        <v>3.2698504059586502</v>
      </c>
      <c r="J37" s="17">
        <v>7.4035580893371096</v>
      </c>
      <c r="K37" s="17" t="s">
        <v>44</v>
      </c>
      <c r="L37" s="17">
        <v>5.9186397002254898</v>
      </c>
      <c r="M37" s="17">
        <v>1.35363438463233</v>
      </c>
      <c r="N37" s="17">
        <v>6.5290604103338596</v>
      </c>
      <c r="O37" s="17">
        <v>4.2294349424075302</v>
      </c>
      <c r="P37" s="17">
        <v>2.1970854458576898</v>
      </c>
      <c r="Q37" s="17">
        <v>4.0127074517739096</v>
      </c>
      <c r="R37" s="17">
        <v>9.4907873056509899</v>
      </c>
      <c r="S37" s="17">
        <v>5.5465228780951801</v>
      </c>
      <c r="T37" s="17">
        <v>1.9224031714176599</v>
      </c>
      <c r="U37" s="17">
        <v>0.52554241900752696</v>
      </c>
      <c r="V37" s="17">
        <v>1.4889605148273399</v>
      </c>
      <c r="W37" s="17">
        <v>6.4519108657052398</v>
      </c>
      <c r="X37" s="17">
        <v>2.4619402171040901</v>
      </c>
      <c r="Y37" s="17">
        <v>2.4638296772655299</v>
      </c>
      <c r="Z37" s="17">
        <v>1.9148121683032</v>
      </c>
      <c r="AA37" s="17">
        <v>0.77634942897778003</v>
      </c>
      <c r="AB37" s="17">
        <v>2.6646020863503899</v>
      </c>
      <c r="AC37" s="17">
        <v>4.2335627758516301</v>
      </c>
    </row>
    <row r="38" spans="1:29" x14ac:dyDescent="0.2">
      <c r="A38" s="17">
        <f t="shared" si="0"/>
        <v>6.6891925367280702</v>
      </c>
      <c r="B38" s="17">
        <v>34</v>
      </c>
      <c r="C38" s="17">
        <v>9.6997474343356807</v>
      </c>
      <c r="D38" s="17">
        <v>12.458237704863</v>
      </c>
      <c r="E38" s="17">
        <v>4.9374855505590398</v>
      </c>
      <c r="F38" s="17">
        <v>6.1257570889215902</v>
      </c>
      <c r="G38" s="17">
        <v>8.3973529650122192</v>
      </c>
      <c r="H38" s="17">
        <v>23.096271109129301</v>
      </c>
      <c r="I38" s="17">
        <v>7.3789293440793404</v>
      </c>
      <c r="J38" s="17">
        <v>7.0211478542400902</v>
      </c>
      <c r="K38" s="17">
        <v>2.5956891650444902</v>
      </c>
      <c r="L38" s="17">
        <v>1.3379641775724</v>
      </c>
      <c r="M38" s="17">
        <v>4.8197999267215197</v>
      </c>
      <c r="N38" s="17">
        <v>2.0143226213045198</v>
      </c>
      <c r="O38" s="17">
        <v>3.7091690760931999</v>
      </c>
      <c r="P38" s="17">
        <v>7.0118022270433498</v>
      </c>
      <c r="Q38" s="17">
        <v>3.5954477731115602</v>
      </c>
      <c r="R38" s="17">
        <v>19.643894083957001</v>
      </c>
      <c r="S38" s="17">
        <v>3.38483767053089</v>
      </c>
      <c r="T38" s="17">
        <v>10.1217311021569</v>
      </c>
      <c r="U38" s="17" t="s">
        <v>44</v>
      </c>
      <c r="V38" s="17">
        <v>2.4826216048403298</v>
      </c>
      <c r="W38" s="17">
        <v>6.7310107572339</v>
      </c>
      <c r="X38" s="17">
        <v>3.47099879779126</v>
      </c>
      <c r="Y38" s="17">
        <v>2.3286940024392702</v>
      </c>
      <c r="Z38" s="17">
        <v>2.0577230259788002</v>
      </c>
      <c r="AA38" s="17" t="s">
        <v>44</v>
      </c>
      <c r="AB38" s="17">
        <v>9.1305407161217005</v>
      </c>
      <c r="AC38" s="17" t="s">
        <v>44</v>
      </c>
    </row>
    <row r="39" spans="1:29" x14ac:dyDescent="0.2">
      <c r="A39" s="17">
        <f t="shared" si="0"/>
        <v>5.2766577303734721</v>
      </c>
      <c r="B39" s="17">
        <v>35</v>
      </c>
      <c r="C39" s="17" t="s">
        <v>44</v>
      </c>
      <c r="D39" s="17">
        <v>11.232056073195499</v>
      </c>
      <c r="E39" s="17" t="s">
        <v>44</v>
      </c>
      <c r="F39" s="17">
        <v>6.8945454755154199</v>
      </c>
      <c r="G39" s="17">
        <v>4.0470011064329698</v>
      </c>
      <c r="H39" s="17" t="s">
        <v>44</v>
      </c>
      <c r="I39" s="17">
        <v>1.9371644970267701</v>
      </c>
      <c r="J39" s="17">
        <v>5.1927152055571604</v>
      </c>
      <c r="K39" s="17">
        <v>15.466133911244301</v>
      </c>
      <c r="L39" s="17">
        <v>5.8025473449104696</v>
      </c>
      <c r="M39" s="17" t="s">
        <v>44</v>
      </c>
      <c r="N39" s="17" t="s">
        <v>44</v>
      </c>
      <c r="O39" s="17" t="s">
        <v>44</v>
      </c>
      <c r="P39" s="17">
        <v>2.0961520373978701</v>
      </c>
      <c r="Q39" s="17">
        <v>7.8069504993968799</v>
      </c>
      <c r="R39" s="17" t="s">
        <v>44</v>
      </c>
      <c r="S39" s="17">
        <v>4.5039765525936399</v>
      </c>
      <c r="T39" s="17" t="s">
        <v>44</v>
      </c>
      <c r="U39" s="17">
        <v>6.7505316366610897</v>
      </c>
      <c r="V39" s="17">
        <v>11.3262533641588</v>
      </c>
      <c r="W39" s="17">
        <v>3.9558969350292301</v>
      </c>
      <c r="X39" s="17">
        <v>2.6922556652904301</v>
      </c>
      <c r="Y39" s="17">
        <v>7.2667822217065997E-2</v>
      </c>
      <c r="Z39" s="17">
        <v>2.5214299761473402</v>
      </c>
      <c r="AA39" s="17">
        <v>0.102813794943782</v>
      </c>
      <c r="AB39" s="17">
        <v>7.3297816426997704</v>
      </c>
      <c r="AC39" s="17">
        <v>0.52562333667745698</v>
      </c>
    </row>
    <row r="40" spans="1:29" x14ac:dyDescent="0.2">
      <c r="A40" s="17">
        <f t="shared" si="0"/>
        <v>6.104022876606451</v>
      </c>
      <c r="B40" s="17">
        <v>36</v>
      </c>
      <c r="C40" s="17">
        <v>6.43763389831593</v>
      </c>
      <c r="D40" s="17">
        <v>12.021523126917099</v>
      </c>
      <c r="E40" s="17">
        <v>3.5066391863378201</v>
      </c>
      <c r="F40" s="17">
        <v>8.7402438957021094</v>
      </c>
      <c r="G40" s="17">
        <v>6.3636987959651599</v>
      </c>
      <c r="H40" s="17">
        <v>4.1052065311491397</v>
      </c>
      <c r="I40" s="17">
        <v>3.9487735252331801</v>
      </c>
      <c r="J40" s="17">
        <v>7.6549180313173899</v>
      </c>
      <c r="K40" s="17">
        <v>4.6615548434279503</v>
      </c>
      <c r="L40" s="17">
        <v>10.7552332514299</v>
      </c>
      <c r="M40" s="17">
        <v>4.08545395191772</v>
      </c>
      <c r="N40" s="17">
        <v>3.0050641640968001</v>
      </c>
      <c r="O40" s="17">
        <v>3.0232385229890499</v>
      </c>
      <c r="P40" s="17">
        <v>11.247819599666</v>
      </c>
      <c r="Q40" s="17">
        <v>9.8099442491045803</v>
      </c>
      <c r="R40" s="17">
        <v>3.7740773549903102</v>
      </c>
      <c r="S40" s="17">
        <v>5.1910356057154701</v>
      </c>
      <c r="T40" s="17">
        <v>4.2638342183887499</v>
      </c>
      <c r="U40" s="17">
        <v>5.5059400542943102</v>
      </c>
      <c r="V40" s="17" t="s">
        <v>44</v>
      </c>
      <c r="W40" s="17">
        <v>8.6317426710212892</v>
      </c>
      <c r="X40" s="17">
        <v>4.4305989707384201</v>
      </c>
      <c r="Y40" s="17">
        <v>3.1401609468436402</v>
      </c>
      <c r="Z40" s="17">
        <v>8.1200831906594804</v>
      </c>
      <c r="AA40" s="17">
        <v>6.9865102683509903</v>
      </c>
      <c r="AB40" s="17" t="s">
        <v>44</v>
      </c>
      <c r="AC40" s="17">
        <v>3.5232540822982901</v>
      </c>
    </row>
    <row r="41" spans="1:29" x14ac:dyDescent="0.2">
      <c r="A41" s="17">
        <f t="shared" si="0"/>
        <v>4.0083371346005681</v>
      </c>
      <c r="B41" s="17">
        <v>37</v>
      </c>
      <c r="C41" s="17" t="s">
        <v>44</v>
      </c>
      <c r="D41" s="17">
        <v>6.8562793701435298</v>
      </c>
      <c r="E41" s="17">
        <v>5.4068705427118102</v>
      </c>
      <c r="F41" s="17" t="s">
        <v>44</v>
      </c>
      <c r="G41" s="17">
        <v>4.4434190688565298</v>
      </c>
      <c r="H41" s="17">
        <v>2.8373325697220899</v>
      </c>
      <c r="I41" s="17">
        <v>2.36484589872726</v>
      </c>
      <c r="J41" s="17">
        <v>2.2805182552646799</v>
      </c>
      <c r="K41" s="17" t="s">
        <v>44</v>
      </c>
      <c r="L41" s="17">
        <v>7.2251079708959498</v>
      </c>
      <c r="M41" s="17" t="s">
        <v>44</v>
      </c>
      <c r="N41" s="17">
        <v>2.7829288180440801</v>
      </c>
      <c r="O41" s="17">
        <v>1.38559167265214</v>
      </c>
      <c r="P41" s="17" t="s">
        <v>44</v>
      </c>
      <c r="Q41" s="17">
        <v>3.6068888237144501</v>
      </c>
      <c r="R41" s="17">
        <v>11.6222007666551</v>
      </c>
      <c r="S41" s="17">
        <v>2.72357977006107</v>
      </c>
      <c r="T41" s="17">
        <v>1.9357851465175</v>
      </c>
      <c r="U41" s="17">
        <v>2.3812161210154899E-2</v>
      </c>
      <c r="V41" s="17">
        <v>10.465163375945</v>
      </c>
      <c r="W41" s="17" t="s">
        <v>44</v>
      </c>
      <c r="X41" s="17" t="s">
        <v>44</v>
      </c>
      <c r="Y41" s="32">
        <v>0.74757759466145102</v>
      </c>
      <c r="Z41" s="17">
        <v>1.9994437653547299</v>
      </c>
      <c r="AA41" s="17">
        <v>1.6447722292358899</v>
      </c>
      <c r="AB41" s="17">
        <v>9.8002852833380896</v>
      </c>
      <c r="AC41" s="17">
        <v>1.4339608299858199E-2</v>
      </c>
    </row>
    <row r="42" spans="1:29" x14ac:dyDescent="0.2">
      <c r="A42" s="17">
        <f t="shared" si="0"/>
        <v>4.9976006384776239</v>
      </c>
      <c r="B42" s="17">
        <v>38</v>
      </c>
      <c r="C42" s="17">
        <v>8.9133279126564293</v>
      </c>
      <c r="D42" s="17">
        <v>11.4240002791575</v>
      </c>
      <c r="E42" s="17">
        <v>1.9497968897246201</v>
      </c>
      <c r="F42" s="17">
        <v>8.4156228754793307</v>
      </c>
      <c r="G42" s="17">
        <v>0.52778281764178803</v>
      </c>
      <c r="H42" s="17">
        <v>4.66760999928103</v>
      </c>
      <c r="I42" s="17">
        <v>3.8928002632428198</v>
      </c>
      <c r="J42" s="17">
        <v>7.4227390227468</v>
      </c>
      <c r="K42" s="17">
        <v>3.1898199641320799</v>
      </c>
      <c r="L42" s="17">
        <v>16.853742148925701</v>
      </c>
      <c r="M42" s="17">
        <v>2.4523978897777501</v>
      </c>
      <c r="N42" s="17">
        <v>1.45674899401613</v>
      </c>
      <c r="O42" s="17">
        <v>0.13648558882626599</v>
      </c>
      <c r="P42" s="17">
        <v>4.8838313025545999</v>
      </c>
      <c r="Q42" s="17">
        <v>4.2467974032994702</v>
      </c>
      <c r="R42" s="17">
        <v>7.3197181445581396</v>
      </c>
      <c r="S42" s="17">
        <v>0.66905299524968898</v>
      </c>
      <c r="T42" s="17">
        <v>7.4428818837929196</v>
      </c>
      <c r="U42" s="17">
        <v>6.3043987915672703</v>
      </c>
      <c r="V42" s="17" t="s">
        <v>44</v>
      </c>
      <c r="W42" s="17">
        <v>4.93458541066168</v>
      </c>
      <c r="X42" s="17">
        <v>5.4628355944189</v>
      </c>
      <c r="Y42" s="17">
        <v>0.38897359801004</v>
      </c>
      <c r="Z42" s="17">
        <v>3.4786213760845501</v>
      </c>
      <c r="AA42" s="17">
        <v>8.2059389030733101</v>
      </c>
      <c r="AB42" s="17">
        <v>7.3400764171703896</v>
      </c>
      <c r="AC42" s="17">
        <v>1.87275740854783</v>
      </c>
    </row>
    <row r="43" spans="1:29" x14ac:dyDescent="0.2">
      <c r="A43" s="17">
        <f t="shared" si="0"/>
        <v>3.4025425647200724</v>
      </c>
      <c r="B43" s="17">
        <v>39</v>
      </c>
      <c r="C43" s="17">
        <v>1.2416986540836299</v>
      </c>
      <c r="D43" s="17">
        <v>2.22253932731673</v>
      </c>
      <c r="E43" s="17">
        <v>0.38403799019492701</v>
      </c>
      <c r="F43" s="17">
        <v>3.9087746073564702</v>
      </c>
      <c r="G43" s="17">
        <v>4.6202195243515698</v>
      </c>
      <c r="H43" s="17" t="s">
        <v>44</v>
      </c>
      <c r="I43" s="17" t="s">
        <v>44</v>
      </c>
      <c r="J43" s="17">
        <v>0.78115786465339598</v>
      </c>
      <c r="K43" s="17">
        <v>4.4655904470110297</v>
      </c>
      <c r="L43" s="17">
        <v>3.0424705024038898</v>
      </c>
      <c r="M43" s="17">
        <v>5.1232153868330297</v>
      </c>
      <c r="N43" s="17">
        <v>2.3511539125277801</v>
      </c>
      <c r="O43" s="17" t="s">
        <v>44</v>
      </c>
      <c r="P43" s="17">
        <v>4.3662202296396897</v>
      </c>
      <c r="Q43" s="17">
        <v>7.9713819562492301</v>
      </c>
      <c r="R43" s="17">
        <v>6.9923042912004103</v>
      </c>
      <c r="S43" s="17">
        <v>3.01376202466402</v>
      </c>
      <c r="T43" s="17">
        <v>4.0651587235472704</v>
      </c>
      <c r="U43" s="17">
        <v>2.9307610375665401</v>
      </c>
      <c r="V43" s="17">
        <v>1.55097752472321</v>
      </c>
      <c r="W43" s="17">
        <v>2.2634489002069</v>
      </c>
      <c r="X43" s="17" t="s">
        <v>44</v>
      </c>
      <c r="Y43" s="17" t="s">
        <v>44</v>
      </c>
      <c r="Z43" s="17">
        <v>2.1827597491150001</v>
      </c>
      <c r="AA43" s="17">
        <v>2.7385126086998102</v>
      </c>
      <c r="AB43" s="17">
        <v>0.42910716640482099</v>
      </c>
      <c r="AC43" s="17">
        <v>6.0498400844557896</v>
      </c>
    </row>
    <row r="45" spans="1:29" x14ac:dyDescent="0.2">
      <c r="C45" s="17">
        <f>AVERAGE(C5:C43)</f>
        <v>5.0045024473984885</v>
      </c>
      <c r="D45" s="17">
        <f t="shared" ref="D45:AC45" si="1">AVERAGE(D5:D43)</f>
        <v>5.3882475435633275</v>
      </c>
      <c r="E45" s="17">
        <f t="shared" si="1"/>
        <v>3.628380061002427</v>
      </c>
      <c r="F45" s="17">
        <f t="shared" si="1"/>
        <v>4.8619991488796774</v>
      </c>
      <c r="G45" s="17">
        <f t="shared" si="1"/>
        <v>3.6913361225427703</v>
      </c>
      <c r="H45" s="17">
        <f t="shared" si="1"/>
        <v>5.5549576776796314</v>
      </c>
      <c r="I45" s="17">
        <f t="shared" si="1"/>
        <v>3.0713544540153537</v>
      </c>
      <c r="J45" s="17">
        <f t="shared" si="1"/>
        <v>4.4259290547961978</v>
      </c>
      <c r="K45" s="17">
        <f t="shared" si="1"/>
        <v>3.1546497334765742</v>
      </c>
      <c r="L45" s="17">
        <f t="shared" si="1"/>
        <v>5.0945581491151239</v>
      </c>
      <c r="M45" s="17">
        <f t="shared" si="1"/>
        <v>3.76112206210711</v>
      </c>
      <c r="N45" s="17">
        <f t="shared" si="1"/>
        <v>3.7792342900332607</v>
      </c>
      <c r="O45" s="17">
        <f t="shared" si="1"/>
        <v>2.5955464618633339</v>
      </c>
      <c r="P45" s="17">
        <f t="shared" si="1"/>
        <v>3.9641827724140288</v>
      </c>
      <c r="Q45" s="17">
        <f t="shared" si="1"/>
        <v>4.570415838878489</v>
      </c>
      <c r="R45" s="17">
        <f t="shared" si="1"/>
        <v>5.0737523734858136</v>
      </c>
      <c r="S45" s="17">
        <f t="shared" si="1"/>
        <v>3.2574299111921303</v>
      </c>
      <c r="T45" s="17">
        <f t="shared" si="1"/>
        <v>4.9552815984847847</v>
      </c>
      <c r="U45" s="17">
        <f t="shared" si="1"/>
        <v>3.5277009521671503</v>
      </c>
      <c r="V45" s="17">
        <f t="shared" si="1"/>
        <v>3.6015879497683967</v>
      </c>
      <c r="W45" s="17">
        <f t="shared" si="1"/>
        <v>4.5964552520775612</v>
      </c>
      <c r="X45" s="17">
        <f t="shared" si="1"/>
        <v>3.1764381384083462</v>
      </c>
      <c r="Y45" s="17">
        <f t="shared" si="1"/>
        <v>2.9666650009927684</v>
      </c>
      <c r="Z45" s="17">
        <f t="shared" si="1"/>
        <v>2.9775124555696415</v>
      </c>
      <c r="AA45" s="17">
        <f t="shared" si="1"/>
        <v>3.6554372449318313</v>
      </c>
      <c r="AB45" s="17">
        <f t="shared" si="1"/>
        <v>2.7849870883365462</v>
      </c>
      <c r="AC45" s="17">
        <f t="shared" si="1"/>
        <v>3.3453726001875115</v>
      </c>
    </row>
  </sheetData>
  <phoneticPr fontId="1" type="noConversion"/>
  <conditionalFormatting sqref="A4:A43">
    <cfRule type="aboveAverage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E8AF-9C1C-4B32-97BC-AA97C998AFD6}">
  <dimension ref="A1:AA43"/>
  <sheetViews>
    <sheetView workbookViewId="0">
      <selection activeCell="W5" sqref="D5:W43"/>
    </sheetView>
  </sheetViews>
  <sheetFormatPr defaultColWidth="8.625" defaultRowHeight="11.25" x14ac:dyDescent="0.2"/>
  <cols>
    <col min="1" max="1" width="8.625" style="17"/>
    <col min="2" max="2" width="8.625" style="17" customWidth="1"/>
    <col min="3" max="16384" width="8.625" style="17"/>
  </cols>
  <sheetData>
    <row r="1" spans="1:27" s="9" customFormat="1" x14ac:dyDescent="0.2">
      <c r="A1" s="9" t="s">
        <v>46</v>
      </c>
      <c r="B1" s="10">
        <v>2</v>
      </c>
      <c r="C1" s="10">
        <v>11</v>
      </c>
      <c r="D1" s="10">
        <v>12</v>
      </c>
      <c r="E1" s="10">
        <v>18</v>
      </c>
      <c r="F1" s="10">
        <v>15</v>
      </c>
      <c r="G1" s="10">
        <v>3</v>
      </c>
      <c r="H1" s="10">
        <v>20</v>
      </c>
      <c r="I1" s="10">
        <v>19</v>
      </c>
      <c r="J1" s="10">
        <v>7</v>
      </c>
      <c r="K1" s="10">
        <v>8</v>
      </c>
      <c r="L1" s="10">
        <v>1</v>
      </c>
      <c r="M1" s="10">
        <v>16</v>
      </c>
      <c r="N1" s="10">
        <v>9</v>
      </c>
      <c r="O1" s="10">
        <v>4</v>
      </c>
      <c r="P1" s="10">
        <v>5</v>
      </c>
      <c r="Q1" s="10">
        <v>13</v>
      </c>
      <c r="R1" s="10">
        <v>17</v>
      </c>
      <c r="S1" s="10">
        <v>14</v>
      </c>
      <c r="T1" s="10">
        <v>10</v>
      </c>
      <c r="U1" s="10">
        <v>6</v>
      </c>
    </row>
    <row r="2" spans="1:27" s="9" customFormat="1" x14ac:dyDescent="0.2">
      <c r="A2" s="9" t="s">
        <v>47</v>
      </c>
      <c r="B2" s="10">
        <v>1</v>
      </c>
      <c r="C2" s="11">
        <v>2</v>
      </c>
      <c r="D2" s="11">
        <v>3</v>
      </c>
      <c r="E2" s="12">
        <v>4</v>
      </c>
      <c r="F2" s="13">
        <v>5</v>
      </c>
      <c r="G2" s="14">
        <v>6</v>
      </c>
      <c r="H2" s="10">
        <v>7</v>
      </c>
      <c r="I2" s="12">
        <v>8</v>
      </c>
      <c r="J2" s="15">
        <v>9</v>
      </c>
      <c r="K2" s="15">
        <v>10</v>
      </c>
      <c r="L2" s="16">
        <v>11</v>
      </c>
      <c r="M2" s="13">
        <v>12</v>
      </c>
      <c r="N2" s="15">
        <v>13</v>
      </c>
      <c r="O2" s="14">
        <v>14</v>
      </c>
      <c r="P2" s="14">
        <v>15</v>
      </c>
      <c r="Q2" s="11">
        <v>16</v>
      </c>
      <c r="R2" s="13">
        <v>17</v>
      </c>
      <c r="S2" s="11">
        <v>18</v>
      </c>
      <c r="T2" s="15">
        <v>19</v>
      </c>
      <c r="U2" s="14">
        <v>20</v>
      </c>
      <c r="V2" s="9">
        <v>21</v>
      </c>
      <c r="W2" s="9">
        <v>22</v>
      </c>
      <c r="X2" s="9">
        <v>23</v>
      </c>
      <c r="Y2" s="9">
        <v>24</v>
      </c>
      <c r="Z2" s="9">
        <v>25</v>
      </c>
      <c r="AA2" s="9">
        <v>26</v>
      </c>
    </row>
    <row r="3" spans="1:27" s="9" customFormat="1" x14ac:dyDescent="0.2">
      <c r="B3" s="10" t="s">
        <v>0</v>
      </c>
      <c r="C3" s="11" t="s">
        <v>2</v>
      </c>
      <c r="D3" s="11" t="s">
        <v>4</v>
      </c>
      <c r="E3" s="12" t="s">
        <v>6</v>
      </c>
      <c r="F3" s="13" t="s">
        <v>8</v>
      </c>
      <c r="G3" s="14" t="s">
        <v>10</v>
      </c>
      <c r="H3" s="10" t="s">
        <v>12</v>
      </c>
      <c r="I3" s="12" t="s">
        <v>14</v>
      </c>
      <c r="J3" s="15" t="s">
        <v>16</v>
      </c>
      <c r="K3" s="15" t="s">
        <v>18</v>
      </c>
      <c r="L3" s="16" t="s">
        <v>20</v>
      </c>
      <c r="M3" s="13" t="s">
        <v>22</v>
      </c>
      <c r="N3" s="15" t="s">
        <v>24</v>
      </c>
      <c r="O3" s="14" t="s">
        <v>26</v>
      </c>
      <c r="P3" s="14" t="s">
        <v>28</v>
      </c>
      <c r="Q3" s="11" t="s">
        <v>30</v>
      </c>
      <c r="R3" s="13" t="s">
        <v>32</v>
      </c>
      <c r="S3" s="11" t="s">
        <v>34</v>
      </c>
      <c r="T3" s="15" t="s">
        <v>36</v>
      </c>
      <c r="U3" s="14" t="s">
        <v>38</v>
      </c>
    </row>
    <row r="4" spans="1:27" s="9" customFormat="1" ht="22.5" x14ac:dyDescent="0.2">
      <c r="A4" s="17" t="s">
        <v>45</v>
      </c>
      <c r="B4" s="10" t="s">
        <v>1</v>
      </c>
      <c r="C4" s="11" t="s">
        <v>3</v>
      </c>
      <c r="D4" s="11" t="s">
        <v>5</v>
      </c>
      <c r="E4" s="12" t="s">
        <v>7</v>
      </c>
      <c r="F4" s="13" t="s">
        <v>9</v>
      </c>
      <c r="G4" s="14" t="s">
        <v>11</v>
      </c>
      <c r="H4" s="10" t="s">
        <v>13</v>
      </c>
      <c r="I4" s="12" t="s">
        <v>15</v>
      </c>
      <c r="J4" s="15" t="s">
        <v>17</v>
      </c>
      <c r="K4" s="15" t="s">
        <v>19</v>
      </c>
      <c r="L4" s="16" t="s">
        <v>21</v>
      </c>
      <c r="M4" s="13" t="s">
        <v>23</v>
      </c>
      <c r="N4" s="15" t="s">
        <v>25</v>
      </c>
      <c r="O4" s="14" t="s">
        <v>27</v>
      </c>
      <c r="P4" s="14" t="s">
        <v>29</v>
      </c>
      <c r="Q4" s="11" t="s">
        <v>31</v>
      </c>
      <c r="R4" s="13" t="s">
        <v>33</v>
      </c>
      <c r="S4" s="11" t="s">
        <v>35</v>
      </c>
      <c r="T4" s="15" t="s">
        <v>37</v>
      </c>
      <c r="U4" s="14" t="s">
        <v>39</v>
      </c>
      <c r="V4" s="9" t="s">
        <v>42</v>
      </c>
      <c r="W4" s="9" t="s">
        <v>42</v>
      </c>
      <c r="X4" s="9" t="s">
        <v>42</v>
      </c>
      <c r="Y4" s="9" t="s">
        <v>42</v>
      </c>
      <c r="Z4" s="9" t="s">
        <v>42</v>
      </c>
      <c r="AA4" s="9" t="s">
        <v>42</v>
      </c>
    </row>
    <row r="5" spans="1:27" x14ac:dyDescent="0.2">
      <c r="A5" s="17">
        <v>1</v>
      </c>
      <c r="B5" s="17">
        <v>-1</v>
      </c>
      <c r="C5" s="17">
        <v>0.5</v>
      </c>
      <c r="D5" s="17">
        <v>0.5</v>
      </c>
      <c r="E5" s="17">
        <v>1.5</v>
      </c>
      <c r="F5" s="17">
        <v>2</v>
      </c>
      <c r="G5" s="17">
        <v>-1</v>
      </c>
      <c r="H5" s="17">
        <v>2</v>
      </c>
      <c r="I5" s="17">
        <v>2</v>
      </c>
      <c r="J5" s="17">
        <v>0.5</v>
      </c>
      <c r="K5" s="17">
        <v>1</v>
      </c>
      <c r="L5" s="17">
        <v>1.5</v>
      </c>
      <c r="M5" s="17">
        <v>1.5</v>
      </c>
      <c r="N5" s="17">
        <v>0.5</v>
      </c>
      <c r="O5" s="17">
        <v>2</v>
      </c>
      <c r="P5" s="17">
        <v>2</v>
      </c>
      <c r="Q5" s="17">
        <v>1</v>
      </c>
      <c r="R5" s="17">
        <v>2.5</v>
      </c>
      <c r="S5" s="17">
        <v>2.5</v>
      </c>
      <c r="T5" s="17">
        <v>2</v>
      </c>
      <c r="U5" s="17">
        <v>1.5</v>
      </c>
      <c r="V5" s="17">
        <v>2</v>
      </c>
      <c r="W5" s="17">
        <v>1.5</v>
      </c>
      <c r="X5" s="17">
        <v>2.5</v>
      </c>
      <c r="Y5" s="17">
        <v>1</v>
      </c>
      <c r="Z5" s="17">
        <v>0.5</v>
      </c>
      <c r="AA5" s="17">
        <v>-0.5</v>
      </c>
    </row>
    <row r="6" spans="1:27" x14ac:dyDescent="0.2">
      <c r="A6" s="17">
        <v>2</v>
      </c>
      <c r="B6" s="17" t="s">
        <v>44</v>
      </c>
      <c r="C6" s="17" t="s">
        <v>44</v>
      </c>
      <c r="D6" s="17" t="s">
        <v>44</v>
      </c>
      <c r="E6" s="17" t="s">
        <v>44</v>
      </c>
      <c r="F6" s="17" t="s">
        <v>44</v>
      </c>
      <c r="G6" s="17" t="s">
        <v>44</v>
      </c>
      <c r="H6" s="17" t="s">
        <v>44</v>
      </c>
      <c r="I6" s="17" t="s">
        <v>44</v>
      </c>
      <c r="J6" s="17" t="s">
        <v>44</v>
      </c>
      <c r="K6" s="17" t="s">
        <v>44</v>
      </c>
      <c r="L6" s="17" t="s">
        <v>44</v>
      </c>
      <c r="M6" s="17" t="s">
        <v>44</v>
      </c>
      <c r="N6" s="17" t="s">
        <v>44</v>
      </c>
      <c r="O6" s="17" t="s">
        <v>44</v>
      </c>
      <c r="P6" s="17" t="s">
        <v>44</v>
      </c>
      <c r="Q6" s="17" t="s">
        <v>44</v>
      </c>
      <c r="R6" s="17" t="s">
        <v>44</v>
      </c>
      <c r="S6" s="17" t="s">
        <v>44</v>
      </c>
      <c r="T6" s="17" t="s">
        <v>44</v>
      </c>
      <c r="U6" s="17" t="s">
        <v>44</v>
      </c>
      <c r="V6" s="17" t="s">
        <v>44</v>
      </c>
      <c r="W6" s="17" t="s">
        <v>44</v>
      </c>
      <c r="X6" s="17" t="s">
        <v>44</v>
      </c>
      <c r="Y6" s="17" t="s">
        <v>44</v>
      </c>
      <c r="Z6" s="17" t="s">
        <v>44</v>
      </c>
      <c r="AA6" s="17" t="s">
        <v>44</v>
      </c>
    </row>
    <row r="7" spans="1:27" x14ac:dyDescent="0.2">
      <c r="A7" s="17">
        <v>3</v>
      </c>
      <c r="B7" s="17">
        <v>1</v>
      </c>
      <c r="C7" s="17">
        <v>0</v>
      </c>
      <c r="D7" s="17">
        <v>0.5</v>
      </c>
      <c r="E7" s="17">
        <v>2</v>
      </c>
      <c r="F7" s="17">
        <v>2.5</v>
      </c>
      <c r="G7" s="17">
        <v>-1</v>
      </c>
      <c r="H7" s="17">
        <v>2</v>
      </c>
      <c r="I7" s="17">
        <v>2</v>
      </c>
      <c r="J7" s="17">
        <v>2</v>
      </c>
      <c r="K7" s="17">
        <v>2</v>
      </c>
      <c r="L7" s="17">
        <v>2</v>
      </c>
      <c r="M7" s="17">
        <v>2</v>
      </c>
      <c r="N7" s="17">
        <v>2</v>
      </c>
      <c r="O7" s="17">
        <v>1</v>
      </c>
      <c r="P7" s="17">
        <v>2</v>
      </c>
      <c r="Q7" s="17">
        <v>1.5</v>
      </c>
      <c r="R7" s="17">
        <v>2</v>
      </c>
      <c r="S7" s="17">
        <v>1</v>
      </c>
      <c r="T7" s="17">
        <v>1</v>
      </c>
      <c r="U7" s="17">
        <v>2</v>
      </c>
      <c r="V7" s="17">
        <v>1</v>
      </c>
      <c r="W7" s="17">
        <v>-1.5</v>
      </c>
      <c r="X7" s="17">
        <v>1.5</v>
      </c>
      <c r="Y7" s="17">
        <v>1.5</v>
      </c>
      <c r="Z7" s="17">
        <v>1</v>
      </c>
      <c r="AA7" s="17">
        <v>1</v>
      </c>
    </row>
    <row r="8" spans="1:27" x14ac:dyDescent="0.2">
      <c r="A8" s="17">
        <v>4</v>
      </c>
      <c r="B8" s="17">
        <v>-1</v>
      </c>
      <c r="C8" s="17">
        <v>1</v>
      </c>
      <c r="D8" s="17">
        <v>1</v>
      </c>
      <c r="E8" s="17">
        <v>2</v>
      </c>
      <c r="F8" s="17">
        <v>1</v>
      </c>
      <c r="G8" s="17">
        <v>0</v>
      </c>
      <c r="H8" s="17">
        <v>1</v>
      </c>
      <c r="I8" s="17">
        <v>0.5</v>
      </c>
      <c r="J8" s="17">
        <v>0</v>
      </c>
      <c r="K8" s="17">
        <v>0.5</v>
      </c>
      <c r="L8" s="17">
        <v>0</v>
      </c>
      <c r="M8" s="17">
        <v>1</v>
      </c>
      <c r="N8" s="17">
        <v>1</v>
      </c>
      <c r="O8" s="17">
        <v>1</v>
      </c>
      <c r="P8" s="17">
        <v>0.5</v>
      </c>
      <c r="Q8" s="17">
        <v>0.5</v>
      </c>
      <c r="R8" s="17">
        <v>1</v>
      </c>
      <c r="S8" s="17">
        <v>1</v>
      </c>
      <c r="T8" s="17">
        <v>0.5</v>
      </c>
      <c r="U8" s="17">
        <v>0.5</v>
      </c>
      <c r="V8" s="17">
        <v>-0.5</v>
      </c>
      <c r="W8" s="17">
        <v>0</v>
      </c>
      <c r="X8" s="17">
        <v>-0.5</v>
      </c>
      <c r="Y8" s="17">
        <v>0</v>
      </c>
      <c r="Z8" s="17">
        <v>-0.5</v>
      </c>
      <c r="AA8" s="17">
        <v>1</v>
      </c>
    </row>
    <row r="9" spans="1:27" x14ac:dyDescent="0.2">
      <c r="A9" s="17">
        <v>5</v>
      </c>
      <c r="B9" s="17">
        <v>1</v>
      </c>
      <c r="C9" s="17">
        <v>1.5</v>
      </c>
      <c r="D9" s="17">
        <v>1.5</v>
      </c>
      <c r="E9" s="17">
        <v>1.5</v>
      </c>
      <c r="F9" s="17">
        <v>1.5</v>
      </c>
      <c r="G9" s="17">
        <v>1</v>
      </c>
      <c r="H9" s="17">
        <v>1.5</v>
      </c>
      <c r="I9" s="17">
        <v>2</v>
      </c>
      <c r="J9" s="17">
        <v>1.5</v>
      </c>
      <c r="K9" s="17">
        <v>1</v>
      </c>
      <c r="L9" s="17">
        <v>1.5</v>
      </c>
      <c r="M9" s="17">
        <v>2</v>
      </c>
      <c r="N9" s="17">
        <v>1.5</v>
      </c>
      <c r="O9" s="17">
        <v>1.5</v>
      </c>
      <c r="P9" s="17">
        <v>2</v>
      </c>
      <c r="Q9" s="17">
        <v>1.5</v>
      </c>
      <c r="R9" s="17">
        <v>1.5</v>
      </c>
      <c r="S9" s="17">
        <v>1.5</v>
      </c>
      <c r="T9" s="17">
        <v>2</v>
      </c>
      <c r="U9" s="17">
        <v>2</v>
      </c>
      <c r="V9" s="17">
        <v>1</v>
      </c>
      <c r="W9" s="17">
        <v>1</v>
      </c>
      <c r="X9" s="17">
        <v>1</v>
      </c>
      <c r="Y9" s="17">
        <v>1</v>
      </c>
      <c r="Z9" s="17">
        <v>1</v>
      </c>
      <c r="AA9" s="17">
        <v>1</v>
      </c>
    </row>
    <row r="10" spans="1:27" x14ac:dyDescent="0.2">
      <c r="A10" s="17">
        <v>6</v>
      </c>
      <c r="B10" s="17">
        <v>2</v>
      </c>
      <c r="C10" s="17">
        <v>2</v>
      </c>
      <c r="D10" s="17">
        <v>2</v>
      </c>
      <c r="E10" s="17">
        <v>3</v>
      </c>
      <c r="F10" s="17">
        <v>3</v>
      </c>
      <c r="G10" s="17">
        <v>2</v>
      </c>
      <c r="H10" s="17">
        <v>3</v>
      </c>
      <c r="I10" s="17">
        <v>2</v>
      </c>
      <c r="J10" s="17">
        <v>2.5</v>
      </c>
      <c r="K10" s="17">
        <v>1</v>
      </c>
      <c r="L10" s="17">
        <v>2</v>
      </c>
      <c r="M10" s="17">
        <v>3</v>
      </c>
      <c r="N10" s="17">
        <v>2.5</v>
      </c>
      <c r="O10" s="17">
        <v>2</v>
      </c>
      <c r="P10" s="17">
        <v>2.5</v>
      </c>
      <c r="Q10" s="17">
        <v>2</v>
      </c>
      <c r="R10" s="17">
        <v>2.5</v>
      </c>
      <c r="S10" s="17">
        <v>3</v>
      </c>
      <c r="T10" s="17">
        <v>2.5</v>
      </c>
      <c r="U10" s="17">
        <v>3</v>
      </c>
      <c r="V10" s="17">
        <v>2</v>
      </c>
      <c r="W10" s="17">
        <v>2</v>
      </c>
      <c r="X10" s="17">
        <v>2.5</v>
      </c>
      <c r="Y10" s="17">
        <v>2</v>
      </c>
      <c r="Z10" s="17">
        <v>2</v>
      </c>
      <c r="AA10" s="17">
        <v>2</v>
      </c>
    </row>
    <row r="11" spans="1:27" x14ac:dyDescent="0.2">
      <c r="A11" s="17">
        <v>7</v>
      </c>
      <c r="B11" s="17">
        <v>1.5</v>
      </c>
      <c r="C11" s="17">
        <v>1.5</v>
      </c>
      <c r="D11" s="17">
        <v>2</v>
      </c>
      <c r="E11" s="17">
        <v>2</v>
      </c>
      <c r="F11" s="17">
        <v>2</v>
      </c>
      <c r="G11" s="17">
        <v>2</v>
      </c>
      <c r="H11" s="17">
        <v>2</v>
      </c>
      <c r="I11" s="17">
        <v>2</v>
      </c>
      <c r="J11" s="17">
        <v>2</v>
      </c>
      <c r="K11" s="17">
        <v>1.5</v>
      </c>
      <c r="L11" s="17">
        <v>2</v>
      </c>
      <c r="M11" s="17">
        <v>2</v>
      </c>
      <c r="N11" s="17">
        <v>2</v>
      </c>
      <c r="O11" s="17">
        <v>2</v>
      </c>
      <c r="P11" s="17">
        <v>2</v>
      </c>
      <c r="Q11" s="17">
        <v>1.5</v>
      </c>
      <c r="R11" s="17">
        <v>2</v>
      </c>
      <c r="S11" s="17">
        <v>2</v>
      </c>
      <c r="T11" s="17">
        <v>2</v>
      </c>
      <c r="U11" s="17">
        <v>2</v>
      </c>
      <c r="V11" s="17">
        <v>2</v>
      </c>
      <c r="W11" s="17">
        <v>2</v>
      </c>
      <c r="X11" s="17">
        <v>2</v>
      </c>
      <c r="Y11" s="17">
        <v>1.5</v>
      </c>
      <c r="Z11" s="17">
        <v>2</v>
      </c>
      <c r="AA11" s="17">
        <v>1.5</v>
      </c>
    </row>
    <row r="12" spans="1:27" x14ac:dyDescent="0.2">
      <c r="A12" s="17">
        <v>8</v>
      </c>
      <c r="B12" s="17">
        <v>1</v>
      </c>
      <c r="C12" s="17">
        <v>1</v>
      </c>
      <c r="D12" s="17">
        <v>1.5</v>
      </c>
      <c r="E12" s="17">
        <v>0.5</v>
      </c>
      <c r="F12" s="17">
        <v>1</v>
      </c>
      <c r="G12" s="17">
        <v>1</v>
      </c>
      <c r="H12" s="17">
        <v>1</v>
      </c>
      <c r="I12" s="17">
        <v>0.5</v>
      </c>
      <c r="J12" s="17">
        <v>1</v>
      </c>
      <c r="K12" s="17">
        <v>1</v>
      </c>
      <c r="L12" s="17">
        <v>1.5</v>
      </c>
      <c r="M12" s="17">
        <v>1</v>
      </c>
      <c r="N12" s="17">
        <v>1</v>
      </c>
      <c r="O12" s="17">
        <v>1</v>
      </c>
      <c r="P12" s="17">
        <v>0.5</v>
      </c>
      <c r="Q12" s="17">
        <v>1</v>
      </c>
      <c r="R12" s="17">
        <v>1.5</v>
      </c>
      <c r="S12" s="17">
        <v>1.5</v>
      </c>
      <c r="T12" s="17">
        <v>1.5</v>
      </c>
      <c r="U12" s="17">
        <v>2</v>
      </c>
      <c r="V12" s="17">
        <v>1.5</v>
      </c>
      <c r="W12" s="17">
        <v>1.5</v>
      </c>
      <c r="X12" s="17">
        <v>1.5</v>
      </c>
      <c r="Y12" s="17">
        <v>0.5</v>
      </c>
      <c r="Z12" s="17">
        <v>1</v>
      </c>
      <c r="AA12" s="17">
        <v>1.5</v>
      </c>
    </row>
    <row r="13" spans="1:27" x14ac:dyDescent="0.2">
      <c r="A13" s="17">
        <v>9</v>
      </c>
      <c r="B13" s="17">
        <v>1.5</v>
      </c>
      <c r="C13" s="17">
        <v>2</v>
      </c>
      <c r="D13" s="17">
        <v>2</v>
      </c>
      <c r="E13" s="17">
        <v>1.5</v>
      </c>
      <c r="F13" s="17">
        <v>3</v>
      </c>
      <c r="G13" s="17">
        <v>2.5</v>
      </c>
      <c r="H13" s="17">
        <v>2.5</v>
      </c>
      <c r="I13" s="17">
        <v>2</v>
      </c>
      <c r="J13" s="17">
        <v>3</v>
      </c>
      <c r="K13" s="17">
        <v>1.5</v>
      </c>
      <c r="L13" s="17">
        <v>0.5</v>
      </c>
      <c r="M13" s="17">
        <v>2</v>
      </c>
      <c r="N13" s="17">
        <v>3</v>
      </c>
      <c r="O13" s="17">
        <v>1.5</v>
      </c>
      <c r="P13" s="17">
        <v>2.5</v>
      </c>
      <c r="Q13" s="17">
        <v>2.5</v>
      </c>
      <c r="R13" s="17">
        <v>2</v>
      </c>
      <c r="S13" s="17">
        <v>1.5</v>
      </c>
      <c r="T13" s="17">
        <v>1.5</v>
      </c>
      <c r="U13" s="17">
        <v>3</v>
      </c>
      <c r="V13" s="17">
        <v>1.5</v>
      </c>
      <c r="W13" s="17">
        <v>2</v>
      </c>
      <c r="X13" s="17">
        <v>1.5</v>
      </c>
      <c r="Y13" s="17">
        <v>0</v>
      </c>
      <c r="Z13" s="17">
        <v>0</v>
      </c>
      <c r="AA13" s="17">
        <v>1.5</v>
      </c>
    </row>
    <row r="14" spans="1:27" x14ac:dyDescent="0.2">
      <c r="A14" s="17">
        <v>10</v>
      </c>
      <c r="B14" s="17">
        <v>-1</v>
      </c>
      <c r="C14" s="17">
        <v>1</v>
      </c>
      <c r="D14" s="17">
        <v>1.5</v>
      </c>
      <c r="E14" s="17">
        <v>1.5</v>
      </c>
      <c r="F14" s="17">
        <v>2</v>
      </c>
      <c r="G14" s="17">
        <v>1.5</v>
      </c>
      <c r="H14" s="17">
        <v>2</v>
      </c>
      <c r="I14" s="17">
        <v>2</v>
      </c>
      <c r="J14" s="17">
        <v>1.5</v>
      </c>
      <c r="K14" s="17">
        <v>1.5</v>
      </c>
      <c r="L14" s="17">
        <v>1</v>
      </c>
      <c r="M14" s="17">
        <v>2</v>
      </c>
      <c r="N14" s="17">
        <v>1.5</v>
      </c>
      <c r="O14" s="17">
        <v>2</v>
      </c>
      <c r="P14" s="17">
        <v>2</v>
      </c>
      <c r="Q14" s="17">
        <v>1</v>
      </c>
      <c r="R14" s="17">
        <v>2.5</v>
      </c>
      <c r="S14" s="17">
        <v>2</v>
      </c>
      <c r="T14" s="17">
        <v>2</v>
      </c>
      <c r="U14" s="17">
        <v>2</v>
      </c>
      <c r="V14" s="17">
        <v>2</v>
      </c>
      <c r="W14" s="17">
        <v>2</v>
      </c>
      <c r="X14" s="17">
        <v>2</v>
      </c>
      <c r="Y14" s="17">
        <v>2</v>
      </c>
      <c r="Z14" s="17">
        <v>2</v>
      </c>
      <c r="AA14" s="17">
        <v>2</v>
      </c>
    </row>
    <row r="15" spans="1:27" x14ac:dyDescent="0.2">
      <c r="A15" s="17">
        <v>11</v>
      </c>
      <c r="B15" s="17">
        <v>1</v>
      </c>
      <c r="C15" s="17">
        <v>2</v>
      </c>
      <c r="D15" s="17">
        <v>2</v>
      </c>
      <c r="E15" s="17">
        <v>2</v>
      </c>
      <c r="F15" s="17">
        <v>2</v>
      </c>
      <c r="G15" s="17">
        <v>1</v>
      </c>
      <c r="H15" s="17">
        <v>2</v>
      </c>
      <c r="I15" s="17">
        <v>2</v>
      </c>
      <c r="J15" s="17">
        <v>2</v>
      </c>
      <c r="K15" s="17">
        <v>2</v>
      </c>
      <c r="L15" s="17">
        <v>2</v>
      </c>
      <c r="M15" s="17">
        <v>2</v>
      </c>
      <c r="N15" s="17">
        <v>2</v>
      </c>
      <c r="O15" s="17">
        <v>2</v>
      </c>
      <c r="P15" s="17">
        <v>2</v>
      </c>
      <c r="Q15" s="17">
        <v>2</v>
      </c>
      <c r="R15" s="17">
        <v>2</v>
      </c>
      <c r="S15" s="17">
        <v>2</v>
      </c>
      <c r="T15" s="17">
        <v>2</v>
      </c>
      <c r="U15" s="17">
        <v>2</v>
      </c>
      <c r="V15" s="17">
        <v>1</v>
      </c>
      <c r="W15" s="17">
        <v>1</v>
      </c>
      <c r="X15" s="17">
        <v>1</v>
      </c>
      <c r="Y15" s="17">
        <v>1</v>
      </c>
      <c r="Z15" s="17">
        <v>0</v>
      </c>
      <c r="AA15" s="17">
        <v>1.5</v>
      </c>
    </row>
    <row r="16" spans="1:27" x14ac:dyDescent="0.2">
      <c r="A16" s="17">
        <v>12</v>
      </c>
      <c r="B16" s="17">
        <v>3</v>
      </c>
      <c r="C16" s="17">
        <v>3</v>
      </c>
      <c r="D16" s="17">
        <v>3</v>
      </c>
      <c r="E16" s="17">
        <v>3</v>
      </c>
      <c r="F16" s="17">
        <v>3</v>
      </c>
      <c r="G16" s="17">
        <v>2.5</v>
      </c>
      <c r="H16" s="17">
        <v>3</v>
      </c>
      <c r="I16" s="17">
        <v>3</v>
      </c>
      <c r="J16" s="17">
        <v>3</v>
      </c>
      <c r="K16" s="17">
        <v>2.5</v>
      </c>
      <c r="L16" s="17">
        <v>3</v>
      </c>
      <c r="M16" s="17">
        <v>3</v>
      </c>
      <c r="N16" s="17">
        <v>3</v>
      </c>
      <c r="O16" s="17">
        <v>3</v>
      </c>
      <c r="P16" s="17">
        <v>3</v>
      </c>
      <c r="Q16" s="17">
        <v>1.5</v>
      </c>
      <c r="R16" s="17">
        <v>3</v>
      </c>
      <c r="S16" s="17">
        <v>3</v>
      </c>
      <c r="T16" s="17">
        <v>3</v>
      </c>
      <c r="U16" s="17">
        <v>3</v>
      </c>
      <c r="V16" s="17">
        <v>3</v>
      </c>
      <c r="W16" s="17">
        <v>2.5</v>
      </c>
      <c r="X16" s="17">
        <v>3</v>
      </c>
      <c r="Y16" s="17">
        <v>3</v>
      </c>
      <c r="Z16" s="17">
        <v>2</v>
      </c>
      <c r="AA16" s="17">
        <v>3</v>
      </c>
    </row>
    <row r="17" spans="1:27" x14ac:dyDescent="0.2">
      <c r="A17" s="17">
        <v>13</v>
      </c>
      <c r="B17" s="17">
        <v>1</v>
      </c>
      <c r="C17" s="17">
        <v>2.5</v>
      </c>
      <c r="D17" s="17">
        <v>1.5</v>
      </c>
      <c r="E17" s="17">
        <v>2</v>
      </c>
      <c r="F17" s="17">
        <v>3</v>
      </c>
      <c r="G17" s="17">
        <v>2.5</v>
      </c>
      <c r="H17" s="17">
        <v>2</v>
      </c>
      <c r="I17" s="17">
        <v>3</v>
      </c>
      <c r="J17" s="17">
        <v>1.5</v>
      </c>
      <c r="K17" s="17">
        <v>1.5</v>
      </c>
      <c r="L17" s="17">
        <v>2</v>
      </c>
      <c r="M17" s="17">
        <v>2.5</v>
      </c>
      <c r="N17" s="17">
        <v>3</v>
      </c>
      <c r="O17" s="17">
        <v>2</v>
      </c>
      <c r="P17" s="17">
        <v>2.5</v>
      </c>
      <c r="Q17" s="17">
        <v>2</v>
      </c>
      <c r="R17" s="17">
        <v>3</v>
      </c>
      <c r="S17" s="17">
        <v>2.5</v>
      </c>
      <c r="T17" s="17">
        <v>2.5</v>
      </c>
      <c r="U17" s="17">
        <v>2</v>
      </c>
      <c r="V17" s="17">
        <v>2.5</v>
      </c>
      <c r="W17" s="17">
        <v>2</v>
      </c>
      <c r="X17" s="17">
        <v>2.5</v>
      </c>
      <c r="Y17" s="17">
        <v>2</v>
      </c>
      <c r="Z17" s="17">
        <v>2</v>
      </c>
      <c r="AA17" s="17">
        <v>2</v>
      </c>
    </row>
    <row r="18" spans="1:27" x14ac:dyDescent="0.2">
      <c r="A18" s="17">
        <v>14</v>
      </c>
      <c r="B18" s="17">
        <v>1.5</v>
      </c>
      <c r="C18" s="17">
        <v>2.5</v>
      </c>
      <c r="D18" s="17">
        <v>2.5</v>
      </c>
      <c r="E18" s="17">
        <v>3</v>
      </c>
      <c r="F18" s="17">
        <v>3</v>
      </c>
      <c r="G18" s="17">
        <v>1.5</v>
      </c>
      <c r="H18" s="17">
        <v>1.5</v>
      </c>
      <c r="I18" s="17">
        <v>2</v>
      </c>
      <c r="J18" s="17">
        <v>2</v>
      </c>
      <c r="K18" s="17">
        <v>1.5</v>
      </c>
      <c r="L18" s="17">
        <v>1.5</v>
      </c>
      <c r="M18" s="17">
        <v>2</v>
      </c>
      <c r="N18" s="17">
        <v>2.5</v>
      </c>
      <c r="O18" s="17">
        <v>1.5</v>
      </c>
      <c r="P18" s="17">
        <v>2</v>
      </c>
      <c r="Q18" s="17">
        <v>2.5</v>
      </c>
      <c r="R18" s="17">
        <v>2</v>
      </c>
      <c r="S18" s="17">
        <v>2</v>
      </c>
      <c r="T18" s="17">
        <v>2</v>
      </c>
      <c r="U18" s="17">
        <v>1</v>
      </c>
      <c r="V18" s="17">
        <v>1.5</v>
      </c>
      <c r="W18" s="17">
        <v>2</v>
      </c>
      <c r="X18" s="17">
        <v>2</v>
      </c>
      <c r="Y18" s="17">
        <v>2</v>
      </c>
      <c r="Z18" s="17">
        <v>0</v>
      </c>
      <c r="AA18" s="17">
        <v>1.5</v>
      </c>
    </row>
    <row r="19" spans="1:27" x14ac:dyDescent="0.2">
      <c r="A19" s="17">
        <v>15</v>
      </c>
      <c r="B19" s="17">
        <v>0.5</v>
      </c>
      <c r="C19" s="17">
        <v>1</v>
      </c>
      <c r="D19" s="17">
        <v>1</v>
      </c>
      <c r="E19" s="17">
        <v>2</v>
      </c>
      <c r="F19" s="17">
        <v>1.5</v>
      </c>
      <c r="G19" s="17">
        <v>0.5</v>
      </c>
      <c r="H19" s="17">
        <v>2</v>
      </c>
      <c r="I19" s="17">
        <v>2</v>
      </c>
      <c r="J19" s="17">
        <v>1</v>
      </c>
      <c r="K19" s="17">
        <v>0.5</v>
      </c>
      <c r="L19" s="17">
        <v>-0.5</v>
      </c>
      <c r="M19" s="17">
        <v>1.5</v>
      </c>
      <c r="N19" s="17">
        <v>1</v>
      </c>
      <c r="O19" s="17">
        <v>2</v>
      </c>
      <c r="P19" s="17">
        <v>0.5</v>
      </c>
      <c r="Q19" s="17">
        <v>0.5</v>
      </c>
      <c r="R19" s="17">
        <v>2</v>
      </c>
      <c r="S19" s="17">
        <v>1</v>
      </c>
      <c r="T19" s="17">
        <v>2</v>
      </c>
      <c r="U19" s="17">
        <v>1.5</v>
      </c>
      <c r="V19" s="17">
        <v>1</v>
      </c>
      <c r="W19" s="17">
        <v>0.5</v>
      </c>
      <c r="X19" s="17">
        <v>0</v>
      </c>
      <c r="Y19" s="17">
        <v>1</v>
      </c>
      <c r="Z19" s="17">
        <v>0.5</v>
      </c>
      <c r="AA19" s="17">
        <v>0.5</v>
      </c>
    </row>
    <row r="20" spans="1:27" x14ac:dyDescent="0.2">
      <c r="A20" s="17">
        <v>16</v>
      </c>
      <c r="B20" s="17">
        <v>0.5</v>
      </c>
      <c r="C20" s="17">
        <v>1</v>
      </c>
      <c r="D20" s="17">
        <v>1</v>
      </c>
      <c r="E20" s="17">
        <v>2</v>
      </c>
      <c r="F20" s="17">
        <v>2</v>
      </c>
      <c r="G20" s="17">
        <v>1</v>
      </c>
      <c r="H20" s="17">
        <v>1.5</v>
      </c>
      <c r="I20" s="17">
        <v>2</v>
      </c>
      <c r="J20" s="17">
        <v>2</v>
      </c>
      <c r="K20" s="17">
        <v>2</v>
      </c>
      <c r="L20" s="17">
        <v>1.5</v>
      </c>
      <c r="M20" s="17">
        <v>2</v>
      </c>
      <c r="N20" s="17">
        <v>2.5</v>
      </c>
      <c r="O20" s="17">
        <v>2</v>
      </c>
      <c r="P20" s="17">
        <v>2.5</v>
      </c>
      <c r="Q20" s="17">
        <v>2</v>
      </c>
      <c r="R20" s="17">
        <v>2.5</v>
      </c>
      <c r="S20" s="17">
        <v>2</v>
      </c>
      <c r="T20" s="17">
        <v>2</v>
      </c>
      <c r="U20" s="17">
        <v>2</v>
      </c>
      <c r="V20" s="17">
        <v>1</v>
      </c>
      <c r="W20" s="17">
        <v>1.5</v>
      </c>
      <c r="X20" s="17">
        <v>1.5</v>
      </c>
      <c r="Y20" s="17">
        <v>1</v>
      </c>
      <c r="Z20" s="17">
        <v>0.5</v>
      </c>
      <c r="AA20" s="17">
        <v>1</v>
      </c>
    </row>
    <row r="21" spans="1:27" x14ac:dyDescent="0.2">
      <c r="A21" s="17">
        <v>17</v>
      </c>
      <c r="B21" s="17">
        <v>0.5</v>
      </c>
      <c r="C21" s="17">
        <v>1.5</v>
      </c>
      <c r="D21" s="17">
        <v>2</v>
      </c>
      <c r="E21" s="17">
        <v>2</v>
      </c>
      <c r="F21" s="17">
        <v>2.5</v>
      </c>
      <c r="G21" s="17">
        <v>0.5</v>
      </c>
      <c r="H21" s="17">
        <v>2</v>
      </c>
      <c r="I21" s="17">
        <v>1.5</v>
      </c>
      <c r="J21" s="17">
        <v>2.5</v>
      </c>
      <c r="K21" s="17">
        <v>1.5</v>
      </c>
      <c r="L21" s="17">
        <v>2</v>
      </c>
      <c r="M21" s="17">
        <v>2</v>
      </c>
      <c r="N21" s="17">
        <v>2.5</v>
      </c>
      <c r="O21" s="17">
        <v>2.5</v>
      </c>
      <c r="P21" s="17">
        <v>3</v>
      </c>
      <c r="Q21" s="17">
        <v>1.5</v>
      </c>
      <c r="R21" s="17">
        <v>2</v>
      </c>
      <c r="S21" s="17">
        <v>2.5</v>
      </c>
      <c r="T21" s="17">
        <v>2.5</v>
      </c>
      <c r="U21" s="17">
        <v>1</v>
      </c>
      <c r="V21" s="17">
        <v>1</v>
      </c>
      <c r="W21" s="17">
        <v>1.5</v>
      </c>
      <c r="X21" s="17">
        <v>1.5</v>
      </c>
      <c r="Y21" s="17">
        <v>1</v>
      </c>
      <c r="Z21" s="17">
        <v>2.5</v>
      </c>
      <c r="AA21" s="17">
        <v>2.5</v>
      </c>
    </row>
    <row r="22" spans="1:27" x14ac:dyDescent="0.2">
      <c r="A22" s="17">
        <v>18</v>
      </c>
      <c r="B22" s="17">
        <v>-0.5</v>
      </c>
      <c r="C22" s="17">
        <v>1</v>
      </c>
      <c r="D22" s="17">
        <v>0</v>
      </c>
      <c r="E22" s="17">
        <v>-0.5</v>
      </c>
      <c r="F22" s="17">
        <v>2</v>
      </c>
      <c r="G22" s="17">
        <v>-2</v>
      </c>
      <c r="H22" s="17">
        <v>0.5</v>
      </c>
      <c r="I22" s="17">
        <v>2</v>
      </c>
      <c r="J22" s="17">
        <v>1</v>
      </c>
      <c r="K22" s="17">
        <v>-0.5</v>
      </c>
      <c r="L22" s="17">
        <v>1</v>
      </c>
      <c r="M22" s="17">
        <v>2</v>
      </c>
      <c r="N22" s="17">
        <v>1.5</v>
      </c>
      <c r="O22" s="17">
        <v>2</v>
      </c>
      <c r="P22" s="17">
        <v>3</v>
      </c>
      <c r="Q22" s="17">
        <v>1</v>
      </c>
      <c r="R22" s="17">
        <v>2.5</v>
      </c>
      <c r="S22" s="17">
        <v>1.5</v>
      </c>
      <c r="T22" s="17">
        <v>3</v>
      </c>
      <c r="U22" s="17">
        <v>1</v>
      </c>
      <c r="V22" s="17">
        <v>0.5</v>
      </c>
      <c r="W22" s="17">
        <v>1</v>
      </c>
      <c r="X22" s="17">
        <v>2</v>
      </c>
      <c r="Y22" s="17">
        <v>0</v>
      </c>
      <c r="Z22" s="17">
        <v>0</v>
      </c>
      <c r="AA22" s="17">
        <v>-1</v>
      </c>
    </row>
    <row r="23" spans="1:27" x14ac:dyDescent="0.2">
      <c r="A23" s="17">
        <v>19</v>
      </c>
      <c r="B23" s="17">
        <v>-3</v>
      </c>
      <c r="C23" s="17">
        <v>1</v>
      </c>
      <c r="D23" s="17">
        <v>0</v>
      </c>
      <c r="E23" s="17">
        <v>3</v>
      </c>
      <c r="F23" s="17">
        <v>1.5</v>
      </c>
      <c r="G23" s="17">
        <v>-1</v>
      </c>
      <c r="H23" s="17">
        <v>0.5</v>
      </c>
      <c r="I23" s="17">
        <v>2.5</v>
      </c>
      <c r="J23" s="17">
        <v>-0.5</v>
      </c>
      <c r="K23" s="17">
        <v>-0.5</v>
      </c>
      <c r="L23" s="17">
        <v>1</v>
      </c>
      <c r="M23" s="17">
        <v>1</v>
      </c>
      <c r="N23" s="17">
        <v>0</v>
      </c>
      <c r="O23" s="17">
        <v>-1</v>
      </c>
      <c r="P23" s="17">
        <v>1.5</v>
      </c>
      <c r="Q23" s="17">
        <v>1.5</v>
      </c>
      <c r="R23" s="17">
        <v>2.5</v>
      </c>
      <c r="S23" s="17">
        <v>0.5</v>
      </c>
      <c r="T23" s="17">
        <v>-1</v>
      </c>
      <c r="U23" s="17">
        <v>-0.5</v>
      </c>
      <c r="V23" s="17">
        <v>-1.5</v>
      </c>
      <c r="W23" s="17">
        <v>-2</v>
      </c>
      <c r="X23" s="17">
        <v>-1</v>
      </c>
      <c r="Y23" s="17">
        <v>-1.5</v>
      </c>
      <c r="Z23" s="17">
        <v>-2</v>
      </c>
      <c r="AA23" s="17">
        <v>-2</v>
      </c>
    </row>
    <row r="24" spans="1:27" x14ac:dyDescent="0.2">
      <c r="A24" s="17">
        <v>20</v>
      </c>
      <c r="B24" s="17">
        <v>-0.5</v>
      </c>
      <c r="C24" s="17">
        <v>2</v>
      </c>
      <c r="D24" s="17">
        <v>1</v>
      </c>
      <c r="E24" s="17">
        <v>1.5</v>
      </c>
      <c r="F24" s="17">
        <v>2.5</v>
      </c>
      <c r="G24" s="17">
        <v>0</v>
      </c>
      <c r="H24" s="17">
        <v>3</v>
      </c>
      <c r="I24" s="17">
        <v>1</v>
      </c>
      <c r="J24" s="17">
        <v>2</v>
      </c>
      <c r="K24" s="17">
        <v>2</v>
      </c>
      <c r="L24" s="17">
        <v>0</v>
      </c>
      <c r="M24" s="17">
        <v>2.5</v>
      </c>
      <c r="N24" s="17">
        <v>1.5</v>
      </c>
      <c r="O24" s="17">
        <v>2.5</v>
      </c>
      <c r="P24" s="17">
        <v>3</v>
      </c>
      <c r="Q24" s="17">
        <v>1</v>
      </c>
      <c r="R24" s="17">
        <v>3</v>
      </c>
      <c r="S24" s="17">
        <v>3</v>
      </c>
      <c r="T24" s="17">
        <v>3</v>
      </c>
      <c r="U24" s="17">
        <v>2.5</v>
      </c>
      <c r="V24" s="17">
        <v>1.5</v>
      </c>
      <c r="W24" s="17">
        <v>1.5</v>
      </c>
      <c r="X24" s="17">
        <v>2.5</v>
      </c>
      <c r="Y24" s="17">
        <v>2</v>
      </c>
      <c r="Z24" s="17">
        <v>0.5</v>
      </c>
      <c r="AA24" s="17">
        <v>1</v>
      </c>
    </row>
    <row r="25" spans="1:27" x14ac:dyDescent="0.2">
      <c r="A25" s="17">
        <v>21</v>
      </c>
      <c r="B25" s="17">
        <v>0</v>
      </c>
      <c r="C25" s="17">
        <v>1</v>
      </c>
      <c r="D25" s="17">
        <v>0.5</v>
      </c>
      <c r="E25" s="17">
        <v>2.5</v>
      </c>
      <c r="F25" s="17">
        <v>1</v>
      </c>
      <c r="G25" s="17">
        <v>-2.5</v>
      </c>
      <c r="H25" s="17">
        <v>1.5</v>
      </c>
      <c r="I25" s="17">
        <v>1</v>
      </c>
      <c r="J25" s="17">
        <v>1</v>
      </c>
      <c r="K25" s="17">
        <v>1.5</v>
      </c>
      <c r="L25" s="17">
        <v>0</v>
      </c>
      <c r="M25" s="17">
        <v>0.5</v>
      </c>
      <c r="N25" s="17">
        <v>1.5</v>
      </c>
      <c r="O25" s="17">
        <v>1</v>
      </c>
      <c r="P25" s="17">
        <v>0.5</v>
      </c>
      <c r="Q25" s="17">
        <v>0.5</v>
      </c>
      <c r="R25" s="17">
        <v>2</v>
      </c>
      <c r="S25" s="17">
        <v>2.5</v>
      </c>
      <c r="T25" s="17">
        <v>2</v>
      </c>
      <c r="U25" s="17">
        <v>2.5</v>
      </c>
      <c r="V25" s="17">
        <v>-1.5</v>
      </c>
      <c r="W25" s="17">
        <v>-1.5</v>
      </c>
      <c r="X25" s="17">
        <v>0</v>
      </c>
      <c r="Y25" s="17">
        <v>0</v>
      </c>
      <c r="Z25" s="17">
        <v>-1</v>
      </c>
      <c r="AA25" s="17">
        <v>-0.5</v>
      </c>
    </row>
    <row r="26" spans="1:27" x14ac:dyDescent="0.2">
      <c r="A26" s="17">
        <v>22</v>
      </c>
      <c r="B26" s="17">
        <v>1</v>
      </c>
      <c r="C26" s="17">
        <v>1</v>
      </c>
      <c r="D26" s="17">
        <v>1</v>
      </c>
      <c r="E26" s="17">
        <v>1</v>
      </c>
      <c r="F26" s="17">
        <v>1.5</v>
      </c>
      <c r="G26" s="17">
        <v>0.5</v>
      </c>
      <c r="H26" s="17">
        <v>1.5</v>
      </c>
      <c r="I26" s="17">
        <v>1</v>
      </c>
      <c r="J26" s="17">
        <v>0.5</v>
      </c>
      <c r="K26" s="17">
        <v>1.5</v>
      </c>
      <c r="L26" s="17">
        <v>1</v>
      </c>
      <c r="M26" s="17">
        <v>1</v>
      </c>
      <c r="N26" s="17">
        <v>1.5</v>
      </c>
      <c r="O26" s="17">
        <v>1.5</v>
      </c>
      <c r="P26" s="17">
        <v>2</v>
      </c>
      <c r="Q26" s="17">
        <v>1</v>
      </c>
      <c r="R26" s="17">
        <v>1.5</v>
      </c>
      <c r="S26" s="17">
        <v>1</v>
      </c>
      <c r="T26" s="17">
        <v>2</v>
      </c>
      <c r="U26" s="17">
        <v>1.5</v>
      </c>
      <c r="V26" s="17">
        <v>1</v>
      </c>
      <c r="W26" s="17">
        <v>1</v>
      </c>
      <c r="X26" s="17">
        <v>2</v>
      </c>
      <c r="Y26" s="17">
        <v>1</v>
      </c>
      <c r="Z26" s="17">
        <v>0.5</v>
      </c>
      <c r="AA26" s="17">
        <v>1</v>
      </c>
    </row>
    <row r="27" spans="1:27" x14ac:dyDescent="0.2">
      <c r="A27" s="17">
        <v>23</v>
      </c>
      <c r="B27" s="17">
        <v>1</v>
      </c>
      <c r="C27" s="17">
        <v>1</v>
      </c>
      <c r="D27" s="17">
        <v>1.5</v>
      </c>
      <c r="E27" s="17">
        <v>2.5</v>
      </c>
      <c r="F27" s="17">
        <v>2.5</v>
      </c>
      <c r="G27" s="17">
        <v>1.5</v>
      </c>
      <c r="H27" s="17">
        <v>2</v>
      </c>
      <c r="I27" s="17">
        <v>3</v>
      </c>
      <c r="J27" s="17">
        <v>1.5</v>
      </c>
      <c r="K27" s="17">
        <v>1.5</v>
      </c>
      <c r="L27" s="17">
        <v>2</v>
      </c>
      <c r="M27" s="17">
        <v>2.5</v>
      </c>
      <c r="N27" s="17">
        <v>2</v>
      </c>
      <c r="O27" s="17">
        <v>2</v>
      </c>
      <c r="P27" s="17">
        <v>3</v>
      </c>
      <c r="Q27" s="17">
        <v>1</v>
      </c>
      <c r="R27" s="17">
        <v>3</v>
      </c>
      <c r="S27" s="17">
        <v>2</v>
      </c>
      <c r="T27" s="17">
        <v>2</v>
      </c>
      <c r="U27" s="17">
        <v>3</v>
      </c>
      <c r="V27" s="17">
        <v>0.5</v>
      </c>
      <c r="W27" s="17">
        <v>1.5</v>
      </c>
      <c r="X27" s="17">
        <v>1</v>
      </c>
      <c r="Y27" s="17">
        <v>0.5</v>
      </c>
      <c r="Z27" s="17">
        <v>1</v>
      </c>
      <c r="AA27" s="17">
        <v>2</v>
      </c>
    </row>
    <row r="28" spans="1:27" x14ac:dyDescent="0.2">
      <c r="A28" s="17">
        <v>24</v>
      </c>
      <c r="B28" s="17">
        <v>0</v>
      </c>
      <c r="C28" s="17">
        <v>2</v>
      </c>
      <c r="D28" s="17">
        <v>2</v>
      </c>
      <c r="E28" s="17">
        <v>2</v>
      </c>
      <c r="F28" s="17">
        <v>2</v>
      </c>
      <c r="G28" s="17">
        <v>1.5</v>
      </c>
      <c r="H28" s="17">
        <v>1.5</v>
      </c>
      <c r="I28" s="17">
        <v>0.5</v>
      </c>
      <c r="J28" s="17">
        <v>2.5</v>
      </c>
      <c r="K28" s="17">
        <v>1.5</v>
      </c>
      <c r="L28" s="17">
        <v>1.5</v>
      </c>
      <c r="M28" s="17">
        <v>2</v>
      </c>
      <c r="N28" s="17">
        <v>2.5</v>
      </c>
      <c r="O28" s="17">
        <v>2</v>
      </c>
      <c r="P28" s="17">
        <v>2.5</v>
      </c>
      <c r="Q28" s="17">
        <v>1</v>
      </c>
      <c r="R28" s="17">
        <v>2</v>
      </c>
      <c r="S28" s="17">
        <v>1.5</v>
      </c>
      <c r="T28" s="17">
        <v>1.5</v>
      </c>
      <c r="U28" s="17">
        <v>1.5</v>
      </c>
      <c r="V28" s="17">
        <v>1.5</v>
      </c>
      <c r="W28" s="17">
        <v>2</v>
      </c>
      <c r="X28" s="17">
        <v>1.5</v>
      </c>
      <c r="Y28" s="17">
        <v>1</v>
      </c>
      <c r="Z28" s="17">
        <v>0.5</v>
      </c>
      <c r="AA28" s="17">
        <v>1.5</v>
      </c>
    </row>
    <row r="29" spans="1:27" x14ac:dyDescent="0.2">
      <c r="A29" s="17">
        <v>25</v>
      </c>
      <c r="B29" s="17">
        <v>0.5</v>
      </c>
      <c r="C29" s="17">
        <v>2</v>
      </c>
      <c r="D29" s="17">
        <v>0.5</v>
      </c>
      <c r="E29" s="17">
        <v>3</v>
      </c>
      <c r="F29" s="17">
        <v>3</v>
      </c>
      <c r="G29" s="17">
        <v>1</v>
      </c>
      <c r="H29" s="17">
        <v>3</v>
      </c>
      <c r="I29" s="17">
        <v>3</v>
      </c>
      <c r="J29" s="17">
        <v>2</v>
      </c>
      <c r="K29" s="17">
        <v>1.5</v>
      </c>
      <c r="L29" s="17">
        <v>2</v>
      </c>
      <c r="M29" s="17">
        <v>3</v>
      </c>
      <c r="N29" s="17">
        <v>1.5</v>
      </c>
      <c r="O29" s="17">
        <v>0.5</v>
      </c>
      <c r="P29" s="17">
        <v>2.5</v>
      </c>
      <c r="Q29" s="17">
        <v>1</v>
      </c>
      <c r="R29" s="17">
        <v>3</v>
      </c>
      <c r="S29" s="17">
        <v>2.5</v>
      </c>
      <c r="T29" s="17">
        <v>2.5</v>
      </c>
      <c r="U29" s="17">
        <v>3</v>
      </c>
      <c r="V29" s="17">
        <v>-1.5</v>
      </c>
      <c r="W29" s="17">
        <v>-1</v>
      </c>
      <c r="X29" s="17">
        <v>1.5</v>
      </c>
      <c r="Y29" s="17">
        <v>-1</v>
      </c>
      <c r="Z29" s="17">
        <v>-1</v>
      </c>
      <c r="AA29" s="17">
        <v>-1</v>
      </c>
    </row>
    <row r="30" spans="1:27" x14ac:dyDescent="0.2">
      <c r="A30" s="17">
        <v>26</v>
      </c>
      <c r="B30" s="17">
        <v>1</v>
      </c>
      <c r="C30" s="17">
        <v>3</v>
      </c>
      <c r="D30" s="17">
        <v>3</v>
      </c>
      <c r="E30" s="17">
        <v>2</v>
      </c>
      <c r="F30" s="17">
        <v>3</v>
      </c>
      <c r="G30" s="17">
        <v>1</v>
      </c>
      <c r="H30" s="17">
        <v>2.5</v>
      </c>
      <c r="I30" s="17">
        <v>2.5</v>
      </c>
      <c r="J30" s="17">
        <v>2.5</v>
      </c>
      <c r="K30" s="17">
        <v>1</v>
      </c>
      <c r="L30" s="17">
        <v>2.5</v>
      </c>
      <c r="M30" s="17">
        <v>3</v>
      </c>
      <c r="N30" s="17">
        <v>3</v>
      </c>
      <c r="O30" s="17">
        <v>1.5</v>
      </c>
      <c r="P30" s="17">
        <v>2.5</v>
      </c>
      <c r="Q30" s="17">
        <v>1</v>
      </c>
      <c r="R30" s="17">
        <v>3</v>
      </c>
      <c r="S30" s="17">
        <v>2</v>
      </c>
      <c r="T30" s="17">
        <v>3</v>
      </c>
      <c r="U30" s="17">
        <v>1</v>
      </c>
      <c r="V30" s="17">
        <v>3</v>
      </c>
      <c r="W30" s="17">
        <v>3</v>
      </c>
      <c r="X30" s="17">
        <v>2.5</v>
      </c>
      <c r="Y30" s="17">
        <v>2.5</v>
      </c>
      <c r="Z30" s="17">
        <v>3</v>
      </c>
      <c r="AA30" s="17">
        <v>2.5</v>
      </c>
    </row>
    <row r="31" spans="1:27" x14ac:dyDescent="0.2">
      <c r="A31" s="17">
        <v>27</v>
      </c>
      <c r="B31" s="17">
        <v>0.5</v>
      </c>
      <c r="C31" s="17">
        <v>2</v>
      </c>
      <c r="D31" s="17">
        <v>1</v>
      </c>
      <c r="E31" s="17">
        <v>3</v>
      </c>
      <c r="F31" s="17">
        <v>2.5</v>
      </c>
      <c r="G31" s="17">
        <v>1</v>
      </c>
      <c r="H31" s="17">
        <v>3</v>
      </c>
      <c r="I31" s="17">
        <v>3</v>
      </c>
      <c r="J31" s="17">
        <v>3</v>
      </c>
      <c r="K31" s="17">
        <v>2</v>
      </c>
      <c r="L31" s="17">
        <v>3</v>
      </c>
      <c r="M31" s="17">
        <v>3</v>
      </c>
      <c r="N31" s="17">
        <v>2.5</v>
      </c>
      <c r="O31" s="17">
        <v>3</v>
      </c>
      <c r="P31" s="17">
        <v>3</v>
      </c>
      <c r="Q31" s="17">
        <v>1</v>
      </c>
      <c r="R31" s="17">
        <v>3</v>
      </c>
      <c r="S31" s="17">
        <v>2.5</v>
      </c>
      <c r="T31" s="17">
        <v>3</v>
      </c>
      <c r="U31" s="17">
        <v>2.5</v>
      </c>
      <c r="V31" s="17">
        <v>1.5</v>
      </c>
      <c r="W31" s="17">
        <v>1.5</v>
      </c>
      <c r="X31" s="17">
        <v>2</v>
      </c>
      <c r="Y31" s="17">
        <v>1.5</v>
      </c>
      <c r="Z31" s="17">
        <v>1.5</v>
      </c>
      <c r="AA31" s="17">
        <v>1.5</v>
      </c>
    </row>
    <row r="32" spans="1:27" x14ac:dyDescent="0.2">
      <c r="A32" s="17">
        <v>28</v>
      </c>
      <c r="B32" s="17">
        <v>-1.5</v>
      </c>
      <c r="C32" s="17">
        <v>0.5</v>
      </c>
      <c r="D32" s="17">
        <v>2</v>
      </c>
      <c r="E32" s="17">
        <v>2</v>
      </c>
      <c r="F32" s="17">
        <v>3</v>
      </c>
      <c r="G32" s="17">
        <v>0.5</v>
      </c>
      <c r="H32" s="17">
        <v>1</v>
      </c>
      <c r="I32" s="17">
        <v>2.5</v>
      </c>
      <c r="J32" s="17">
        <v>1</v>
      </c>
      <c r="K32" s="17">
        <v>0.5</v>
      </c>
      <c r="L32" s="17">
        <v>0</v>
      </c>
      <c r="M32" s="17">
        <v>2.5</v>
      </c>
      <c r="N32" s="17">
        <v>1.5</v>
      </c>
      <c r="O32" s="17">
        <v>-0.5</v>
      </c>
      <c r="P32" s="17">
        <v>0</v>
      </c>
      <c r="Q32" s="17">
        <v>0.5</v>
      </c>
      <c r="R32" s="17">
        <v>2.5</v>
      </c>
      <c r="S32" s="17">
        <v>2.5</v>
      </c>
      <c r="T32" s="17">
        <v>3</v>
      </c>
      <c r="U32" s="17">
        <v>2</v>
      </c>
      <c r="V32" s="17">
        <v>0</v>
      </c>
      <c r="W32" s="17">
        <v>1.5</v>
      </c>
      <c r="X32" s="17">
        <v>2</v>
      </c>
      <c r="Y32" s="17">
        <v>2</v>
      </c>
      <c r="Z32" s="17">
        <v>-1</v>
      </c>
      <c r="AA32" s="17">
        <v>0.5</v>
      </c>
    </row>
    <row r="33" spans="1:27" x14ac:dyDescent="0.2">
      <c r="A33" s="17">
        <v>29</v>
      </c>
      <c r="B33" s="17">
        <v>-1</v>
      </c>
      <c r="C33" s="17">
        <v>0.5</v>
      </c>
      <c r="D33" s="17">
        <v>2</v>
      </c>
      <c r="E33" s="17">
        <v>2</v>
      </c>
      <c r="F33" s="17">
        <v>2</v>
      </c>
      <c r="G33" s="17">
        <v>1.5</v>
      </c>
      <c r="H33" s="17">
        <v>2</v>
      </c>
      <c r="I33" s="17">
        <v>2.5</v>
      </c>
      <c r="J33" s="17">
        <v>1</v>
      </c>
      <c r="K33" s="17">
        <v>0.5</v>
      </c>
      <c r="L33" s="17">
        <v>2</v>
      </c>
      <c r="M33" s="17">
        <v>0.5</v>
      </c>
      <c r="N33" s="17">
        <v>2</v>
      </c>
      <c r="O33" s="17">
        <v>1.5</v>
      </c>
      <c r="P33" s="17">
        <v>3</v>
      </c>
      <c r="Q33" s="17">
        <v>1.5</v>
      </c>
      <c r="R33" s="17">
        <v>3</v>
      </c>
      <c r="S33" s="17">
        <v>2.5</v>
      </c>
      <c r="T33" s="17">
        <v>3</v>
      </c>
      <c r="U33" s="17">
        <v>2</v>
      </c>
      <c r="V33" s="17">
        <v>1.5</v>
      </c>
      <c r="W33" s="17">
        <v>1.5</v>
      </c>
      <c r="X33" s="17">
        <v>2</v>
      </c>
      <c r="Y33" s="17">
        <v>1</v>
      </c>
      <c r="Z33" s="17">
        <v>2</v>
      </c>
      <c r="AA33" s="17">
        <v>1.5</v>
      </c>
    </row>
    <row r="34" spans="1:27" x14ac:dyDescent="0.2">
      <c r="A34" s="17">
        <v>30</v>
      </c>
      <c r="B34" s="17">
        <v>0</v>
      </c>
      <c r="C34" s="17">
        <v>2</v>
      </c>
      <c r="D34" s="17">
        <v>1</v>
      </c>
      <c r="E34" s="17">
        <v>0.5</v>
      </c>
      <c r="F34" s="17">
        <v>1.5</v>
      </c>
      <c r="G34" s="17">
        <v>1</v>
      </c>
      <c r="H34" s="17">
        <v>2</v>
      </c>
      <c r="I34" s="17">
        <v>2</v>
      </c>
      <c r="J34" s="17">
        <v>0.5</v>
      </c>
      <c r="K34" s="17">
        <v>-1</v>
      </c>
      <c r="L34" s="17">
        <v>1</v>
      </c>
      <c r="M34" s="17">
        <v>2</v>
      </c>
      <c r="N34" s="17">
        <v>3</v>
      </c>
      <c r="O34" s="17">
        <v>1.5</v>
      </c>
      <c r="P34" s="17">
        <v>3</v>
      </c>
      <c r="Q34" s="17">
        <v>2</v>
      </c>
      <c r="R34" s="17">
        <v>2.5</v>
      </c>
      <c r="S34" s="17">
        <v>2</v>
      </c>
      <c r="T34" s="17">
        <v>1.5</v>
      </c>
      <c r="U34" s="17">
        <v>2</v>
      </c>
      <c r="V34" s="17">
        <v>2</v>
      </c>
      <c r="W34" s="17">
        <v>1</v>
      </c>
      <c r="X34" s="17">
        <v>1.5</v>
      </c>
      <c r="Y34" s="17">
        <v>2</v>
      </c>
      <c r="Z34" s="17">
        <v>1.5</v>
      </c>
      <c r="AA34" s="17">
        <v>1</v>
      </c>
    </row>
    <row r="35" spans="1:27" x14ac:dyDescent="0.2">
      <c r="A35" s="17">
        <v>31</v>
      </c>
      <c r="B35" s="17">
        <v>0</v>
      </c>
      <c r="C35" s="17">
        <v>0</v>
      </c>
      <c r="D35" s="17">
        <v>1</v>
      </c>
      <c r="E35" s="17">
        <v>2</v>
      </c>
      <c r="F35" s="17">
        <v>1.5</v>
      </c>
      <c r="G35" s="17">
        <v>0.5</v>
      </c>
      <c r="H35" s="17">
        <v>1.5</v>
      </c>
      <c r="I35" s="17">
        <v>2</v>
      </c>
      <c r="J35" s="17">
        <v>0.5</v>
      </c>
      <c r="K35" s="17">
        <v>1</v>
      </c>
      <c r="L35" s="17">
        <v>1</v>
      </c>
      <c r="M35" s="17">
        <v>1.5</v>
      </c>
      <c r="N35" s="17">
        <v>-0.5</v>
      </c>
      <c r="O35" s="17">
        <v>1</v>
      </c>
      <c r="P35" s="17">
        <v>2</v>
      </c>
      <c r="Q35" s="17">
        <v>0.5</v>
      </c>
      <c r="R35" s="17">
        <v>2</v>
      </c>
      <c r="S35" s="17">
        <v>2</v>
      </c>
      <c r="T35" s="17">
        <v>1.5</v>
      </c>
      <c r="U35" s="17">
        <v>1</v>
      </c>
      <c r="V35" s="17">
        <v>0.5</v>
      </c>
      <c r="W35" s="17">
        <v>1</v>
      </c>
      <c r="X35" s="17">
        <v>1</v>
      </c>
      <c r="Y35" s="17">
        <v>1</v>
      </c>
      <c r="Z35" s="17">
        <v>0.5</v>
      </c>
      <c r="AA35" s="17">
        <v>0</v>
      </c>
    </row>
    <row r="36" spans="1:27" x14ac:dyDescent="0.2">
      <c r="A36" s="17">
        <v>32</v>
      </c>
      <c r="B36" s="17">
        <v>1</v>
      </c>
      <c r="C36" s="17">
        <v>1</v>
      </c>
      <c r="D36" s="17">
        <v>0.5</v>
      </c>
      <c r="E36" s="17">
        <v>2.5</v>
      </c>
      <c r="F36" s="17">
        <v>3</v>
      </c>
      <c r="G36" s="17">
        <v>0.5</v>
      </c>
      <c r="H36" s="17">
        <v>2</v>
      </c>
      <c r="I36" s="17">
        <v>3</v>
      </c>
      <c r="J36" s="17">
        <v>2.5</v>
      </c>
      <c r="K36" s="17">
        <v>2</v>
      </c>
      <c r="L36" s="17">
        <v>1.5</v>
      </c>
      <c r="M36" s="17">
        <v>1.5</v>
      </c>
      <c r="N36" s="17">
        <v>3</v>
      </c>
      <c r="O36" s="17">
        <v>2</v>
      </c>
      <c r="P36" s="17">
        <v>2.5</v>
      </c>
      <c r="Q36" s="17">
        <v>0</v>
      </c>
      <c r="R36" s="17">
        <v>3</v>
      </c>
      <c r="S36" s="17">
        <v>1</v>
      </c>
      <c r="T36" s="17">
        <v>3</v>
      </c>
      <c r="U36" s="17">
        <v>3</v>
      </c>
      <c r="V36" s="17">
        <v>2</v>
      </c>
      <c r="W36" s="17">
        <v>2</v>
      </c>
      <c r="X36" s="17">
        <v>2</v>
      </c>
      <c r="Y36" s="17">
        <v>2</v>
      </c>
      <c r="Z36" s="17">
        <v>3</v>
      </c>
      <c r="AA36" s="17">
        <v>3</v>
      </c>
    </row>
    <row r="37" spans="1:27" x14ac:dyDescent="0.2">
      <c r="A37" s="17">
        <v>33</v>
      </c>
      <c r="B37" s="17">
        <v>0.5</v>
      </c>
      <c r="C37" s="17">
        <v>1.5</v>
      </c>
      <c r="D37" s="17">
        <v>1.5</v>
      </c>
      <c r="E37" s="17">
        <v>2</v>
      </c>
      <c r="F37" s="17">
        <v>2.5</v>
      </c>
      <c r="G37" s="17">
        <v>1</v>
      </c>
      <c r="H37" s="17">
        <v>3</v>
      </c>
      <c r="I37" s="17">
        <v>2</v>
      </c>
      <c r="J37" s="17">
        <v>2</v>
      </c>
      <c r="K37" s="17">
        <v>1</v>
      </c>
      <c r="L37" s="17">
        <v>0</v>
      </c>
      <c r="M37" s="17">
        <v>2</v>
      </c>
      <c r="N37" s="17">
        <v>1.5</v>
      </c>
      <c r="O37" s="17">
        <v>1.5</v>
      </c>
      <c r="P37" s="17">
        <v>2</v>
      </c>
      <c r="Q37" s="17">
        <v>0.5</v>
      </c>
      <c r="R37" s="17">
        <v>2</v>
      </c>
      <c r="S37" s="17">
        <v>2</v>
      </c>
      <c r="T37" s="17">
        <v>2.5</v>
      </c>
      <c r="U37" s="17">
        <v>2</v>
      </c>
      <c r="V37" s="17">
        <v>0</v>
      </c>
      <c r="W37" s="17">
        <v>0.5</v>
      </c>
      <c r="X37" s="17">
        <v>1.5</v>
      </c>
      <c r="Y37" s="17">
        <v>1</v>
      </c>
      <c r="Z37" s="17">
        <v>0.5</v>
      </c>
      <c r="AA37" s="17">
        <v>1.5</v>
      </c>
    </row>
    <row r="38" spans="1:27" x14ac:dyDescent="0.2">
      <c r="A38" s="17">
        <v>34</v>
      </c>
      <c r="B38" s="17">
        <v>0.5</v>
      </c>
      <c r="C38" s="17">
        <v>2</v>
      </c>
      <c r="D38" s="17">
        <v>2.5</v>
      </c>
      <c r="E38" s="17">
        <v>2</v>
      </c>
      <c r="F38" s="17">
        <v>2</v>
      </c>
      <c r="G38" s="17">
        <v>1</v>
      </c>
      <c r="H38" s="17">
        <v>2</v>
      </c>
      <c r="I38" s="17">
        <v>2.5</v>
      </c>
      <c r="J38" s="17">
        <v>3</v>
      </c>
      <c r="K38" s="17">
        <v>2.5</v>
      </c>
      <c r="L38" s="17">
        <v>2.5</v>
      </c>
      <c r="M38" s="17">
        <v>2.5</v>
      </c>
      <c r="N38" s="17">
        <v>2.5</v>
      </c>
      <c r="O38" s="17">
        <v>2.5</v>
      </c>
      <c r="P38" s="17">
        <v>1.5</v>
      </c>
      <c r="Q38" s="17">
        <v>2.5</v>
      </c>
      <c r="R38" s="17">
        <v>2.5</v>
      </c>
      <c r="S38" s="17">
        <v>3</v>
      </c>
      <c r="T38" s="17">
        <v>2.5</v>
      </c>
      <c r="U38" s="17">
        <v>2.5</v>
      </c>
      <c r="V38" s="17">
        <v>3</v>
      </c>
      <c r="W38" s="17">
        <v>2.5</v>
      </c>
      <c r="X38" s="17">
        <v>2</v>
      </c>
      <c r="Y38" s="17">
        <v>2</v>
      </c>
      <c r="Z38" s="17">
        <v>2</v>
      </c>
      <c r="AA38" s="17">
        <v>3</v>
      </c>
    </row>
    <row r="39" spans="1:27" x14ac:dyDescent="0.2">
      <c r="A39" s="17">
        <v>35</v>
      </c>
      <c r="B39" s="17">
        <v>0</v>
      </c>
      <c r="C39" s="17">
        <v>0</v>
      </c>
      <c r="D39" s="17">
        <v>1</v>
      </c>
      <c r="E39" s="17">
        <v>1.5</v>
      </c>
      <c r="F39" s="17">
        <v>1.5</v>
      </c>
      <c r="G39" s="17">
        <v>-1</v>
      </c>
      <c r="H39" s="17">
        <v>1</v>
      </c>
      <c r="I39" s="17">
        <v>2</v>
      </c>
      <c r="J39" s="17">
        <v>0.5</v>
      </c>
      <c r="K39" s="17">
        <v>0.5</v>
      </c>
      <c r="L39" s="17">
        <v>2</v>
      </c>
      <c r="M39" s="17">
        <v>2</v>
      </c>
      <c r="N39" s="17">
        <v>2</v>
      </c>
      <c r="O39" s="17">
        <v>1.5</v>
      </c>
      <c r="P39" s="17">
        <v>1</v>
      </c>
      <c r="Q39" s="17">
        <v>-0.5</v>
      </c>
      <c r="R39" s="17">
        <v>1</v>
      </c>
      <c r="S39" s="17">
        <v>1</v>
      </c>
      <c r="T39" s="17">
        <v>1.5</v>
      </c>
      <c r="U39" s="17">
        <v>1</v>
      </c>
      <c r="V39" s="17">
        <v>1</v>
      </c>
      <c r="W39" s="17">
        <v>1</v>
      </c>
      <c r="X39" s="17">
        <v>1</v>
      </c>
      <c r="Y39" s="17">
        <v>0.5</v>
      </c>
      <c r="Z39" s="17">
        <v>1</v>
      </c>
      <c r="AA39" s="17">
        <v>1</v>
      </c>
    </row>
    <row r="40" spans="1:27" x14ac:dyDescent="0.2">
      <c r="A40" s="17">
        <v>36</v>
      </c>
      <c r="B40" s="17">
        <v>0</v>
      </c>
      <c r="C40" s="17">
        <v>2</v>
      </c>
      <c r="D40" s="17">
        <v>2.5</v>
      </c>
      <c r="E40" s="17">
        <v>3</v>
      </c>
      <c r="F40" s="17">
        <v>2.5</v>
      </c>
      <c r="G40" s="17">
        <v>1.5</v>
      </c>
      <c r="H40" s="17">
        <v>3</v>
      </c>
      <c r="I40" s="17">
        <v>3</v>
      </c>
      <c r="J40" s="17">
        <v>2</v>
      </c>
      <c r="K40" s="17">
        <v>2</v>
      </c>
      <c r="L40" s="17">
        <v>2.5</v>
      </c>
      <c r="M40" s="17">
        <v>3</v>
      </c>
      <c r="N40" s="17">
        <v>2.5</v>
      </c>
      <c r="O40" s="17">
        <v>2</v>
      </c>
      <c r="P40" s="17">
        <v>3</v>
      </c>
      <c r="Q40" s="17">
        <v>3</v>
      </c>
      <c r="R40" s="17">
        <v>3</v>
      </c>
      <c r="S40" s="17">
        <v>1.5</v>
      </c>
      <c r="T40" s="17">
        <v>2.5</v>
      </c>
      <c r="U40" s="17">
        <v>2.5</v>
      </c>
      <c r="V40" s="17">
        <v>0</v>
      </c>
      <c r="W40" s="17">
        <v>3</v>
      </c>
      <c r="X40" s="17">
        <v>3</v>
      </c>
      <c r="Y40" s="17">
        <v>1.5</v>
      </c>
      <c r="Z40" s="17">
        <v>1</v>
      </c>
      <c r="AA40" s="17">
        <v>1.5</v>
      </c>
    </row>
    <row r="41" spans="1:27" x14ac:dyDescent="0.2">
      <c r="A41" s="17">
        <v>37</v>
      </c>
      <c r="B41" s="17">
        <v>-1.5</v>
      </c>
      <c r="C41" s="17">
        <v>1</v>
      </c>
      <c r="D41" s="17">
        <v>1</v>
      </c>
      <c r="E41" s="17">
        <v>2</v>
      </c>
      <c r="F41" s="17">
        <v>1.5</v>
      </c>
      <c r="G41" s="17">
        <v>1</v>
      </c>
      <c r="H41" s="17">
        <v>2.5</v>
      </c>
      <c r="I41" s="17">
        <v>1</v>
      </c>
      <c r="J41" s="17">
        <v>2</v>
      </c>
      <c r="K41" s="17">
        <v>1</v>
      </c>
      <c r="L41" s="17">
        <v>0</v>
      </c>
      <c r="M41" s="17">
        <v>1.5</v>
      </c>
      <c r="N41" s="17">
        <v>1</v>
      </c>
      <c r="O41" s="17">
        <v>1.5</v>
      </c>
      <c r="P41" s="17">
        <v>2.5</v>
      </c>
      <c r="Q41" s="17">
        <v>0.5</v>
      </c>
      <c r="R41" s="17">
        <v>1.5</v>
      </c>
      <c r="S41" s="17">
        <v>1</v>
      </c>
      <c r="T41" s="17">
        <v>2</v>
      </c>
      <c r="U41" s="17">
        <v>1</v>
      </c>
      <c r="V41" s="17">
        <v>-1</v>
      </c>
      <c r="W41" s="17">
        <v>-2</v>
      </c>
      <c r="X41" s="17">
        <v>-1.5</v>
      </c>
      <c r="Y41" s="17">
        <v>-2</v>
      </c>
      <c r="Z41" s="17">
        <v>-1</v>
      </c>
      <c r="AA41" s="17">
        <v>-1.5</v>
      </c>
    </row>
    <row r="42" spans="1:27" x14ac:dyDescent="0.2">
      <c r="A42" s="17">
        <v>38</v>
      </c>
      <c r="B42" s="17">
        <v>0</v>
      </c>
      <c r="C42" s="17">
        <v>1</v>
      </c>
      <c r="D42" s="17">
        <v>2</v>
      </c>
      <c r="E42" s="17">
        <v>1.5</v>
      </c>
      <c r="F42" s="17">
        <v>2</v>
      </c>
      <c r="G42" s="17">
        <v>1</v>
      </c>
      <c r="H42" s="17">
        <v>2.5</v>
      </c>
      <c r="I42" s="17">
        <v>2</v>
      </c>
      <c r="J42" s="17">
        <v>1</v>
      </c>
      <c r="K42" s="17">
        <v>1.5</v>
      </c>
      <c r="L42" s="17">
        <v>1</v>
      </c>
      <c r="M42" s="17">
        <v>2</v>
      </c>
      <c r="N42" s="17">
        <v>2</v>
      </c>
      <c r="O42" s="17">
        <v>1.5</v>
      </c>
      <c r="P42" s="17">
        <v>2</v>
      </c>
      <c r="Q42" s="17">
        <v>1.5</v>
      </c>
      <c r="R42" s="17">
        <v>2</v>
      </c>
      <c r="S42" s="17">
        <v>1.5</v>
      </c>
      <c r="T42" s="17">
        <v>2</v>
      </c>
      <c r="U42" s="17">
        <v>2</v>
      </c>
      <c r="V42" s="17">
        <v>1.5</v>
      </c>
      <c r="W42" s="17">
        <v>1</v>
      </c>
      <c r="X42" s="17">
        <v>1.5</v>
      </c>
      <c r="Y42" s="17">
        <v>1.5</v>
      </c>
      <c r="Z42" s="17">
        <v>1</v>
      </c>
      <c r="AA42" s="17">
        <v>1.5</v>
      </c>
    </row>
    <row r="43" spans="1:27" x14ac:dyDescent="0.2">
      <c r="A43" s="17">
        <v>39</v>
      </c>
      <c r="B43" s="17">
        <v>1</v>
      </c>
      <c r="C43" s="17">
        <v>1.5</v>
      </c>
      <c r="D43" s="17">
        <v>3</v>
      </c>
      <c r="E43" s="17">
        <v>2</v>
      </c>
      <c r="F43" s="17">
        <v>2.5</v>
      </c>
      <c r="G43" s="17">
        <v>1</v>
      </c>
      <c r="H43" s="17">
        <v>3</v>
      </c>
      <c r="I43" s="17">
        <v>3</v>
      </c>
      <c r="J43" s="17">
        <v>2</v>
      </c>
      <c r="K43" s="17">
        <v>3</v>
      </c>
      <c r="L43" s="17">
        <v>1.5</v>
      </c>
      <c r="M43" s="17">
        <v>2</v>
      </c>
      <c r="N43" s="17">
        <v>1.5</v>
      </c>
      <c r="O43" s="17">
        <v>1</v>
      </c>
      <c r="P43" s="17">
        <v>2.5</v>
      </c>
      <c r="Q43" s="17">
        <v>2</v>
      </c>
      <c r="R43" s="17">
        <v>2</v>
      </c>
      <c r="S43" s="17">
        <v>2.5</v>
      </c>
      <c r="T43" s="17">
        <v>0.5</v>
      </c>
      <c r="U43" s="17">
        <v>2.5</v>
      </c>
      <c r="V43" s="17">
        <v>1</v>
      </c>
      <c r="W43" s="17">
        <v>0</v>
      </c>
      <c r="X43" s="17">
        <v>1</v>
      </c>
      <c r="Y43" s="17">
        <v>1</v>
      </c>
      <c r="Z43" s="17">
        <v>0</v>
      </c>
      <c r="AA43" s="17">
        <v>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DFA5-3A48-4C24-91A9-CC8688C62C9D}">
  <dimension ref="A1:AB43"/>
  <sheetViews>
    <sheetView workbookViewId="0">
      <selection activeCell="W5" sqref="D5:W43"/>
    </sheetView>
  </sheetViews>
  <sheetFormatPr defaultColWidth="8.625" defaultRowHeight="11.25" x14ac:dyDescent="0.2"/>
  <cols>
    <col min="1" max="1" width="8.625" style="17"/>
    <col min="2" max="2" width="8.625" style="17" customWidth="1"/>
    <col min="3" max="16384" width="8.625" style="17"/>
  </cols>
  <sheetData>
    <row r="1" spans="1:28" s="9" customFormat="1" x14ac:dyDescent="0.2">
      <c r="A1" s="9" t="s">
        <v>46</v>
      </c>
      <c r="B1" s="10">
        <v>2</v>
      </c>
      <c r="C1" s="10">
        <v>11</v>
      </c>
      <c r="D1" s="10">
        <v>12</v>
      </c>
      <c r="E1" s="10">
        <v>18</v>
      </c>
      <c r="F1" s="10">
        <v>15</v>
      </c>
      <c r="G1" s="10">
        <v>3</v>
      </c>
      <c r="H1" s="10">
        <v>20</v>
      </c>
      <c r="I1" s="10">
        <v>19</v>
      </c>
      <c r="J1" s="10">
        <v>7</v>
      </c>
      <c r="K1" s="10">
        <v>8</v>
      </c>
      <c r="L1" s="10">
        <v>1</v>
      </c>
      <c r="M1" s="10">
        <v>16</v>
      </c>
      <c r="N1" s="10">
        <v>9</v>
      </c>
      <c r="O1" s="10">
        <v>4</v>
      </c>
      <c r="P1" s="10">
        <v>5</v>
      </c>
      <c r="Q1" s="10">
        <v>13</v>
      </c>
      <c r="R1" s="10">
        <v>17</v>
      </c>
      <c r="S1" s="10">
        <v>14</v>
      </c>
      <c r="T1" s="10">
        <v>10</v>
      </c>
      <c r="U1" s="10">
        <v>6</v>
      </c>
      <c r="V1" s="10"/>
      <c r="W1" s="10"/>
      <c r="X1" s="10"/>
      <c r="Y1" s="10"/>
      <c r="Z1" s="10"/>
      <c r="AA1" s="10"/>
      <c r="AB1" s="10"/>
    </row>
    <row r="2" spans="1:28" s="9" customFormat="1" x14ac:dyDescent="0.2">
      <c r="A2" s="9" t="s">
        <v>47</v>
      </c>
      <c r="B2" s="10">
        <v>1</v>
      </c>
      <c r="C2" s="11">
        <v>2</v>
      </c>
      <c r="D2" s="11">
        <v>3</v>
      </c>
      <c r="E2" s="12">
        <v>4</v>
      </c>
      <c r="F2" s="13">
        <v>5</v>
      </c>
      <c r="G2" s="14">
        <v>6</v>
      </c>
      <c r="H2" s="10">
        <v>7</v>
      </c>
      <c r="I2" s="12">
        <v>8</v>
      </c>
      <c r="J2" s="15">
        <v>9</v>
      </c>
      <c r="K2" s="15">
        <v>10</v>
      </c>
      <c r="L2" s="16">
        <v>11</v>
      </c>
      <c r="M2" s="13">
        <v>12</v>
      </c>
      <c r="N2" s="15">
        <v>13</v>
      </c>
      <c r="O2" s="14">
        <v>14</v>
      </c>
      <c r="P2" s="14">
        <v>15</v>
      </c>
      <c r="Q2" s="11">
        <v>16</v>
      </c>
      <c r="R2" s="13">
        <v>17</v>
      </c>
      <c r="S2" s="11">
        <v>18</v>
      </c>
      <c r="T2" s="15">
        <v>19</v>
      </c>
      <c r="U2" s="14">
        <v>20</v>
      </c>
      <c r="V2" s="10">
        <v>21</v>
      </c>
      <c r="W2" s="10">
        <v>22</v>
      </c>
      <c r="X2" s="10">
        <v>23</v>
      </c>
      <c r="Y2" s="10">
        <v>24</v>
      </c>
      <c r="Z2" s="10">
        <v>25</v>
      </c>
      <c r="AA2" s="10">
        <v>26</v>
      </c>
      <c r="AB2" s="10">
        <v>27</v>
      </c>
    </row>
    <row r="3" spans="1:28" s="9" customFormat="1" x14ac:dyDescent="0.2">
      <c r="B3" s="10" t="s">
        <v>0</v>
      </c>
      <c r="C3" s="11" t="s">
        <v>2</v>
      </c>
      <c r="D3" s="11" t="s">
        <v>4</v>
      </c>
      <c r="E3" s="12" t="s">
        <v>6</v>
      </c>
      <c r="F3" s="13" t="s">
        <v>8</v>
      </c>
      <c r="G3" s="14" t="s">
        <v>10</v>
      </c>
      <c r="H3" s="10" t="s">
        <v>12</v>
      </c>
      <c r="I3" s="12" t="s">
        <v>14</v>
      </c>
      <c r="J3" s="15" t="s">
        <v>16</v>
      </c>
      <c r="K3" s="15" t="s">
        <v>18</v>
      </c>
      <c r="L3" s="16" t="s">
        <v>20</v>
      </c>
      <c r="M3" s="13" t="s">
        <v>22</v>
      </c>
      <c r="N3" s="15" t="s">
        <v>24</v>
      </c>
      <c r="O3" s="14" t="s">
        <v>26</v>
      </c>
      <c r="P3" s="14" t="s">
        <v>28</v>
      </c>
      <c r="Q3" s="11" t="s">
        <v>30</v>
      </c>
      <c r="R3" s="13" t="s">
        <v>32</v>
      </c>
      <c r="S3" s="11" t="s">
        <v>34</v>
      </c>
      <c r="T3" s="15" t="s">
        <v>36</v>
      </c>
      <c r="U3" s="14" t="s">
        <v>38</v>
      </c>
      <c r="V3" s="10"/>
      <c r="W3" s="10"/>
      <c r="X3" s="10"/>
      <c r="Y3" s="10"/>
      <c r="Z3" s="10"/>
      <c r="AA3" s="10"/>
      <c r="AB3" s="10"/>
    </row>
    <row r="4" spans="1:28" s="9" customFormat="1" ht="22.5" x14ac:dyDescent="0.2">
      <c r="A4" s="17" t="s">
        <v>45</v>
      </c>
      <c r="B4" s="10" t="s">
        <v>1</v>
      </c>
      <c r="C4" s="11" t="s">
        <v>3</v>
      </c>
      <c r="D4" s="11" t="s">
        <v>5</v>
      </c>
      <c r="E4" s="12" t="s">
        <v>7</v>
      </c>
      <c r="F4" s="13" t="s">
        <v>9</v>
      </c>
      <c r="G4" s="14" t="s">
        <v>11</v>
      </c>
      <c r="H4" s="10" t="s">
        <v>13</v>
      </c>
      <c r="I4" s="12" t="s">
        <v>15</v>
      </c>
      <c r="J4" s="15" t="s">
        <v>17</v>
      </c>
      <c r="K4" s="15" t="s">
        <v>19</v>
      </c>
      <c r="L4" s="16" t="s">
        <v>21</v>
      </c>
      <c r="M4" s="13" t="s">
        <v>23</v>
      </c>
      <c r="N4" s="15" t="s">
        <v>25</v>
      </c>
      <c r="O4" s="14" t="s">
        <v>27</v>
      </c>
      <c r="P4" s="14" t="s">
        <v>29</v>
      </c>
      <c r="Q4" s="11" t="s">
        <v>31</v>
      </c>
      <c r="R4" s="13" t="s">
        <v>33</v>
      </c>
      <c r="S4" s="11" t="s">
        <v>35</v>
      </c>
      <c r="T4" s="15" t="s">
        <v>37</v>
      </c>
      <c r="U4" s="14" t="s">
        <v>39</v>
      </c>
      <c r="V4" s="10" t="s">
        <v>42</v>
      </c>
      <c r="W4" s="10" t="s">
        <v>42</v>
      </c>
      <c r="X4" s="10" t="s">
        <v>42</v>
      </c>
      <c r="Y4" s="10" t="s">
        <v>48</v>
      </c>
      <c r="Z4" s="10" t="s">
        <v>49</v>
      </c>
      <c r="AA4" s="10" t="s">
        <v>50</v>
      </c>
      <c r="AB4" s="10" t="s">
        <v>51</v>
      </c>
    </row>
    <row r="5" spans="1:28" x14ac:dyDescent="0.2">
      <c r="A5" s="17">
        <v>1</v>
      </c>
      <c r="B5" s="17">
        <v>-2</v>
      </c>
      <c r="C5" s="17">
        <v>0</v>
      </c>
      <c r="D5" s="17">
        <v>0.5</v>
      </c>
      <c r="E5" s="17">
        <v>1</v>
      </c>
      <c r="F5" s="17">
        <v>1.5</v>
      </c>
      <c r="G5" s="17">
        <v>-0.5</v>
      </c>
      <c r="H5" s="17">
        <v>1.5</v>
      </c>
      <c r="I5" s="17">
        <v>2</v>
      </c>
      <c r="J5" s="17">
        <v>0.5</v>
      </c>
      <c r="K5" s="17">
        <v>0.5</v>
      </c>
      <c r="L5" s="17">
        <v>1</v>
      </c>
      <c r="M5" s="17">
        <v>1.5</v>
      </c>
      <c r="N5" s="17">
        <v>1</v>
      </c>
      <c r="O5" s="17">
        <v>1</v>
      </c>
      <c r="P5" s="17">
        <v>1</v>
      </c>
      <c r="Q5" s="17">
        <v>1</v>
      </c>
      <c r="R5" s="17">
        <v>2</v>
      </c>
      <c r="S5" s="17">
        <v>2</v>
      </c>
      <c r="T5" s="17">
        <v>1.5</v>
      </c>
      <c r="U5" s="17">
        <v>1.5</v>
      </c>
      <c r="V5" s="17">
        <v>0.5</v>
      </c>
      <c r="W5" s="17">
        <v>1</v>
      </c>
      <c r="X5" s="17">
        <v>1.5</v>
      </c>
      <c r="Y5" s="17">
        <v>1</v>
      </c>
      <c r="Z5" s="17">
        <v>1.5</v>
      </c>
      <c r="AA5" s="17">
        <v>2</v>
      </c>
      <c r="AB5" s="17">
        <v>2</v>
      </c>
    </row>
    <row r="6" spans="1:28" x14ac:dyDescent="0.2">
      <c r="A6" s="17">
        <v>2</v>
      </c>
      <c r="B6" s="17">
        <v>1.5</v>
      </c>
      <c r="C6" s="17">
        <v>2</v>
      </c>
      <c r="D6" s="17">
        <v>0.5</v>
      </c>
      <c r="E6" s="17">
        <v>0.5</v>
      </c>
      <c r="F6" s="17">
        <v>1</v>
      </c>
      <c r="G6" s="17">
        <v>-1</v>
      </c>
      <c r="H6" s="17">
        <v>1</v>
      </c>
      <c r="I6" s="17">
        <v>1</v>
      </c>
      <c r="J6" s="17">
        <v>1.5</v>
      </c>
      <c r="K6" s="17">
        <v>1</v>
      </c>
      <c r="L6" s="17">
        <v>0.5</v>
      </c>
      <c r="M6" s="17">
        <v>1.5</v>
      </c>
      <c r="N6" s="17">
        <v>0.5</v>
      </c>
      <c r="O6" s="17">
        <v>1</v>
      </c>
      <c r="P6" s="17">
        <v>0.5</v>
      </c>
      <c r="Q6" s="17">
        <v>1</v>
      </c>
      <c r="R6" s="17">
        <v>1.5</v>
      </c>
      <c r="S6" s="17">
        <v>2</v>
      </c>
      <c r="T6" s="17">
        <v>1.5</v>
      </c>
      <c r="U6" s="17">
        <v>1</v>
      </c>
      <c r="V6" s="17">
        <v>-0.5</v>
      </c>
      <c r="W6" s="17">
        <v>-2.5</v>
      </c>
      <c r="X6" s="17">
        <v>-1</v>
      </c>
      <c r="Y6" s="17">
        <v>1.5</v>
      </c>
      <c r="Z6" s="17">
        <v>1.5</v>
      </c>
      <c r="AA6" s="17">
        <v>1.5</v>
      </c>
      <c r="AB6" s="17">
        <v>1</v>
      </c>
    </row>
    <row r="7" spans="1:28" x14ac:dyDescent="0.2">
      <c r="A7" s="17">
        <v>3</v>
      </c>
      <c r="B7" s="17">
        <v>1</v>
      </c>
      <c r="C7" s="17">
        <v>1.5</v>
      </c>
      <c r="D7" s="17">
        <v>1</v>
      </c>
      <c r="E7" s="17">
        <v>2</v>
      </c>
      <c r="F7" s="17">
        <v>1</v>
      </c>
      <c r="G7" s="17">
        <v>1</v>
      </c>
      <c r="H7" s="17">
        <v>2</v>
      </c>
      <c r="I7" s="17">
        <v>2</v>
      </c>
      <c r="J7" s="17">
        <v>2</v>
      </c>
      <c r="K7" s="17">
        <v>1.5</v>
      </c>
      <c r="L7" s="17">
        <v>2</v>
      </c>
      <c r="M7" s="17">
        <v>2</v>
      </c>
      <c r="N7" s="17">
        <v>1</v>
      </c>
      <c r="O7" s="17">
        <v>1</v>
      </c>
      <c r="P7" s="17">
        <v>2</v>
      </c>
      <c r="Q7" s="17">
        <v>1</v>
      </c>
      <c r="R7" s="17">
        <v>1.5</v>
      </c>
      <c r="S7" s="17">
        <v>1.5</v>
      </c>
      <c r="T7" s="17">
        <v>1.5</v>
      </c>
      <c r="U7" s="17">
        <v>2</v>
      </c>
      <c r="V7" s="17">
        <v>0</v>
      </c>
      <c r="W7" s="17">
        <v>1</v>
      </c>
      <c r="X7" s="17">
        <v>1</v>
      </c>
      <c r="Y7" s="17">
        <v>2</v>
      </c>
      <c r="Z7" s="17">
        <v>2</v>
      </c>
      <c r="AA7" s="17">
        <v>2</v>
      </c>
      <c r="AB7" s="17">
        <v>2</v>
      </c>
    </row>
    <row r="8" spans="1:28" x14ac:dyDescent="0.2">
      <c r="A8" s="17">
        <v>4</v>
      </c>
      <c r="B8" s="17">
        <v>-1</v>
      </c>
      <c r="C8" s="17">
        <v>1</v>
      </c>
      <c r="D8" s="17">
        <v>0.5</v>
      </c>
      <c r="E8" s="17">
        <v>1</v>
      </c>
      <c r="F8" s="17">
        <v>1</v>
      </c>
      <c r="G8" s="17">
        <v>0.5</v>
      </c>
      <c r="H8" s="17">
        <v>1</v>
      </c>
      <c r="I8" s="17">
        <v>1</v>
      </c>
      <c r="J8" s="17">
        <v>0.5</v>
      </c>
      <c r="K8" s="17">
        <v>-0.5</v>
      </c>
      <c r="L8" s="17">
        <v>0.5</v>
      </c>
      <c r="M8" s="17">
        <v>1</v>
      </c>
      <c r="N8" s="17">
        <v>1</v>
      </c>
      <c r="O8" s="17">
        <v>1</v>
      </c>
      <c r="P8" s="17">
        <v>0</v>
      </c>
      <c r="Q8" s="17">
        <v>0.5</v>
      </c>
      <c r="R8" s="17">
        <v>1</v>
      </c>
      <c r="S8" s="17">
        <v>1</v>
      </c>
      <c r="T8" s="17">
        <v>1</v>
      </c>
      <c r="U8" s="17">
        <v>0.5</v>
      </c>
      <c r="V8" s="17">
        <v>-1</v>
      </c>
      <c r="W8" s="17">
        <v>-0.5</v>
      </c>
      <c r="X8" s="17">
        <v>0</v>
      </c>
      <c r="Y8" s="17">
        <v>0.5</v>
      </c>
      <c r="Z8" s="17">
        <v>0</v>
      </c>
      <c r="AA8" s="17">
        <v>1</v>
      </c>
      <c r="AB8" s="17">
        <v>1</v>
      </c>
    </row>
    <row r="9" spans="1:28" x14ac:dyDescent="0.2">
      <c r="A9" s="17">
        <v>5</v>
      </c>
      <c r="B9" s="17">
        <v>1</v>
      </c>
      <c r="C9" s="17">
        <v>1.5</v>
      </c>
      <c r="D9" s="17">
        <v>1</v>
      </c>
      <c r="E9" s="17">
        <v>2</v>
      </c>
      <c r="F9" s="17">
        <v>1.5</v>
      </c>
      <c r="G9" s="17">
        <v>1.5</v>
      </c>
      <c r="H9" s="17">
        <v>1.5</v>
      </c>
      <c r="I9" s="17">
        <v>2</v>
      </c>
      <c r="J9" s="17">
        <v>2</v>
      </c>
      <c r="K9" s="17">
        <v>1.5</v>
      </c>
      <c r="L9" s="17">
        <v>2</v>
      </c>
      <c r="M9" s="17">
        <v>2</v>
      </c>
      <c r="N9" s="17">
        <v>1.5</v>
      </c>
      <c r="O9" s="17">
        <v>1.5</v>
      </c>
      <c r="P9" s="17">
        <v>1.5</v>
      </c>
      <c r="Q9" s="17">
        <v>1.5</v>
      </c>
      <c r="R9" s="17">
        <v>1.5</v>
      </c>
      <c r="S9" s="17">
        <v>1.5</v>
      </c>
      <c r="T9" s="17">
        <v>2</v>
      </c>
      <c r="U9" s="17">
        <v>2</v>
      </c>
      <c r="V9" s="17">
        <v>1</v>
      </c>
      <c r="W9" s="17">
        <v>1</v>
      </c>
      <c r="X9" s="17">
        <v>1</v>
      </c>
      <c r="Y9" s="17">
        <v>1.5</v>
      </c>
      <c r="Z9" s="17">
        <v>1.5</v>
      </c>
      <c r="AA9" s="17">
        <v>1.5</v>
      </c>
      <c r="AB9" s="17">
        <v>2</v>
      </c>
    </row>
    <row r="10" spans="1:28" x14ac:dyDescent="0.2">
      <c r="A10" s="17">
        <v>6</v>
      </c>
      <c r="B10" s="17">
        <v>2</v>
      </c>
      <c r="C10" s="17">
        <v>2</v>
      </c>
      <c r="D10" s="17">
        <v>2</v>
      </c>
      <c r="E10" s="17">
        <v>3</v>
      </c>
      <c r="F10" s="17">
        <v>2.5</v>
      </c>
      <c r="G10" s="17">
        <v>2</v>
      </c>
      <c r="H10" s="17">
        <v>2.5</v>
      </c>
      <c r="I10" s="17">
        <v>2.5</v>
      </c>
      <c r="J10" s="17">
        <v>2</v>
      </c>
      <c r="K10" s="17">
        <v>1</v>
      </c>
      <c r="L10" s="17">
        <v>2</v>
      </c>
      <c r="M10" s="17">
        <v>3</v>
      </c>
      <c r="N10" s="17">
        <v>2</v>
      </c>
      <c r="O10" s="17">
        <v>2</v>
      </c>
      <c r="P10" s="17">
        <v>2</v>
      </c>
      <c r="Q10" s="17">
        <v>2</v>
      </c>
      <c r="R10" s="17">
        <v>2</v>
      </c>
      <c r="S10" s="17">
        <v>2.5</v>
      </c>
      <c r="T10" s="17">
        <v>2.5</v>
      </c>
      <c r="U10" s="17">
        <v>2.5</v>
      </c>
      <c r="V10" s="17">
        <v>2</v>
      </c>
      <c r="W10" s="17">
        <v>2</v>
      </c>
      <c r="X10" s="17">
        <v>2</v>
      </c>
      <c r="Y10" s="17">
        <v>2</v>
      </c>
      <c r="Z10" s="17">
        <v>2</v>
      </c>
      <c r="AA10" s="17">
        <v>2</v>
      </c>
      <c r="AB10" s="17">
        <v>2</v>
      </c>
    </row>
    <row r="11" spans="1:28" x14ac:dyDescent="0.2">
      <c r="A11" s="17">
        <v>7</v>
      </c>
      <c r="B11" s="17">
        <v>2</v>
      </c>
      <c r="C11" s="17">
        <v>2</v>
      </c>
      <c r="D11" s="17">
        <v>2</v>
      </c>
      <c r="E11" s="17">
        <v>2</v>
      </c>
      <c r="F11" s="17">
        <v>2</v>
      </c>
      <c r="G11" s="17">
        <v>2</v>
      </c>
      <c r="H11" s="17">
        <v>2</v>
      </c>
      <c r="I11" s="17">
        <v>2</v>
      </c>
      <c r="J11" s="17">
        <v>0.5</v>
      </c>
      <c r="K11" s="17">
        <v>0.5</v>
      </c>
      <c r="L11" s="17">
        <v>2</v>
      </c>
      <c r="M11" s="17">
        <v>2</v>
      </c>
      <c r="N11" s="17">
        <v>0</v>
      </c>
      <c r="O11" s="17">
        <v>2</v>
      </c>
      <c r="P11" s="17">
        <v>2</v>
      </c>
      <c r="Q11" s="17">
        <v>2</v>
      </c>
      <c r="R11" s="17">
        <v>1.5</v>
      </c>
      <c r="S11" s="17">
        <v>2</v>
      </c>
      <c r="T11" s="17">
        <v>2</v>
      </c>
      <c r="U11" s="17">
        <v>2</v>
      </c>
      <c r="V11" s="17">
        <v>2</v>
      </c>
      <c r="W11" s="17">
        <v>2</v>
      </c>
      <c r="X11" s="17">
        <v>2</v>
      </c>
      <c r="Y11" s="17">
        <v>2</v>
      </c>
      <c r="Z11" s="17">
        <v>2</v>
      </c>
      <c r="AA11" s="17">
        <v>2</v>
      </c>
      <c r="AB11" s="17">
        <v>2</v>
      </c>
    </row>
    <row r="12" spans="1:28" x14ac:dyDescent="0.2">
      <c r="A12" s="17">
        <v>8</v>
      </c>
      <c r="B12" s="17">
        <v>1.5</v>
      </c>
      <c r="C12" s="17">
        <v>1.5</v>
      </c>
      <c r="D12" s="17">
        <v>1</v>
      </c>
      <c r="E12" s="17">
        <v>1.5</v>
      </c>
      <c r="F12" s="17">
        <v>1</v>
      </c>
      <c r="G12" s="17">
        <v>2</v>
      </c>
      <c r="H12" s="17">
        <v>2</v>
      </c>
      <c r="I12" s="17">
        <v>2</v>
      </c>
      <c r="J12" s="17">
        <v>2</v>
      </c>
      <c r="K12" s="17">
        <v>2</v>
      </c>
      <c r="L12" s="17">
        <v>1.5</v>
      </c>
      <c r="M12" s="17">
        <v>1.5</v>
      </c>
      <c r="N12" s="17">
        <v>2</v>
      </c>
      <c r="O12" s="17">
        <v>1</v>
      </c>
      <c r="P12" s="17">
        <v>1.5</v>
      </c>
      <c r="Q12" s="17">
        <v>0.5</v>
      </c>
      <c r="R12" s="17">
        <v>2</v>
      </c>
      <c r="S12" s="17">
        <v>1.5</v>
      </c>
      <c r="T12" s="17">
        <v>2</v>
      </c>
      <c r="U12" s="17">
        <v>1.5</v>
      </c>
      <c r="V12" s="17">
        <v>1.5</v>
      </c>
      <c r="W12" s="17">
        <v>2</v>
      </c>
      <c r="X12" s="17">
        <v>1.5</v>
      </c>
      <c r="Y12" s="17">
        <v>1.5</v>
      </c>
      <c r="Z12" s="17">
        <v>1.5</v>
      </c>
      <c r="AA12" s="17">
        <v>1</v>
      </c>
      <c r="AB12" s="17">
        <v>1</v>
      </c>
    </row>
    <row r="13" spans="1:28" x14ac:dyDescent="0.2">
      <c r="A13" s="17">
        <v>9</v>
      </c>
      <c r="B13" s="17">
        <v>1</v>
      </c>
      <c r="C13" s="17">
        <v>3</v>
      </c>
      <c r="D13" s="17">
        <v>0</v>
      </c>
      <c r="E13" s="17">
        <v>2</v>
      </c>
      <c r="F13" s="17">
        <v>3</v>
      </c>
      <c r="G13" s="17">
        <v>-1.5</v>
      </c>
      <c r="H13" s="17">
        <v>3</v>
      </c>
      <c r="I13" s="17">
        <v>3</v>
      </c>
      <c r="J13" s="17">
        <v>3</v>
      </c>
      <c r="K13" s="17">
        <v>1.5</v>
      </c>
      <c r="L13" s="17">
        <v>2</v>
      </c>
      <c r="M13" s="17">
        <v>1.5</v>
      </c>
      <c r="N13" s="17">
        <v>2.5</v>
      </c>
      <c r="O13" s="17">
        <v>2</v>
      </c>
      <c r="P13" s="17">
        <v>2.5</v>
      </c>
      <c r="Q13" s="17">
        <v>2.5</v>
      </c>
      <c r="R13" s="17">
        <v>3</v>
      </c>
      <c r="S13" s="17">
        <v>2.5</v>
      </c>
      <c r="T13" s="17">
        <v>3</v>
      </c>
      <c r="U13" s="17">
        <v>2.5</v>
      </c>
      <c r="V13" s="17">
        <v>2</v>
      </c>
      <c r="W13" s="17">
        <v>2.5</v>
      </c>
      <c r="X13" s="17">
        <v>1</v>
      </c>
      <c r="Y13" s="17">
        <v>3</v>
      </c>
      <c r="Z13" s="17">
        <v>3</v>
      </c>
      <c r="AA13" s="17">
        <v>3</v>
      </c>
      <c r="AB13" s="17">
        <v>3</v>
      </c>
    </row>
    <row r="14" spans="1:28" x14ac:dyDescent="0.2">
      <c r="A14" s="17">
        <v>10</v>
      </c>
      <c r="B14" s="17">
        <v>0.5</v>
      </c>
      <c r="C14" s="17">
        <v>1.5</v>
      </c>
      <c r="D14" s="17">
        <v>1.5</v>
      </c>
      <c r="E14" s="17">
        <v>1.5</v>
      </c>
      <c r="F14" s="17">
        <v>2</v>
      </c>
      <c r="G14" s="17">
        <v>1.5</v>
      </c>
      <c r="H14" s="17">
        <v>2</v>
      </c>
      <c r="I14" s="17">
        <v>2</v>
      </c>
      <c r="J14" s="17">
        <v>2</v>
      </c>
      <c r="K14" s="17">
        <v>2</v>
      </c>
      <c r="L14" s="17">
        <v>2</v>
      </c>
      <c r="M14" s="17">
        <v>2</v>
      </c>
      <c r="N14" s="17">
        <v>2</v>
      </c>
      <c r="O14" s="17">
        <v>2</v>
      </c>
      <c r="P14" s="17">
        <v>2</v>
      </c>
      <c r="Q14" s="17">
        <v>2</v>
      </c>
      <c r="R14" s="17">
        <v>2</v>
      </c>
      <c r="S14" s="17">
        <v>2</v>
      </c>
      <c r="T14" s="17">
        <v>2</v>
      </c>
      <c r="U14" s="17">
        <v>2</v>
      </c>
      <c r="V14" s="17">
        <v>2</v>
      </c>
      <c r="W14" s="17">
        <v>2</v>
      </c>
      <c r="X14" s="17">
        <v>2</v>
      </c>
      <c r="Y14" s="17">
        <v>2</v>
      </c>
      <c r="Z14" s="17">
        <v>2</v>
      </c>
      <c r="AA14" s="17">
        <v>2</v>
      </c>
      <c r="AB14" s="17">
        <v>2</v>
      </c>
    </row>
    <row r="15" spans="1:28" x14ac:dyDescent="0.2">
      <c r="A15" s="17">
        <v>11</v>
      </c>
      <c r="B15" s="17">
        <v>1.5</v>
      </c>
      <c r="C15" s="17">
        <v>2</v>
      </c>
      <c r="D15" s="17">
        <v>2</v>
      </c>
      <c r="E15" s="17">
        <v>2</v>
      </c>
      <c r="F15" s="17">
        <v>2</v>
      </c>
      <c r="G15" s="17">
        <v>1.5</v>
      </c>
      <c r="H15" s="17">
        <v>2</v>
      </c>
      <c r="I15" s="17">
        <v>2</v>
      </c>
      <c r="J15" s="17">
        <v>2</v>
      </c>
      <c r="K15" s="17">
        <v>2</v>
      </c>
      <c r="L15" s="17">
        <v>2</v>
      </c>
      <c r="M15" s="17">
        <v>2</v>
      </c>
      <c r="N15" s="17">
        <v>2</v>
      </c>
      <c r="O15" s="17">
        <v>2</v>
      </c>
      <c r="P15" s="17">
        <v>2</v>
      </c>
      <c r="Q15" s="17">
        <v>2</v>
      </c>
      <c r="R15" s="17">
        <v>2</v>
      </c>
      <c r="S15" s="17">
        <v>2</v>
      </c>
      <c r="T15" s="17">
        <v>2</v>
      </c>
      <c r="U15" s="17">
        <v>2</v>
      </c>
      <c r="V15" s="17">
        <v>2</v>
      </c>
      <c r="W15" s="17">
        <v>2</v>
      </c>
      <c r="X15" s="17">
        <v>1.5</v>
      </c>
      <c r="Y15" s="17">
        <v>2</v>
      </c>
      <c r="Z15" s="17">
        <v>2</v>
      </c>
      <c r="AA15" s="17">
        <v>2</v>
      </c>
      <c r="AB15" s="17">
        <v>2</v>
      </c>
    </row>
    <row r="16" spans="1:28" x14ac:dyDescent="0.2">
      <c r="A16" s="17">
        <v>12</v>
      </c>
      <c r="B16" s="17">
        <v>2</v>
      </c>
      <c r="C16" s="17">
        <v>3</v>
      </c>
      <c r="D16" s="17">
        <v>3</v>
      </c>
      <c r="E16" s="17">
        <v>3</v>
      </c>
      <c r="F16" s="17">
        <v>3</v>
      </c>
      <c r="G16" s="17">
        <v>2.5</v>
      </c>
      <c r="H16" s="17">
        <v>3</v>
      </c>
      <c r="I16" s="17">
        <v>3</v>
      </c>
      <c r="J16" s="17">
        <v>2.5</v>
      </c>
      <c r="K16" s="17">
        <v>3</v>
      </c>
      <c r="L16" s="17">
        <v>3</v>
      </c>
      <c r="M16" s="17">
        <v>3</v>
      </c>
      <c r="N16" s="17">
        <v>3</v>
      </c>
      <c r="O16" s="17">
        <v>3</v>
      </c>
      <c r="P16" s="17">
        <v>3</v>
      </c>
      <c r="Q16" s="17">
        <v>3</v>
      </c>
      <c r="R16" s="17">
        <v>3</v>
      </c>
      <c r="S16" s="17">
        <v>3</v>
      </c>
      <c r="T16" s="17">
        <v>3</v>
      </c>
      <c r="U16" s="17">
        <v>2.5</v>
      </c>
      <c r="V16" s="17">
        <v>2.5</v>
      </c>
      <c r="W16" s="17">
        <v>2.5</v>
      </c>
      <c r="X16" s="17">
        <v>2.5</v>
      </c>
      <c r="Y16" s="17">
        <v>3</v>
      </c>
      <c r="Z16" s="17">
        <v>3</v>
      </c>
      <c r="AA16" s="17">
        <v>3</v>
      </c>
      <c r="AB16" s="17">
        <v>3</v>
      </c>
    </row>
    <row r="17" spans="1:28" x14ac:dyDescent="0.2">
      <c r="A17" s="17">
        <v>13</v>
      </c>
      <c r="B17" s="17">
        <v>1</v>
      </c>
      <c r="C17" s="17">
        <v>2</v>
      </c>
      <c r="D17" s="17">
        <v>2.5</v>
      </c>
      <c r="E17" s="17">
        <v>3</v>
      </c>
      <c r="F17" s="17">
        <v>3</v>
      </c>
      <c r="G17" s="17">
        <v>2</v>
      </c>
      <c r="H17" s="17">
        <v>2.5</v>
      </c>
      <c r="I17" s="17">
        <v>2</v>
      </c>
      <c r="J17" s="17">
        <v>2</v>
      </c>
      <c r="K17" s="17">
        <v>1.5</v>
      </c>
      <c r="L17" s="17">
        <v>2.5</v>
      </c>
      <c r="M17" s="17">
        <v>2</v>
      </c>
      <c r="N17" s="17">
        <v>2.5</v>
      </c>
      <c r="O17" s="17">
        <v>1</v>
      </c>
      <c r="P17" s="17">
        <v>2.5</v>
      </c>
      <c r="Q17" s="17">
        <v>2</v>
      </c>
      <c r="R17" s="17">
        <v>2.5</v>
      </c>
      <c r="S17" s="17">
        <v>2</v>
      </c>
      <c r="T17" s="17">
        <v>2</v>
      </c>
      <c r="U17" s="17">
        <v>2.5</v>
      </c>
      <c r="V17" s="17">
        <v>2</v>
      </c>
      <c r="W17" s="17">
        <v>2</v>
      </c>
      <c r="X17" s="17">
        <v>2</v>
      </c>
      <c r="Y17" s="17">
        <v>2</v>
      </c>
      <c r="Z17" s="17">
        <v>2</v>
      </c>
      <c r="AA17" s="17">
        <v>2</v>
      </c>
      <c r="AB17" s="17">
        <v>2</v>
      </c>
    </row>
    <row r="18" spans="1:28" x14ac:dyDescent="0.2">
      <c r="A18" s="17">
        <v>14</v>
      </c>
      <c r="B18" s="17">
        <v>1.5</v>
      </c>
      <c r="C18" s="17">
        <v>2</v>
      </c>
      <c r="D18" s="17">
        <v>2</v>
      </c>
      <c r="E18" s="17">
        <v>2.5</v>
      </c>
      <c r="F18" s="17">
        <v>2.5</v>
      </c>
      <c r="G18" s="17">
        <v>1</v>
      </c>
      <c r="H18" s="17">
        <v>2</v>
      </c>
      <c r="I18" s="17">
        <v>2</v>
      </c>
      <c r="J18" s="17">
        <v>2</v>
      </c>
      <c r="K18" s="17">
        <v>2</v>
      </c>
      <c r="L18" s="17">
        <v>1.5</v>
      </c>
      <c r="M18" s="17">
        <v>2</v>
      </c>
      <c r="N18" s="17">
        <v>2</v>
      </c>
      <c r="O18" s="17">
        <v>1.5</v>
      </c>
      <c r="P18" s="17">
        <v>2</v>
      </c>
      <c r="Q18" s="17">
        <v>2.5</v>
      </c>
      <c r="R18" s="17">
        <v>2</v>
      </c>
      <c r="S18" s="17">
        <v>2</v>
      </c>
      <c r="T18" s="17">
        <v>2</v>
      </c>
      <c r="U18" s="17">
        <v>2</v>
      </c>
      <c r="V18" s="17">
        <v>1.5</v>
      </c>
      <c r="W18" s="17">
        <v>1.5</v>
      </c>
      <c r="X18" s="17">
        <v>1.5</v>
      </c>
      <c r="Y18" s="17">
        <v>2</v>
      </c>
      <c r="Z18" s="17">
        <v>2</v>
      </c>
      <c r="AA18" s="17">
        <v>2.5</v>
      </c>
      <c r="AB18" s="17">
        <v>2.5</v>
      </c>
    </row>
    <row r="19" spans="1:28" x14ac:dyDescent="0.2">
      <c r="A19" s="17">
        <v>15</v>
      </c>
      <c r="B19" s="17">
        <v>0.5</v>
      </c>
      <c r="C19" s="17">
        <v>1</v>
      </c>
      <c r="D19" s="17">
        <v>1</v>
      </c>
      <c r="E19" s="17">
        <v>1</v>
      </c>
      <c r="F19" s="17">
        <v>1.5</v>
      </c>
      <c r="G19" s="17">
        <v>0</v>
      </c>
      <c r="H19" s="17">
        <v>2</v>
      </c>
      <c r="I19" s="17">
        <v>1.5</v>
      </c>
      <c r="J19" s="17">
        <v>1.5</v>
      </c>
      <c r="K19" s="17">
        <v>0.5</v>
      </c>
      <c r="L19" s="17">
        <v>1</v>
      </c>
      <c r="M19" s="17">
        <v>1.5</v>
      </c>
      <c r="N19" s="17">
        <v>1</v>
      </c>
      <c r="O19" s="17">
        <v>1</v>
      </c>
      <c r="P19" s="17">
        <v>1</v>
      </c>
      <c r="Q19" s="17">
        <v>0.5</v>
      </c>
      <c r="R19" s="17">
        <v>2</v>
      </c>
      <c r="S19" s="17">
        <v>1</v>
      </c>
      <c r="T19" s="17">
        <v>1.5</v>
      </c>
      <c r="U19" s="17">
        <v>2</v>
      </c>
      <c r="V19" s="17">
        <v>0</v>
      </c>
      <c r="W19" s="17">
        <v>0</v>
      </c>
      <c r="X19" s="17">
        <v>0.5</v>
      </c>
      <c r="Y19" s="17">
        <v>0.5</v>
      </c>
      <c r="Z19" s="17">
        <v>1</v>
      </c>
      <c r="AA19" s="17">
        <v>1</v>
      </c>
      <c r="AB19" s="17">
        <v>0.5</v>
      </c>
    </row>
    <row r="20" spans="1:28" x14ac:dyDescent="0.2">
      <c r="A20" s="17">
        <v>16</v>
      </c>
      <c r="B20" s="17">
        <v>1</v>
      </c>
      <c r="C20" s="17">
        <v>2</v>
      </c>
      <c r="D20" s="17">
        <v>2</v>
      </c>
      <c r="E20" s="17">
        <v>2</v>
      </c>
      <c r="F20" s="17">
        <v>2</v>
      </c>
      <c r="G20" s="17">
        <v>1.5</v>
      </c>
      <c r="H20" s="17">
        <v>2</v>
      </c>
      <c r="I20" s="17">
        <v>2</v>
      </c>
      <c r="J20" s="17">
        <v>2</v>
      </c>
      <c r="K20" s="17">
        <v>2</v>
      </c>
      <c r="L20" s="17">
        <v>2</v>
      </c>
      <c r="M20" s="17">
        <v>2</v>
      </c>
      <c r="N20" s="17">
        <v>2</v>
      </c>
      <c r="O20" s="17">
        <v>2</v>
      </c>
      <c r="P20" s="17">
        <v>2</v>
      </c>
      <c r="Q20" s="17">
        <v>2</v>
      </c>
      <c r="R20" s="17">
        <v>2</v>
      </c>
      <c r="S20" s="17">
        <v>2</v>
      </c>
      <c r="T20" s="17">
        <v>2</v>
      </c>
      <c r="U20" s="17">
        <v>2</v>
      </c>
      <c r="V20" s="17">
        <v>1.5</v>
      </c>
      <c r="W20" s="17">
        <v>1.5</v>
      </c>
      <c r="X20" s="17">
        <v>0.5</v>
      </c>
      <c r="Y20" s="17">
        <v>2.5</v>
      </c>
      <c r="Z20" s="17">
        <v>2</v>
      </c>
      <c r="AA20" s="17">
        <v>2</v>
      </c>
      <c r="AB20" s="17">
        <v>2.5</v>
      </c>
    </row>
    <row r="21" spans="1:28" x14ac:dyDescent="0.2">
      <c r="A21" s="17">
        <v>17</v>
      </c>
      <c r="B21" s="17">
        <v>1</v>
      </c>
      <c r="C21" s="17">
        <v>2</v>
      </c>
      <c r="D21" s="17">
        <v>2</v>
      </c>
      <c r="E21" s="17">
        <v>2</v>
      </c>
      <c r="F21" s="17">
        <v>2.5</v>
      </c>
      <c r="G21" s="17">
        <v>1.5</v>
      </c>
      <c r="H21" s="17">
        <v>1.5</v>
      </c>
      <c r="I21" s="17">
        <v>2</v>
      </c>
      <c r="J21" s="17">
        <v>2</v>
      </c>
      <c r="K21" s="17">
        <v>2</v>
      </c>
      <c r="L21" s="17">
        <v>2</v>
      </c>
      <c r="M21" s="17">
        <v>2.5</v>
      </c>
      <c r="N21" s="17">
        <v>2.5</v>
      </c>
      <c r="O21" s="17">
        <v>2</v>
      </c>
      <c r="P21" s="17">
        <v>2</v>
      </c>
      <c r="Q21" s="17">
        <v>2.5</v>
      </c>
      <c r="R21" s="17">
        <v>2</v>
      </c>
      <c r="S21" s="17">
        <v>2</v>
      </c>
      <c r="T21" s="17">
        <v>2</v>
      </c>
      <c r="U21" s="17">
        <v>1.5</v>
      </c>
      <c r="V21" s="17">
        <v>2</v>
      </c>
      <c r="W21" s="17">
        <v>2</v>
      </c>
      <c r="X21" s="17">
        <v>2</v>
      </c>
      <c r="Y21" s="17">
        <v>2</v>
      </c>
      <c r="Z21" s="17">
        <v>2</v>
      </c>
      <c r="AA21" s="17">
        <v>1.5</v>
      </c>
      <c r="AB21" s="17">
        <v>2</v>
      </c>
    </row>
    <row r="22" spans="1:28" x14ac:dyDescent="0.2">
      <c r="A22" s="17">
        <v>18</v>
      </c>
      <c r="B22" s="17">
        <v>-1.5</v>
      </c>
      <c r="C22" s="17">
        <v>1</v>
      </c>
      <c r="D22" s="17">
        <v>-1</v>
      </c>
      <c r="E22" s="17">
        <v>1</v>
      </c>
      <c r="F22" s="17">
        <v>1</v>
      </c>
      <c r="G22" s="17">
        <v>-1</v>
      </c>
      <c r="H22" s="17">
        <v>1.5</v>
      </c>
      <c r="I22" s="17">
        <v>2</v>
      </c>
      <c r="J22" s="17">
        <v>2</v>
      </c>
      <c r="K22" s="17">
        <v>1</v>
      </c>
      <c r="L22" s="17">
        <v>1</v>
      </c>
      <c r="M22" s="17">
        <v>2</v>
      </c>
      <c r="N22" s="17">
        <v>1.5</v>
      </c>
      <c r="O22" s="17">
        <v>1</v>
      </c>
      <c r="P22" s="17">
        <v>2</v>
      </c>
      <c r="Q22" s="17">
        <v>0.5</v>
      </c>
      <c r="R22" s="17">
        <v>2</v>
      </c>
      <c r="S22" s="17">
        <v>1.5</v>
      </c>
      <c r="T22" s="17">
        <v>1.5</v>
      </c>
      <c r="U22" s="17">
        <v>2</v>
      </c>
      <c r="V22" s="17">
        <v>1</v>
      </c>
      <c r="W22" s="17">
        <v>1</v>
      </c>
      <c r="X22" s="17">
        <v>0</v>
      </c>
      <c r="Y22" s="17">
        <v>0</v>
      </c>
      <c r="Z22" s="17">
        <v>3</v>
      </c>
      <c r="AA22" s="17">
        <v>2</v>
      </c>
      <c r="AB22" s="17">
        <v>3</v>
      </c>
    </row>
    <row r="23" spans="1:28" x14ac:dyDescent="0.2">
      <c r="A23" s="17">
        <v>19</v>
      </c>
      <c r="B23" s="17">
        <v>-3</v>
      </c>
      <c r="C23" s="17">
        <v>1</v>
      </c>
      <c r="D23" s="17">
        <v>1</v>
      </c>
      <c r="E23" s="17">
        <v>1.5</v>
      </c>
      <c r="F23" s="17">
        <v>1.5</v>
      </c>
      <c r="G23" s="17">
        <v>0.5</v>
      </c>
      <c r="H23" s="17">
        <v>-2</v>
      </c>
      <c r="I23" s="17">
        <v>2</v>
      </c>
      <c r="J23" s="17">
        <v>-1.5</v>
      </c>
      <c r="K23" s="17">
        <v>-1</v>
      </c>
      <c r="L23" s="17">
        <v>1</v>
      </c>
      <c r="M23" s="17">
        <v>1</v>
      </c>
      <c r="N23" s="17">
        <v>-1</v>
      </c>
      <c r="O23" s="17">
        <v>-2</v>
      </c>
      <c r="P23" s="17">
        <v>1</v>
      </c>
      <c r="Q23" s="17">
        <v>1.5</v>
      </c>
      <c r="R23" s="17">
        <v>2</v>
      </c>
      <c r="S23" s="17">
        <v>0.5</v>
      </c>
      <c r="T23" s="17">
        <v>-1</v>
      </c>
      <c r="U23" s="17">
        <v>-0.5</v>
      </c>
      <c r="V23" s="17">
        <v>-0.5</v>
      </c>
      <c r="W23" s="17">
        <v>-2.5</v>
      </c>
      <c r="X23" s="17">
        <v>-2</v>
      </c>
      <c r="Y23" s="17">
        <v>1.5</v>
      </c>
      <c r="Z23" s="17">
        <v>2.5</v>
      </c>
      <c r="AA23" s="17">
        <v>2</v>
      </c>
      <c r="AB23" s="17">
        <v>2.5</v>
      </c>
    </row>
    <row r="24" spans="1:28" x14ac:dyDescent="0.2">
      <c r="A24" s="17">
        <v>20</v>
      </c>
      <c r="B24" s="17">
        <v>-0.5</v>
      </c>
      <c r="C24" s="17">
        <v>0.5</v>
      </c>
      <c r="D24" s="17">
        <v>0.5</v>
      </c>
      <c r="E24" s="17">
        <v>2</v>
      </c>
      <c r="F24" s="17">
        <v>2</v>
      </c>
      <c r="G24" s="17">
        <v>-0.5</v>
      </c>
      <c r="H24" s="17">
        <v>2.5</v>
      </c>
      <c r="I24" s="17">
        <v>0.5</v>
      </c>
      <c r="J24" s="17">
        <v>1.5</v>
      </c>
      <c r="K24" s="17">
        <v>2</v>
      </c>
      <c r="L24" s="17">
        <v>0</v>
      </c>
      <c r="M24" s="17">
        <v>2.5</v>
      </c>
      <c r="N24" s="17">
        <v>2</v>
      </c>
      <c r="O24" s="17">
        <v>2</v>
      </c>
      <c r="P24" s="17">
        <v>3</v>
      </c>
      <c r="Q24" s="17">
        <v>1</v>
      </c>
      <c r="R24" s="17">
        <v>2.5</v>
      </c>
      <c r="S24" s="17">
        <v>2.5</v>
      </c>
      <c r="T24" s="17">
        <v>3</v>
      </c>
      <c r="U24" s="17">
        <v>2</v>
      </c>
      <c r="V24" s="17">
        <v>1.5</v>
      </c>
      <c r="W24" s="17">
        <v>2</v>
      </c>
      <c r="X24" s="17">
        <v>0</v>
      </c>
      <c r="Y24" s="17">
        <v>3</v>
      </c>
      <c r="Z24" s="17">
        <v>3</v>
      </c>
      <c r="AA24" s="17">
        <v>3</v>
      </c>
      <c r="AB24" s="17">
        <v>2.5</v>
      </c>
    </row>
    <row r="25" spans="1:28" x14ac:dyDescent="0.2">
      <c r="A25" s="17">
        <v>21</v>
      </c>
      <c r="B25" s="17">
        <v>0.5</v>
      </c>
      <c r="C25" s="17">
        <v>0.5</v>
      </c>
      <c r="D25" s="17">
        <v>0</v>
      </c>
      <c r="E25" s="17">
        <v>1.5</v>
      </c>
      <c r="F25" s="17">
        <v>0.5</v>
      </c>
      <c r="G25" s="17">
        <v>-2</v>
      </c>
      <c r="H25" s="17">
        <v>1.5</v>
      </c>
      <c r="I25" s="17">
        <v>1.5</v>
      </c>
      <c r="J25" s="17">
        <v>1</v>
      </c>
      <c r="K25" s="17">
        <v>0</v>
      </c>
      <c r="L25" s="17">
        <v>0.5</v>
      </c>
      <c r="M25" s="17">
        <v>0</v>
      </c>
      <c r="N25" s="17">
        <v>0</v>
      </c>
      <c r="O25" s="17">
        <v>1</v>
      </c>
      <c r="P25" s="17">
        <v>0.5</v>
      </c>
      <c r="Q25" s="17">
        <v>-1</v>
      </c>
      <c r="R25" s="17">
        <v>2</v>
      </c>
      <c r="S25" s="17">
        <v>1.5</v>
      </c>
      <c r="T25" s="17">
        <v>2.5</v>
      </c>
      <c r="U25" s="17">
        <v>2</v>
      </c>
      <c r="V25" s="17">
        <v>0.5</v>
      </c>
      <c r="W25" s="17">
        <v>1</v>
      </c>
      <c r="X25" s="17">
        <v>1</v>
      </c>
      <c r="Y25" s="17">
        <v>1</v>
      </c>
      <c r="Z25" s="17">
        <v>1.5</v>
      </c>
      <c r="AA25" s="17">
        <v>2</v>
      </c>
      <c r="AB25" s="17">
        <v>1</v>
      </c>
    </row>
    <row r="26" spans="1:28" x14ac:dyDescent="0.2">
      <c r="A26" s="17">
        <v>22</v>
      </c>
      <c r="B26" s="17">
        <v>0</v>
      </c>
      <c r="C26" s="17">
        <v>1.5</v>
      </c>
      <c r="D26" s="17">
        <v>1</v>
      </c>
      <c r="E26" s="17">
        <v>1</v>
      </c>
      <c r="F26" s="17">
        <v>1</v>
      </c>
      <c r="G26" s="17">
        <v>0</v>
      </c>
      <c r="H26" s="17">
        <v>1</v>
      </c>
      <c r="I26" s="17">
        <v>1</v>
      </c>
      <c r="J26" s="17">
        <v>1</v>
      </c>
      <c r="K26" s="17">
        <v>0.5</v>
      </c>
      <c r="L26" s="17">
        <v>1</v>
      </c>
      <c r="M26" s="17">
        <v>1</v>
      </c>
      <c r="N26" s="17">
        <v>0.5</v>
      </c>
      <c r="O26" s="17">
        <v>1</v>
      </c>
      <c r="P26" s="17">
        <v>0.5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0.5</v>
      </c>
      <c r="X26" s="17">
        <v>0</v>
      </c>
      <c r="Y26" s="17">
        <v>0</v>
      </c>
      <c r="Z26" s="17">
        <v>0</v>
      </c>
      <c r="AA26" s="17">
        <v>1</v>
      </c>
      <c r="AB26" s="17">
        <v>1</v>
      </c>
    </row>
    <row r="27" spans="1:28" x14ac:dyDescent="0.2">
      <c r="A27" s="17">
        <v>23</v>
      </c>
      <c r="B27" s="17">
        <v>1</v>
      </c>
      <c r="C27" s="17">
        <v>1.5</v>
      </c>
      <c r="D27" s="17">
        <v>1.5</v>
      </c>
      <c r="E27" s="17">
        <v>2.5</v>
      </c>
      <c r="F27" s="17">
        <v>2.5</v>
      </c>
      <c r="G27" s="17">
        <v>0.5</v>
      </c>
      <c r="H27" s="17">
        <v>2.5</v>
      </c>
      <c r="I27" s="17">
        <v>3</v>
      </c>
      <c r="J27" s="17">
        <v>1.5</v>
      </c>
      <c r="K27" s="17">
        <v>1</v>
      </c>
      <c r="L27" s="17">
        <v>2</v>
      </c>
      <c r="M27" s="17">
        <v>2.5</v>
      </c>
      <c r="N27" s="17">
        <v>1.5</v>
      </c>
      <c r="O27" s="17">
        <v>1</v>
      </c>
      <c r="P27" s="17">
        <v>2.5</v>
      </c>
      <c r="Q27" s="17">
        <v>2.5</v>
      </c>
      <c r="R27" s="17">
        <v>2.5</v>
      </c>
      <c r="S27" s="17">
        <v>1.5</v>
      </c>
      <c r="T27" s="17">
        <v>2.5</v>
      </c>
      <c r="U27" s="17">
        <v>2</v>
      </c>
      <c r="V27" s="17">
        <v>1</v>
      </c>
      <c r="W27" s="17">
        <v>1.5</v>
      </c>
      <c r="X27" s="17">
        <v>0</v>
      </c>
      <c r="Y27" s="17">
        <v>1.5</v>
      </c>
      <c r="Z27" s="17">
        <v>1.5</v>
      </c>
      <c r="AA27" s="17">
        <v>2.5</v>
      </c>
      <c r="AB27" s="17">
        <v>2</v>
      </c>
    </row>
    <row r="28" spans="1:28" x14ac:dyDescent="0.2">
      <c r="A28" s="17">
        <v>24</v>
      </c>
      <c r="B28" s="17">
        <v>-1</v>
      </c>
      <c r="C28" s="17">
        <v>1.5</v>
      </c>
      <c r="D28" s="17">
        <v>1.5</v>
      </c>
      <c r="E28" s="17">
        <v>1.5</v>
      </c>
      <c r="F28" s="17">
        <v>2</v>
      </c>
      <c r="G28" s="17">
        <v>0.5</v>
      </c>
      <c r="H28" s="17">
        <v>2</v>
      </c>
      <c r="I28" s="17">
        <v>1.5</v>
      </c>
      <c r="J28" s="17">
        <v>2</v>
      </c>
      <c r="K28" s="17">
        <v>1.5</v>
      </c>
      <c r="L28" s="17">
        <v>2</v>
      </c>
      <c r="M28" s="17">
        <v>1.5</v>
      </c>
      <c r="N28" s="17">
        <v>3</v>
      </c>
      <c r="O28" s="17">
        <v>2</v>
      </c>
      <c r="P28" s="17">
        <v>2</v>
      </c>
      <c r="Q28" s="17">
        <v>0.5</v>
      </c>
      <c r="R28" s="17">
        <v>2.5</v>
      </c>
      <c r="S28" s="17">
        <v>2</v>
      </c>
      <c r="T28" s="17">
        <v>2.5</v>
      </c>
      <c r="U28" s="17">
        <v>2</v>
      </c>
      <c r="V28" s="17">
        <v>1.5</v>
      </c>
      <c r="W28" s="17">
        <v>1.5</v>
      </c>
      <c r="X28" s="17">
        <v>1.5</v>
      </c>
      <c r="Y28" s="17">
        <v>2</v>
      </c>
      <c r="Z28" s="17">
        <v>2</v>
      </c>
      <c r="AA28" s="17">
        <v>1.5</v>
      </c>
      <c r="AB28" s="17">
        <v>1</v>
      </c>
    </row>
    <row r="29" spans="1:28" x14ac:dyDescent="0.2">
      <c r="A29" s="17">
        <v>25</v>
      </c>
      <c r="B29" s="17">
        <v>0.5</v>
      </c>
      <c r="C29" s="17">
        <v>2</v>
      </c>
      <c r="D29" s="17">
        <v>2</v>
      </c>
      <c r="E29" s="17">
        <v>2</v>
      </c>
      <c r="F29" s="17">
        <v>3</v>
      </c>
      <c r="G29" s="17">
        <v>1.5</v>
      </c>
      <c r="H29" s="17">
        <v>2.5</v>
      </c>
      <c r="I29" s="17">
        <v>2</v>
      </c>
      <c r="J29" s="17">
        <v>1.5</v>
      </c>
      <c r="K29" s="17">
        <v>1.5</v>
      </c>
      <c r="L29" s="17">
        <v>2.5</v>
      </c>
      <c r="M29" s="17">
        <v>3</v>
      </c>
      <c r="N29" s="17">
        <v>1.5</v>
      </c>
      <c r="O29" s="17">
        <v>-1</v>
      </c>
      <c r="P29" s="17">
        <v>3</v>
      </c>
      <c r="Q29" s="17">
        <v>1</v>
      </c>
      <c r="R29" s="17">
        <v>3</v>
      </c>
      <c r="S29" s="17">
        <v>3</v>
      </c>
      <c r="T29" s="17">
        <v>2.5</v>
      </c>
      <c r="U29" s="17">
        <v>3</v>
      </c>
      <c r="V29" s="17">
        <v>1.5</v>
      </c>
      <c r="W29" s="17">
        <v>1.5</v>
      </c>
      <c r="X29" s="17">
        <v>1.5</v>
      </c>
      <c r="Y29" s="17">
        <v>1.5</v>
      </c>
      <c r="Z29" s="17">
        <v>3</v>
      </c>
      <c r="AA29" s="17">
        <v>3</v>
      </c>
      <c r="AB29" s="17">
        <v>3</v>
      </c>
    </row>
    <row r="30" spans="1:28" x14ac:dyDescent="0.2">
      <c r="A30" s="17">
        <v>26</v>
      </c>
      <c r="B30" s="17">
        <v>1</v>
      </c>
      <c r="C30" s="17">
        <v>1.5</v>
      </c>
      <c r="D30" s="17">
        <v>1</v>
      </c>
      <c r="E30" s="17">
        <v>3</v>
      </c>
      <c r="F30" s="17">
        <v>3</v>
      </c>
      <c r="G30" s="17">
        <v>1</v>
      </c>
      <c r="H30" s="17">
        <v>2</v>
      </c>
      <c r="I30" s="17">
        <v>3</v>
      </c>
      <c r="J30" s="17">
        <v>3</v>
      </c>
      <c r="K30" s="17">
        <v>1</v>
      </c>
      <c r="L30" s="17">
        <v>3</v>
      </c>
      <c r="M30" s="17">
        <v>3</v>
      </c>
      <c r="N30" s="17">
        <v>2.5</v>
      </c>
      <c r="O30" s="17">
        <v>1.5</v>
      </c>
      <c r="P30" s="17">
        <v>3</v>
      </c>
      <c r="Q30" s="17">
        <v>2.5</v>
      </c>
      <c r="R30" s="17">
        <v>3</v>
      </c>
      <c r="S30" s="17">
        <v>1.5</v>
      </c>
      <c r="T30" s="17">
        <v>2</v>
      </c>
      <c r="U30" s="17">
        <v>1.5</v>
      </c>
      <c r="V30" s="17">
        <v>3</v>
      </c>
      <c r="W30" s="17">
        <v>3</v>
      </c>
      <c r="X30" s="17">
        <v>3</v>
      </c>
      <c r="Y30" s="17">
        <v>3</v>
      </c>
      <c r="Z30" s="17">
        <v>3</v>
      </c>
      <c r="AA30" s="17">
        <v>3</v>
      </c>
      <c r="AB30" s="17">
        <v>3</v>
      </c>
    </row>
    <row r="31" spans="1:28" x14ac:dyDescent="0.2">
      <c r="A31" s="17">
        <v>27</v>
      </c>
      <c r="B31" s="17">
        <v>0.5</v>
      </c>
      <c r="C31" s="17">
        <v>2</v>
      </c>
      <c r="D31" s="17">
        <v>1.5</v>
      </c>
      <c r="E31" s="17">
        <v>3</v>
      </c>
      <c r="F31" s="17">
        <v>2.5</v>
      </c>
      <c r="G31" s="17">
        <v>1.5</v>
      </c>
      <c r="H31" s="17">
        <v>2.5</v>
      </c>
      <c r="I31" s="17">
        <v>3</v>
      </c>
      <c r="J31" s="17">
        <v>3</v>
      </c>
      <c r="K31" s="17">
        <v>2.5</v>
      </c>
      <c r="L31" s="17">
        <v>3</v>
      </c>
      <c r="M31" s="17">
        <v>2.5</v>
      </c>
      <c r="N31" s="17">
        <v>2</v>
      </c>
      <c r="O31" s="17">
        <v>3</v>
      </c>
      <c r="P31" s="17">
        <v>2.5</v>
      </c>
      <c r="Q31" s="17">
        <v>2</v>
      </c>
      <c r="R31" s="17">
        <v>3</v>
      </c>
      <c r="S31" s="17">
        <v>3</v>
      </c>
      <c r="T31" s="17">
        <v>3</v>
      </c>
      <c r="U31" s="17">
        <v>2.5</v>
      </c>
      <c r="V31" s="17">
        <v>2</v>
      </c>
      <c r="W31" s="17">
        <v>1.5</v>
      </c>
      <c r="X31" s="17">
        <v>1</v>
      </c>
      <c r="Y31" s="17">
        <v>2.5</v>
      </c>
      <c r="Z31" s="17">
        <v>2.5</v>
      </c>
      <c r="AA31" s="17">
        <v>2</v>
      </c>
      <c r="AB31" s="17">
        <v>2</v>
      </c>
    </row>
    <row r="32" spans="1:28" x14ac:dyDescent="0.2">
      <c r="A32" s="17">
        <v>28</v>
      </c>
      <c r="B32" s="17">
        <v>-2</v>
      </c>
      <c r="C32" s="17">
        <v>1</v>
      </c>
      <c r="D32" s="17">
        <v>1</v>
      </c>
      <c r="E32" s="17">
        <v>2</v>
      </c>
      <c r="F32" s="17">
        <v>2</v>
      </c>
      <c r="G32" s="17">
        <v>-0.5</v>
      </c>
      <c r="H32" s="17">
        <v>2.5</v>
      </c>
      <c r="I32" s="17">
        <v>2</v>
      </c>
      <c r="J32" s="17">
        <v>1</v>
      </c>
      <c r="K32" s="17">
        <v>1.5</v>
      </c>
      <c r="L32" s="17">
        <v>0</v>
      </c>
      <c r="M32" s="17">
        <v>1.5</v>
      </c>
      <c r="N32" s="17">
        <v>1</v>
      </c>
      <c r="O32" s="17">
        <v>1</v>
      </c>
      <c r="P32" s="17">
        <v>1</v>
      </c>
      <c r="Q32" s="17">
        <v>1</v>
      </c>
      <c r="R32" s="17">
        <v>2</v>
      </c>
      <c r="S32" s="17">
        <v>3</v>
      </c>
      <c r="T32" s="17">
        <v>3</v>
      </c>
      <c r="U32" s="17">
        <v>2</v>
      </c>
      <c r="V32" s="17">
        <v>1.5</v>
      </c>
      <c r="W32" s="17">
        <v>1</v>
      </c>
      <c r="X32" s="17">
        <v>0.5</v>
      </c>
      <c r="Y32" s="17">
        <v>1.5</v>
      </c>
      <c r="Z32" s="17">
        <v>2</v>
      </c>
      <c r="AA32" s="17">
        <v>1</v>
      </c>
      <c r="AB32" s="17">
        <v>2.5</v>
      </c>
    </row>
    <row r="33" spans="1:28" x14ac:dyDescent="0.2">
      <c r="A33" s="17">
        <v>29</v>
      </c>
      <c r="B33" s="17">
        <v>1</v>
      </c>
      <c r="C33" s="17">
        <v>0.5</v>
      </c>
      <c r="D33" s="17">
        <v>0</v>
      </c>
      <c r="E33" s="17">
        <v>1.5</v>
      </c>
      <c r="F33" s="17">
        <v>1.5</v>
      </c>
      <c r="G33" s="17">
        <v>0.5</v>
      </c>
      <c r="H33" s="17">
        <v>2.5</v>
      </c>
      <c r="I33" s="17">
        <v>3</v>
      </c>
      <c r="J33" s="17">
        <v>2</v>
      </c>
      <c r="K33" s="17">
        <v>1.5</v>
      </c>
      <c r="L33" s="17">
        <v>2</v>
      </c>
      <c r="M33" s="17">
        <v>2</v>
      </c>
      <c r="N33" s="17">
        <v>2</v>
      </c>
      <c r="O33" s="17">
        <v>2</v>
      </c>
      <c r="P33" s="17">
        <v>3</v>
      </c>
      <c r="Q33" s="17">
        <v>2</v>
      </c>
      <c r="R33" s="17">
        <v>3</v>
      </c>
      <c r="S33" s="17">
        <v>2.5</v>
      </c>
      <c r="T33" s="17">
        <v>3</v>
      </c>
      <c r="U33" s="17">
        <v>2.5</v>
      </c>
      <c r="V33" s="17">
        <v>2</v>
      </c>
      <c r="W33" s="17">
        <v>2</v>
      </c>
      <c r="X33" s="17">
        <v>2</v>
      </c>
      <c r="Y33" s="17">
        <v>2</v>
      </c>
      <c r="Z33" s="17">
        <v>2</v>
      </c>
      <c r="AA33" s="17">
        <v>2</v>
      </c>
      <c r="AB33" s="17">
        <v>2</v>
      </c>
    </row>
    <row r="34" spans="1:28" x14ac:dyDescent="0.2">
      <c r="A34" s="17">
        <v>30</v>
      </c>
      <c r="B34" s="17">
        <v>0</v>
      </c>
      <c r="C34" s="17">
        <v>1</v>
      </c>
      <c r="D34" s="17">
        <v>0</v>
      </c>
      <c r="E34" s="17">
        <v>0</v>
      </c>
      <c r="F34" s="17">
        <v>1.5</v>
      </c>
      <c r="G34" s="17">
        <v>1.5</v>
      </c>
      <c r="H34" s="17">
        <v>2</v>
      </c>
      <c r="I34" s="17">
        <v>3</v>
      </c>
      <c r="J34" s="17">
        <v>1</v>
      </c>
      <c r="K34" s="17">
        <v>0.5</v>
      </c>
      <c r="L34" s="17">
        <v>1.5</v>
      </c>
      <c r="M34" s="17">
        <v>1.5</v>
      </c>
      <c r="N34" s="17">
        <v>2</v>
      </c>
      <c r="O34" s="17">
        <v>1</v>
      </c>
      <c r="P34" s="17">
        <v>3</v>
      </c>
      <c r="Q34" s="17">
        <v>1</v>
      </c>
      <c r="R34" s="17">
        <v>2.5</v>
      </c>
      <c r="S34" s="17">
        <v>2</v>
      </c>
      <c r="T34" s="17">
        <v>1.5</v>
      </c>
      <c r="U34" s="17">
        <v>2</v>
      </c>
      <c r="V34" s="17">
        <v>1.5</v>
      </c>
      <c r="W34" s="17">
        <v>2</v>
      </c>
      <c r="X34" s="17">
        <v>2</v>
      </c>
      <c r="Y34" s="17">
        <v>2</v>
      </c>
      <c r="Z34" s="17">
        <v>2</v>
      </c>
      <c r="AA34" s="17">
        <v>2</v>
      </c>
      <c r="AB34" s="17">
        <v>2</v>
      </c>
    </row>
    <row r="35" spans="1:28" x14ac:dyDescent="0.2">
      <c r="A35" s="17">
        <v>31</v>
      </c>
      <c r="B35" s="17">
        <v>-2</v>
      </c>
      <c r="C35" s="17">
        <v>-1</v>
      </c>
      <c r="D35" s="17">
        <v>0.5</v>
      </c>
      <c r="E35" s="17">
        <v>1.5</v>
      </c>
      <c r="F35" s="17">
        <v>1.5</v>
      </c>
      <c r="G35" s="17">
        <v>-0.5</v>
      </c>
      <c r="H35" s="17">
        <v>2</v>
      </c>
      <c r="I35" s="17">
        <v>1</v>
      </c>
      <c r="J35" s="17">
        <v>-0.5</v>
      </c>
      <c r="K35" s="17">
        <v>-0.5</v>
      </c>
      <c r="L35" s="17">
        <v>0.5</v>
      </c>
      <c r="M35" s="17">
        <v>1</v>
      </c>
      <c r="N35" s="17">
        <v>-0.5</v>
      </c>
      <c r="O35" s="17">
        <v>0</v>
      </c>
      <c r="P35" s="17">
        <v>2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0.5</v>
      </c>
      <c r="W35" s="17">
        <v>0.5</v>
      </c>
      <c r="X35" s="17">
        <v>-1</v>
      </c>
      <c r="Y35" s="17">
        <v>1</v>
      </c>
      <c r="Z35" s="17">
        <v>1.5</v>
      </c>
      <c r="AA35" s="17">
        <v>1</v>
      </c>
      <c r="AB35" s="17">
        <v>1</v>
      </c>
    </row>
    <row r="36" spans="1:28" x14ac:dyDescent="0.2">
      <c r="A36" s="17">
        <v>32</v>
      </c>
      <c r="B36" s="17">
        <v>1.5</v>
      </c>
      <c r="C36" s="17">
        <v>-0.5</v>
      </c>
      <c r="D36" s="17">
        <v>1</v>
      </c>
      <c r="E36" s="17">
        <v>2.5</v>
      </c>
      <c r="F36" s="17">
        <v>3</v>
      </c>
      <c r="G36" s="17">
        <v>0</v>
      </c>
      <c r="H36" s="17">
        <v>2.5</v>
      </c>
      <c r="I36" s="17">
        <v>3</v>
      </c>
      <c r="J36" s="17">
        <v>3</v>
      </c>
      <c r="K36" s="17">
        <v>2</v>
      </c>
      <c r="L36" s="17">
        <v>2</v>
      </c>
      <c r="M36" s="17">
        <v>3</v>
      </c>
      <c r="N36" s="17">
        <v>3</v>
      </c>
      <c r="O36" s="17">
        <v>2</v>
      </c>
      <c r="P36" s="17">
        <v>2</v>
      </c>
      <c r="Q36" s="17">
        <v>2</v>
      </c>
      <c r="R36" s="17">
        <v>3</v>
      </c>
      <c r="S36" s="17">
        <v>2</v>
      </c>
      <c r="T36" s="17">
        <v>3</v>
      </c>
      <c r="U36" s="17">
        <v>3</v>
      </c>
      <c r="V36" s="17">
        <v>2</v>
      </c>
      <c r="W36" s="17">
        <v>2.5</v>
      </c>
      <c r="X36" s="17">
        <v>3</v>
      </c>
      <c r="Y36" s="17">
        <v>3</v>
      </c>
      <c r="Z36" s="17">
        <v>3</v>
      </c>
      <c r="AA36" s="17">
        <v>3</v>
      </c>
      <c r="AB36" s="17">
        <v>3</v>
      </c>
    </row>
    <row r="37" spans="1:28" x14ac:dyDescent="0.2">
      <c r="A37" s="17">
        <v>33</v>
      </c>
      <c r="B37" s="17">
        <v>0.5</v>
      </c>
      <c r="C37" s="17">
        <v>1</v>
      </c>
      <c r="D37" s="17">
        <v>1</v>
      </c>
      <c r="E37" s="17">
        <v>1.5</v>
      </c>
      <c r="F37" s="17">
        <v>2</v>
      </c>
      <c r="G37" s="17">
        <v>0.5</v>
      </c>
      <c r="H37" s="17">
        <v>2</v>
      </c>
      <c r="I37" s="17">
        <v>2</v>
      </c>
      <c r="J37" s="17">
        <v>1.5</v>
      </c>
      <c r="K37" s="17">
        <v>1.5</v>
      </c>
      <c r="L37" s="17">
        <v>0.5</v>
      </c>
      <c r="M37" s="17">
        <v>1.5</v>
      </c>
      <c r="N37" s="17">
        <v>1</v>
      </c>
      <c r="O37" s="17">
        <v>2</v>
      </c>
      <c r="P37" s="17">
        <v>2</v>
      </c>
      <c r="Q37" s="17">
        <v>1.5</v>
      </c>
      <c r="R37" s="17">
        <v>2.5</v>
      </c>
      <c r="S37" s="17">
        <v>2</v>
      </c>
      <c r="T37" s="17">
        <v>2.5</v>
      </c>
      <c r="U37" s="17">
        <v>2</v>
      </c>
      <c r="V37" s="17">
        <v>1.5</v>
      </c>
      <c r="W37" s="17">
        <v>1</v>
      </c>
      <c r="X37" s="17">
        <v>1</v>
      </c>
      <c r="Y37" s="17">
        <v>2</v>
      </c>
      <c r="Z37" s="17">
        <v>2</v>
      </c>
      <c r="AA37" s="17">
        <v>2</v>
      </c>
      <c r="AB37" s="17">
        <v>2</v>
      </c>
    </row>
    <row r="38" spans="1:28" x14ac:dyDescent="0.2">
      <c r="A38" s="17">
        <v>34</v>
      </c>
      <c r="B38" s="17">
        <v>1.5</v>
      </c>
      <c r="C38" s="17">
        <v>2.5</v>
      </c>
      <c r="D38" s="17">
        <v>3</v>
      </c>
      <c r="E38" s="17">
        <v>2</v>
      </c>
      <c r="F38" s="17">
        <v>2.5</v>
      </c>
      <c r="G38" s="17">
        <v>1.5</v>
      </c>
      <c r="H38" s="17">
        <v>2.5</v>
      </c>
      <c r="I38" s="17">
        <v>2</v>
      </c>
      <c r="J38" s="17">
        <v>2</v>
      </c>
      <c r="K38" s="17">
        <v>1.5</v>
      </c>
      <c r="L38" s="17">
        <v>1.5</v>
      </c>
      <c r="M38" s="17">
        <v>2</v>
      </c>
      <c r="N38" s="17">
        <v>3</v>
      </c>
      <c r="O38" s="17">
        <v>2.5</v>
      </c>
      <c r="P38" s="17">
        <v>2.5</v>
      </c>
      <c r="Q38" s="17">
        <v>2.5</v>
      </c>
      <c r="R38" s="17">
        <v>2</v>
      </c>
      <c r="S38" s="17">
        <v>3</v>
      </c>
      <c r="T38" s="17">
        <v>2.5</v>
      </c>
      <c r="U38" s="17">
        <v>3</v>
      </c>
      <c r="V38" s="17">
        <v>2.5</v>
      </c>
      <c r="W38" s="17">
        <v>2.5</v>
      </c>
      <c r="X38" s="17">
        <v>1.5</v>
      </c>
      <c r="Y38" s="17">
        <v>3</v>
      </c>
      <c r="Z38" s="17">
        <v>2.5</v>
      </c>
      <c r="AA38" s="17">
        <v>3</v>
      </c>
      <c r="AB38" s="17">
        <v>2.5</v>
      </c>
    </row>
    <row r="39" spans="1:28" x14ac:dyDescent="0.2">
      <c r="A39" s="17">
        <v>35</v>
      </c>
      <c r="B39" s="17">
        <v>0.5</v>
      </c>
      <c r="C39" s="17">
        <v>1</v>
      </c>
      <c r="D39" s="17">
        <v>1.5</v>
      </c>
      <c r="E39" s="17">
        <v>1.5</v>
      </c>
      <c r="F39" s="17">
        <v>2</v>
      </c>
      <c r="G39" s="17">
        <v>-1</v>
      </c>
      <c r="H39" s="17">
        <v>1.5</v>
      </c>
      <c r="I39" s="17">
        <v>1.5</v>
      </c>
      <c r="J39" s="17">
        <v>1</v>
      </c>
      <c r="K39" s="17">
        <v>1</v>
      </c>
      <c r="L39" s="17">
        <v>2</v>
      </c>
      <c r="M39" s="17">
        <v>0</v>
      </c>
      <c r="N39" s="17">
        <v>2</v>
      </c>
      <c r="O39" s="17">
        <v>1</v>
      </c>
      <c r="P39" s="17">
        <v>1</v>
      </c>
      <c r="Q39" s="17">
        <v>1</v>
      </c>
      <c r="R39" s="17">
        <v>1</v>
      </c>
      <c r="S39" s="17">
        <v>0.5</v>
      </c>
      <c r="T39" s="17">
        <v>1.5</v>
      </c>
      <c r="U39" s="17">
        <v>1</v>
      </c>
      <c r="V39" s="17">
        <v>1.5</v>
      </c>
      <c r="W39" s="17">
        <v>1</v>
      </c>
      <c r="X39" s="17">
        <v>1.5</v>
      </c>
      <c r="Y39" s="17">
        <v>2</v>
      </c>
      <c r="Z39" s="17">
        <v>1</v>
      </c>
      <c r="AA39" s="17">
        <v>2</v>
      </c>
      <c r="AB39" s="17">
        <v>3</v>
      </c>
    </row>
    <row r="40" spans="1:28" x14ac:dyDescent="0.2">
      <c r="A40" s="17">
        <v>36</v>
      </c>
      <c r="B40" s="17">
        <v>1.5</v>
      </c>
      <c r="C40" s="17">
        <v>2.5</v>
      </c>
      <c r="D40" s="17">
        <v>2.5</v>
      </c>
      <c r="E40" s="17">
        <v>3</v>
      </c>
      <c r="F40" s="17">
        <v>2.5</v>
      </c>
      <c r="G40" s="17">
        <v>2.5</v>
      </c>
      <c r="H40" s="17">
        <v>3</v>
      </c>
      <c r="I40" s="17">
        <v>3</v>
      </c>
      <c r="J40" s="17">
        <v>3</v>
      </c>
      <c r="K40" s="17">
        <v>1.5</v>
      </c>
      <c r="L40" s="17">
        <v>2</v>
      </c>
      <c r="M40" s="17">
        <v>3</v>
      </c>
      <c r="N40" s="17">
        <v>2.5</v>
      </c>
      <c r="O40" s="17">
        <v>2</v>
      </c>
      <c r="P40" s="17">
        <v>2.5</v>
      </c>
      <c r="Q40" s="17">
        <v>3</v>
      </c>
      <c r="R40" s="17">
        <v>2.5</v>
      </c>
      <c r="S40" s="17">
        <v>2.5</v>
      </c>
      <c r="T40" s="17">
        <v>3</v>
      </c>
      <c r="U40" s="17">
        <v>3</v>
      </c>
      <c r="V40" s="17">
        <v>2</v>
      </c>
      <c r="W40" s="17">
        <v>3</v>
      </c>
      <c r="X40" s="17">
        <v>2</v>
      </c>
      <c r="Y40" s="17">
        <v>3</v>
      </c>
      <c r="Z40" s="17">
        <v>2.5</v>
      </c>
      <c r="AA40" s="17">
        <v>3</v>
      </c>
      <c r="AB40" s="17">
        <v>3</v>
      </c>
    </row>
    <row r="41" spans="1:28" x14ac:dyDescent="0.2">
      <c r="A41" s="17">
        <v>37</v>
      </c>
      <c r="B41" s="17">
        <v>0.5</v>
      </c>
      <c r="C41" s="17">
        <v>0.5</v>
      </c>
      <c r="D41" s="17">
        <v>2</v>
      </c>
      <c r="E41" s="17">
        <v>0</v>
      </c>
      <c r="F41" s="17">
        <v>2</v>
      </c>
      <c r="G41" s="17">
        <v>1.5</v>
      </c>
      <c r="H41" s="17">
        <v>2</v>
      </c>
      <c r="I41" s="17">
        <v>2</v>
      </c>
      <c r="J41" s="17">
        <v>2</v>
      </c>
      <c r="K41" s="17">
        <v>1.5</v>
      </c>
      <c r="L41" s="17">
        <v>0.5</v>
      </c>
      <c r="M41" s="17">
        <v>1</v>
      </c>
      <c r="N41" s="17">
        <v>2</v>
      </c>
      <c r="O41" s="17">
        <v>1.5</v>
      </c>
      <c r="P41" s="17">
        <v>2</v>
      </c>
      <c r="Q41" s="17">
        <v>1</v>
      </c>
      <c r="R41" s="17">
        <v>2</v>
      </c>
      <c r="S41" s="17">
        <v>0.5</v>
      </c>
      <c r="T41" s="17">
        <v>2</v>
      </c>
      <c r="U41" s="17">
        <v>0.5</v>
      </c>
      <c r="V41" s="17">
        <v>0</v>
      </c>
      <c r="W41" s="17">
        <v>-0.5</v>
      </c>
      <c r="X41" s="17">
        <v>1</v>
      </c>
      <c r="Y41" s="17">
        <v>1.5</v>
      </c>
      <c r="Z41" s="17">
        <v>2</v>
      </c>
      <c r="AA41" s="17">
        <v>2</v>
      </c>
      <c r="AB41" s="17">
        <v>2</v>
      </c>
    </row>
    <row r="42" spans="1:28" x14ac:dyDescent="0.2">
      <c r="A42" s="17">
        <v>38</v>
      </c>
      <c r="B42" s="17">
        <v>1</v>
      </c>
      <c r="C42" s="17">
        <v>1</v>
      </c>
      <c r="D42" s="17">
        <v>1</v>
      </c>
      <c r="E42" s="17">
        <v>2</v>
      </c>
      <c r="F42" s="17">
        <v>1.5</v>
      </c>
      <c r="G42" s="17">
        <v>1</v>
      </c>
      <c r="H42" s="17">
        <v>2</v>
      </c>
      <c r="I42" s="17">
        <v>2.5</v>
      </c>
      <c r="J42" s="17">
        <v>1</v>
      </c>
      <c r="K42" s="17">
        <v>1</v>
      </c>
      <c r="L42" s="17">
        <v>1</v>
      </c>
      <c r="M42" s="17">
        <v>2</v>
      </c>
      <c r="N42" s="17">
        <v>2</v>
      </c>
      <c r="O42" s="17">
        <v>1.5</v>
      </c>
      <c r="P42" s="17">
        <v>2</v>
      </c>
      <c r="Q42" s="17">
        <v>2</v>
      </c>
      <c r="R42" s="17">
        <v>2</v>
      </c>
      <c r="S42" s="17">
        <v>2</v>
      </c>
      <c r="T42" s="17">
        <v>3</v>
      </c>
      <c r="U42" s="17">
        <v>2</v>
      </c>
      <c r="V42" s="17">
        <v>1.5</v>
      </c>
      <c r="W42" s="17">
        <v>1</v>
      </c>
      <c r="X42" s="17">
        <v>1.5</v>
      </c>
      <c r="Y42" s="17">
        <v>1.5</v>
      </c>
      <c r="Z42" s="17">
        <v>2.5</v>
      </c>
      <c r="AA42" s="17">
        <v>1</v>
      </c>
      <c r="AB42" s="17">
        <v>1</v>
      </c>
    </row>
    <row r="43" spans="1:28" x14ac:dyDescent="0.2">
      <c r="A43" s="17">
        <v>39</v>
      </c>
      <c r="B43" s="17">
        <v>1</v>
      </c>
      <c r="C43" s="17">
        <v>2</v>
      </c>
      <c r="D43" s="17">
        <v>1</v>
      </c>
      <c r="E43" s="17">
        <v>3</v>
      </c>
      <c r="F43" s="17">
        <v>2</v>
      </c>
      <c r="G43" s="17">
        <v>0</v>
      </c>
      <c r="H43" s="17">
        <v>1.5</v>
      </c>
      <c r="I43" s="17">
        <v>2.5</v>
      </c>
      <c r="J43" s="17">
        <v>2</v>
      </c>
      <c r="K43" s="17">
        <v>2.5</v>
      </c>
      <c r="L43" s="17">
        <v>1</v>
      </c>
      <c r="M43" s="17">
        <v>1</v>
      </c>
      <c r="N43" s="17">
        <v>2</v>
      </c>
      <c r="O43" s="17">
        <v>1.5</v>
      </c>
      <c r="P43" s="17">
        <v>2.5</v>
      </c>
      <c r="Q43" s="17">
        <v>2.5</v>
      </c>
      <c r="R43" s="17">
        <v>3</v>
      </c>
      <c r="S43" s="17">
        <v>1.5</v>
      </c>
      <c r="T43" s="17">
        <v>1</v>
      </c>
      <c r="U43" s="17">
        <v>2.5</v>
      </c>
      <c r="V43" s="17">
        <v>1.5</v>
      </c>
      <c r="W43" s="17">
        <v>0</v>
      </c>
      <c r="X43" s="17">
        <v>1</v>
      </c>
      <c r="Y43" s="17">
        <v>1</v>
      </c>
      <c r="Z43" s="17">
        <v>2</v>
      </c>
      <c r="AA43" s="17">
        <v>2.5</v>
      </c>
      <c r="AB43" s="17">
        <v>2.5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E5A7-FE62-4EC5-9F07-04FAEA15C4F8}">
  <dimension ref="A1:AA43"/>
  <sheetViews>
    <sheetView topLeftCell="A2" workbookViewId="0">
      <selection activeCell="B5" sqref="B5:U43"/>
    </sheetView>
  </sheetViews>
  <sheetFormatPr defaultColWidth="8.625" defaultRowHeight="11.25" x14ac:dyDescent="0.2"/>
  <cols>
    <col min="1" max="1" width="8.625" style="17"/>
    <col min="2" max="2" width="8.625" style="17" customWidth="1"/>
    <col min="3" max="16384" width="8.625" style="17"/>
  </cols>
  <sheetData>
    <row r="1" spans="1:27" s="9" customFormat="1" x14ac:dyDescent="0.2">
      <c r="A1" s="9" t="s">
        <v>46</v>
      </c>
      <c r="B1" s="10">
        <v>2</v>
      </c>
      <c r="C1" s="10">
        <v>11</v>
      </c>
      <c r="D1" s="10">
        <v>12</v>
      </c>
      <c r="E1" s="10">
        <v>18</v>
      </c>
      <c r="F1" s="10">
        <v>15</v>
      </c>
      <c r="G1" s="10">
        <v>3</v>
      </c>
      <c r="H1" s="10">
        <v>20</v>
      </c>
      <c r="I1" s="10">
        <v>19</v>
      </c>
      <c r="J1" s="10">
        <v>7</v>
      </c>
      <c r="K1" s="10">
        <v>8</v>
      </c>
      <c r="L1" s="10">
        <v>1</v>
      </c>
      <c r="M1" s="10">
        <v>16</v>
      </c>
      <c r="N1" s="10">
        <v>9</v>
      </c>
      <c r="O1" s="10">
        <v>4</v>
      </c>
      <c r="P1" s="10">
        <v>5</v>
      </c>
      <c r="Q1" s="10">
        <v>13</v>
      </c>
      <c r="R1" s="10">
        <v>17</v>
      </c>
      <c r="S1" s="10">
        <v>14</v>
      </c>
      <c r="T1" s="10">
        <v>10</v>
      </c>
      <c r="U1" s="10">
        <v>6</v>
      </c>
    </row>
    <row r="2" spans="1:27" s="9" customFormat="1" x14ac:dyDescent="0.2">
      <c r="A2" s="9" t="s">
        <v>47</v>
      </c>
      <c r="B2" s="10">
        <v>1</v>
      </c>
      <c r="C2" s="11">
        <v>2</v>
      </c>
      <c r="D2" s="11">
        <v>3</v>
      </c>
      <c r="E2" s="12">
        <v>4</v>
      </c>
      <c r="F2" s="13">
        <v>5</v>
      </c>
      <c r="G2" s="14">
        <v>6</v>
      </c>
      <c r="H2" s="10">
        <v>7</v>
      </c>
      <c r="I2" s="12">
        <v>8</v>
      </c>
      <c r="J2" s="15">
        <v>9</v>
      </c>
      <c r="K2" s="15">
        <v>10</v>
      </c>
      <c r="L2" s="16">
        <v>11</v>
      </c>
      <c r="M2" s="13">
        <v>12</v>
      </c>
      <c r="N2" s="15">
        <v>13</v>
      </c>
      <c r="O2" s="14">
        <v>14</v>
      </c>
      <c r="P2" s="14">
        <v>15</v>
      </c>
      <c r="Q2" s="11">
        <v>16</v>
      </c>
      <c r="R2" s="13">
        <v>17</v>
      </c>
      <c r="S2" s="11">
        <v>18</v>
      </c>
      <c r="T2" s="15">
        <v>19</v>
      </c>
      <c r="U2" s="14">
        <v>20</v>
      </c>
      <c r="V2" s="9">
        <v>21</v>
      </c>
      <c r="W2" s="9">
        <v>22</v>
      </c>
      <c r="X2" s="9">
        <v>23</v>
      </c>
      <c r="Y2" s="9">
        <v>24</v>
      </c>
      <c r="Z2" s="9">
        <v>25</v>
      </c>
      <c r="AA2" s="9">
        <v>26</v>
      </c>
    </row>
    <row r="3" spans="1:27" s="9" customFormat="1" x14ac:dyDescent="0.2">
      <c r="B3" s="10" t="s">
        <v>0</v>
      </c>
      <c r="C3" s="11" t="s">
        <v>2</v>
      </c>
      <c r="D3" s="11" t="s">
        <v>4</v>
      </c>
      <c r="E3" s="12" t="s">
        <v>6</v>
      </c>
      <c r="F3" s="13" t="s">
        <v>8</v>
      </c>
      <c r="G3" s="14" t="s">
        <v>10</v>
      </c>
      <c r="H3" s="10" t="s">
        <v>12</v>
      </c>
      <c r="I3" s="12" t="s">
        <v>14</v>
      </c>
      <c r="J3" s="15" t="s">
        <v>16</v>
      </c>
      <c r="K3" s="15" t="s">
        <v>18</v>
      </c>
      <c r="L3" s="16" t="s">
        <v>20</v>
      </c>
      <c r="M3" s="13" t="s">
        <v>22</v>
      </c>
      <c r="N3" s="15" t="s">
        <v>24</v>
      </c>
      <c r="O3" s="14" t="s">
        <v>26</v>
      </c>
      <c r="P3" s="14" t="s">
        <v>28</v>
      </c>
      <c r="Q3" s="11" t="s">
        <v>30</v>
      </c>
      <c r="R3" s="13" t="s">
        <v>32</v>
      </c>
      <c r="S3" s="11" t="s">
        <v>34</v>
      </c>
      <c r="T3" s="15" t="s">
        <v>36</v>
      </c>
      <c r="U3" s="14" t="s">
        <v>38</v>
      </c>
    </row>
    <row r="4" spans="1:27" s="9" customFormat="1" ht="22.5" x14ac:dyDescent="0.2">
      <c r="A4" s="17" t="s">
        <v>45</v>
      </c>
      <c r="B4" s="10" t="s">
        <v>1</v>
      </c>
      <c r="C4" s="11" t="s">
        <v>3</v>
      </c>
      <c r="D4" s="11" t="s">
        <v>5</v>
      </c>
      <c r="E4" s="12" t="s">
        <v>7</v>
      </c>
      <c r="F4" s="13" t="s">
        <v>9</v>
      </c>
      <c r="G4" s="14" t="s">
        <v>11</v>
      </c>
      <c r="H4" s="10" t="s">
        <v>13</v>
      </c>
      <c r="I4" s="12" t="s">
        <v>15</v>
      </c>
      <c r="J4" s="15" t="s">
        <v>17</v>
      </c>
      <c r="K4" s="15" t="s">
        <v>19</v>
      </c>
      <c r="L4" s="16" t="s">
        <v>21</v>
      </c>
      <c r="M4" s="13" t="s">
        <v>23</v>
      </c>
      <c r="N4" s="15" t="s">
        <v>25</v>
      </c>
      <c r="O4" s="14" t="s">
        <v>27</v>
      </c>
      <c r="P4" s="14" t="s">
        <v>29</v>
      </c>
      <c r="Q4" s="11" t="s">
        <v>31</v>
      </c>
      <c r="R4" s="13" t="s">
        <v>33</v>
      </c>
      <c r="S4" s="11" t="s">
        <v>35</v>
      </c>
      <c r="T4" s="15" t="s">
        <v>37</v>
      </c>
      <c r="U4" s="14" t="s">
        <v>39</v>
      </c>
      <c r="V4" s="9" t="s">
        <v>42</v>
      </c>
      <c r="W4" s="9" t="s">
        <v>42</v>
      </c>
      <c r="X4" s="9" t="s">
        <v>42</v>
      </c>
      <c r="Y4" s="9" t="s">
        <v>42</v>
      </c>
      <c r="Z4" s="9" t="s">
        <v>42</v>
      </c>
      <c r="AA4" s="9" t="s">
        <v>42</v>
      </c>
    </row>
    <row r="5" spans="1:27" x14ac:dyDescent="0.2">
      <c r="A5" s="17">
        <v>1</v>
      </c>
      <c r="B5" s="17" t="s">
        <v>44</v>
      </c>
      <c r="C5" s="17">
        <v>43.607270249999999</v>
      </c>
      <c r="D5" s="17">
        <v>42.825732600000002</v>
      </c>
      <c r="E5" s="17">
        <v>35.61303625</v>
      </c>
      <c r="F5" s="17">
        <v>46.686817449999999</v>
      </c>
      <c r="G5" s="17" t="s">
        <v>44</v>
      </c>
      <c r="H5" s="17">
        <v>43.295066900000002</v>
      </c>
      <c r="I5" s="17">
        <v>45.627249399999997</v>
      </c>
      <c r="J5" s="17">
        <v>45.141771149999997</v>
      </c>
      <c r="K5" s="17">
        <v>38.031639400000003</v>
      </c>
      <c r="L5" s="17">
        <v>80.159382249999993</v>
      </c>
      <c r="M5" s="17">
        <v>39.777883899999999</v>
      </c>
      <c r="N5" s="17">
        <v>36.116128150000002</v>
      </c>
      <c r="O5" s="17">
        <v>37.306478400000003</v>
      </c>
      <c r="P5" s="17">
        <v>44.0324624</v>
      </c>
      <c r="Q5" s="17">
        <v>37.736596149999997</v>
      </c>
      <c r="R5" s="17">
        <v>24.718981200000002</v>
      </c>
      <c r="S5" s="17">
        <v>32.985478399999998</v>
      </c>
      <c r="T5" s="17">
        <v>56.56254045</v>
      </c>
      <c r="U5" s="17">
        <v>24.456439249999999</v>
      </c>
      <c r="V5" s="17" t="s">
        <v>44</v>
      </c>
      <c r="W5" s="17">
        <v>26.426024999999999</v>
      </c>
      <c r="X5" s="17">
        <v>28.8343484</v>
      </c>
      <c r="Y5" s="17">
        <v>46.884541599999999</v>
      </c>
      <c r="Z5" s="17">
        <v>40.708418350000002</v>
      </c>
      <c r="AA5" s="17">
        <v>38.878583200000001</v>
      </c>
    </row>
    <row r="6" spans="1:27" x14ac:dyDescent="0.2">
      <c r="A6" s="17">
        <v>2</v>
      </c>
      <c r="B6" s="17" t="s">
        <v>44</v>
      </c>
      <c r="C6" s="17" t="s">
        <v>44</v>
      </c>
      <c r="D6" s="17" t="s">
        <v>44</v>
      </c>
      <c r="E6" s="17" t="s">
        <v>44</v>
      </c>
      <c r="F6" s="17" t="s">
        <v>44</v>
      </c>
      <c r="G6" s="17" t="s">
        <v>44</v>
      </c>
      <c r="H6" s="17" t="s">
        <v>44</v>
      </c>
      <c r="I6" s="17" t="s">
        <v>44</v>
      </c>
      <c r="J6" s="17" t="s">
        <v>44</v>
      </c>
      <c r="K6" s="17" t="s">
        <v>44</v>
      </c>
      <c r="L6" s="17" t="s">
        <v>44</v>
      </c>
      <c r="M6" s="17" t="s">
        <v>44</v>
      </c>
      <c r="N6" s="17" t="s">
        <v>44</v>
      </c>
      <c r="O6" s="17" t="s">
        <v>44</v>
      </c>
      <c r="P6" s="17" t="s">
        <v>44</v>
      </c>
      <c r="Q6" s="17" t="s">
        <v>44</v>
      </c>
      <c r="R6" s="17" t="s">
        <v>44</v>
      </c>
      <c r="S6" s="17" t="s">
        <v>44</v>
      </c>
      <c r="T6" s="17" t="s">
        <v>44</v>
      </c>
      <c r="U6" s="17" t="s">
        <v>44</v>
      </c>
      <c r="V6" s="17" t="s">
        <v>44</v>
      </c>
      <c r="W6" s="17" t="s">
        <v>44</v>
      </c>
      <c r="X6" s="17" t="s">
        <v>44</v>
      </c>
      <c r="Y6" s="17" t="s">
        <v>44</v>
      </c>
      <c r="Z6" s="17" t="s">
        <v>44</v>
      </c>
      <c r="AA6" s="17" t="s">
        <v>44</v>
      </c>
    </row>
    <row r="7" spans="1:27" x14ac:dyDescent="0.2">
      <c r="A7" s="17">
        <v>3</v>
      </c>
      <c r="B7" s="17">
        <v>93.979936300000006</v>
      </c>
      <c r="C7" s="17">
        <v>28.771226200000001</v>
      </c>
      <c r="D7" s="17">
        <v>36.702229699999997</v>
      </c>
      <c r="E7" s="17">
        <v>50.27067855</v>
      </c>
      <c r="F7" s="17">
        <v>58.657144950000003</v>
      </c>
      <c r="G7" s="17" t="s">
        <v>44</v>
      </c>
      <c r="H7" s="17">
        <v>54.955862600000003</v>
      </c>
      <c r="I7" s="17">
        <v>39.773451999999999</v>
      </c>
      <c r="J7" s="17">
        <v>51.540945450000002</v>
      </c>
      <c r="K7" s="17">
        <v>59.158071700000001</v>
      </c>
      <c r="L7" s="17">
        <v>73.389368950000005</v>
      </c>
      <c r="M7" s="17">
        <v>46.681331200000002</v>
      </c>
      <c r="N7" s="17">
        <v>64.479117900000006</v>
      </c>
      <c r="O7" s="17">
        <v>103.37617795</v>
      </c>
      <c r="P7" s="17">
        <v>36.646868699999999</v>
      </c>
      <c r="Q7" s="17">
        <v>63.944840499999998</v>
      </c>
      <c r="R7" s="17">
        <v>74.110076149999998</v>
      </c>
      <c r="S7" s="17">
        <v>71.569414300000005</v>
      </c>
      <c r="T7" s="17">
        <v>98.020663249999998</v>
      </c>
      <c r="U7" s="17">
        <v>45.266953899999997</v>
      </c>
      <c r="V7" s="17">
        <v>91.137284550000004</v>
      </c>
      <c r="W7" s="17" t="s">
        <v>44</v>
      </c>
      <c r="X7" s="17">
        <v>58.107517649999998</v>
      </c>
      <c r="Y7" s="17">
        <v>22.952501099999999</v>
      </c>
      <c r="Z7" s="17">
        <v>211.97760930000001</v>
      </c>
      <c r="AA7" s="17">
        <v>66.993228349999995</v>
      </c>
    </row>
    <row r="8" spans="1:27" x14ac:dyDescent="0.2">
      <c r="A8" s="17">
        <v>4</v>
      </c>
      <c r="B8" s="17" t="s">
        <v>44</v>
      </c>
      <c r="C8" s="17">
        <v>51.746178749999999</v>
      </c>
      <c r="D8" s="17">
        <v>53.134913599999997</v>
      </c>
      <c r="E8" s="17">
        <v>37.527038150000003</v>
      </c>
      <c r="F8" s="17">
        <v>44.232308150000001</v>
      </c>
      <c r="G8" s="17">
        <v>100.40757365</v>
      </c>
      <c r="H8" s="17">
        <v>40.380309850000003</v>
      </c>
      <c r="I8" s="17">
        <v>42.759902449999998</v>
      </c>
      <c r="J8" s="17">
        <v>40.749422299999999</v>
      </c>
      <c r="K8" s="17">
        <v>65.285240900000005</v>
      </c>
      <c r="L8" s="17">
        <v>37.3364993</v>
      </c>
      <c r="M8" s="17">
        <v>40.04664975</v>
      </c>
      <c r="N8" s="17">
        <v>56.517348249999998</v>
      </c>
      <c r="O8" s="17">
        <v>36.64427405</v>
      </c>
      <c r="P8" s="17">
        <v>59.05738685</v>
      </c>
      <c r="Q8" s="17">
        <v>47.646217149999998</v>
      </c>
      <c r="R8" s="17">
        <v>23.25764375</v>
      </c>
      <c r="S8" s="17">
        <v>52.497340649999998</v>
      </c>
      <c r="T8" s="17">
        <v>83.9754437</v>
      </c>
      <c r="U8" s="17">
        <v>57.440029299999999</v>
      </c>
      <c r="V8" s="17">
        <v>60.545326500000002</v>
      </c>
      <c r="W8" s="17">
        <v>70.989249200000003</v>
      </c>
      <c r="X8" s="17">
        <v>30.9400038</v>
      </c>
      <c r="Y8" s="17">
        <v>57.253359000000003</v>
      </c>
      <c r="Z8" s="17">
        <v>99.487114500000004</v>
      </c>
      <c r="AA8" s="17">
        <v>45.641263600000002</v>
      </c>
    </row>
    <row r="9" spans="1:27" x14ac:dyDescent="0.2">
      <c r="A9" s="17">
        <v>5</v>
      </c>
      <c r="B9" s="17">
        <v>15.8493043</v>
      </c>
      <c r="C9" s="17">
        <v>16.579561500000001</v>
      </c>
      <c r="D9" s="17">
        <v>16.90315425</v>
      </c>
      <c r="E9" s="17">
        <v>24.465884249999998</v>
      </c>
      <c r="F9" s="17">
        <v>18.716252950000001</v>
      </c>
      <c r="G9" s="17">
        <v>12.07137425</v>
      </c>
      <c r="H9" s="17">
        <v>11.374067</v>
      </c>
      <c r="I9" s="17">
        <v>19.494724399999999</v>
      </c>
      <c r="J9" s="17">
        <v>35.517733149999998</v>
      </c>
      <c r="K9" s="17">
        <v>40.595047299999997</v>
      </c>
      <c r="L9" s="17">
        <v>14.427046949999999</v>
      </c>
      <c r="M9" s="17">
        <v>18.2850064</v>
      </c>
      <c r="N9" s="17">
        <v>20.353107349999998</v>
      </c>
      <c r="O9" s="17">
        <v>14.16920925</v>
      </c>
      <c r="P9" s="17">
        <v>14.803296</v>
      </c>
      <c r="Q9" s="17">
        <v>17.020673949999999</v>
      </c>
      <c r="R9" s="17">
        <v>37.824691250000001</v>
      </c>
      <c r="S9" s="17">
        <v>13.34036315</v>
      </c>
      <c r="T9" s="17">
        <v>10.53565545</v>
      </c>
      <c r="U9" s="17">
        <v>16.899795749999999</v>
      </c>
      <c r="V9" s="17">
        <v>16.342572350000001</v>
      </c>
      <c r="W9" s="17">
        <v>20.602948949999998</v>
      </c>
      <c r="X9" s="17">
        <v>18.168936200000001</v>
      </c>
      <c r="Y9" s="17">
        <v>11.8830156</v>
      </c>
      <c r="Z9" s="17">
        <v>23.5448469</v>
      </c>
      <c r="AA9" s="17">
        <v>8.8864769500000005</v>
      </c>
    </row>
    <row r="10" spans="1:27" x14ac:dyDescent="0.2">
      <c r="A10" s="17">
        <v>6</v>
      </c>
      <c r="B10" s="17">
        <v>63.136033400000002</v>
      </c>
      <c r="C10" s="17">
        <v>32.106299399999997</v>
      </c>
      <c r="D10" s="17">
        <v>42.592356850000002</v>
      </c>
      <c r="E10" s="17">
        <v>34.974977199999998</v>
      </c>
      <c r="F10" s="17">
        <v>41.429445950000002</v>
      </c>
      <c r="G10" s="17">
        <v>53.33462265</v>
      </c>
      <c r="H10" s="17">
        <v>58.890273299999997</v>
      </c>
      <c r="I10" s="17">
        <v>63.184870799999999</v>
      </c>
      <c r="J10" s="17">
        <v>58.25182985</v>
      </c>
      <c r="K10" s="17">
        <v>76.745427449999994</v>
      </c>
      <c r="L10" s="17">
        <v>74.227678650000001</v>
      </c>
      <c r="M10" s="17">
        <v>26.035232700000002</v>
      </c>
      <c r="N10" s="17">
        <v>47.783694400000002</v>
      </c>
      <c r="O10" s="17">
        <v>54.081926099999997</v>
      </c>
      <c r="P10" s="17">
        <v>33.831161600000001</v>
      </c>
      <c r="Q10" s="17">
        <v>74.237017300000005</v>
      </c>
      <c r="R10" s="17">
        <v>31.75427655</v>
      </c>
      <c r="S10" s="17">
        <v>15.84305395</v>
      </c>
      <c r="T10" s="17">
        <v>49.0366395</v>
      </c>
      <c r="U10" s="17">
        <v>8.0701763500000006</v>
      </c>
      <c r="V10" s="17">
        <v>27.581043399999999</v>
      </c>
      <c r="W10" s="17">
        <v>65.586245250000005</v>
      </c>
      <c r="X10" s="17">
        <v>48.34797305</v>
      </c>
      <c r="Y10" s="17">
        <v>22.136614000000002</v>
      </c>
      <c r="Z10" s="17">
        <v>59.054083650000003</v>
      </c>
      <c r="AA10" s="17">
        <v>52.07980405</v>
      </c>
    </row>
    <row r="11" spans="1:27" x14ac:dyDescent="0.2">
      <c r="A11" s="17">
        <v>7</v>
      </c>
      <c r="B11" s="17">
        <v>13.729013999999999</v>
      </c>
      <c r="C11" s="17">
        <v>15.0685445</v>
      </c>
      <c r="D11" s="17">
        <v>9.9159652999999999</v>
      </c>
      <c r="E11" s="17">
        <v>20.024464049999999</v>
      </c>
      <c r="F11" s="17">
        <v>35.921529300000003</v>
      </c>
      <c r="G11" s="17">
        <v>14.9689745</v>
      </c>
      <c r="H11" s="17">
        <v>9.7041248000000007</v>
      </c>
      <c r="I11" s="17">
        <v>21.61464835</v>
      </c>
      <c r="J11" s="17">
        <v>32.858183599999997</v>
      </c>
      <c r="K11" s="17">
        <v>30.525092699999998</v>
      </c>
      <c r="L11" s="17">
        <v>17.9513338</v>
      </c>
      <c r="M11" s="17">
        <v>26.650337749999998</v>
      </c>
      <c r="N11" s="17">
        <v>18.615941249999999</v>
      </c>
      <c r="O11" s="17">
        <v>18.674663450000001</v>
      </c>
      <c r="P11" s="17">
        <v>9.5181825999999994</v>
      </c>
      <c r="Q11" s="17">
        <v>16.498157599999999</v>
      </c>
      <c r="R11" s="17">
        <v>19.101751499999999</v>
      </c>
      <c r="S11" s="17">
        <v>15.1693646</v>
      </c>
      <c r="T11" s="17">
        <v>10.957718849999999</v>
      </c>
      <c r="U11" s="17">
        <v>12.9797557</v>
      </c>
      <c r="V11" s="17">
        <v>10.4535345</v>
      </c>
      <c r="W11" s="17">
        <v>12.647110250000001</v>
      </c>
      <c r="X11" s="17">
        <v>12.9243717</v>
      </c>
      <c r="Y11" s="17">
        <v>10.258915999999999</v>
      </c>
      <c r="Z11" s="17">
        <v>17.915182600000001</v>
      </c>
      <c r="AA11" s="17" t="s">
        <v>44</v>
      </c>
    </row>
    <row r="12" spans="1:27" x14ac:dyDescent="0.2">
      <c r="A12" s="17">
        <v>8</v>
      </c>
      <c r="B12" s="17">
        <v>46.729044649999999</v>
      </c>
      <c r="C12" s="17">
        <v>30.997128849999999</v>
      </c>
      <c r="D12" s="17">
        <v>25.74141105</v>
      </c>
      <c r="E12" s="17">
        <v>25.4093035</v>
      </c>
      <c r="F12" s="17">
        <v>25.139434699999999</v>
      </c>
      <c r="G12" s="17">
        <v>36.917981449999999</v>
      </c>
      <c r="H12" s="17">
        <v>29.7041282</v>
      </c>
      <c r="I12" s="17">
        <v>33.76039995</v>
      </c>
      <c r="J12" s="17">
        <v>28.451971050000001</v>
      </c>
      <c r="K12" s="17">
        <v>56.188378950000001</v>
      </c>
      <c r="L12" s="17">
        <v>29.85778775</v>
      </c>
      <c r="M12" s="17">
        <v>49.463271200000001</v>
      </c>
      <c r="N12" s="17">
        <v>50.524232099999999</v>
      </c>
      <c r="O12" s="17">
        <v>28.26953155</v>
      </c>
      <c r="P12" s="17">
        <v>28.301460599999999</v>
      </c>
      <c r="Q12" s="17">
        <v>18.989443600000001</v>
      </c>
      <c r="R12" s="17">
        <v>31.851035799999998</v>
      </c>
      <c r="S12" s="17">
        <v>28.69905645</v>
      </c>
      <c r="T12" s="17">
        <v>32.991763400000004</v>
      </c>
      <c r="U12" s="17">
        <v>17.21498025</v>
      </c>
      <c r="V12" s="17">
        <v>33.591167849999998</v>
      </c>
      <c r="W12" s="17">
        <v>27.967027099999999</v>
      </c>
      <c r="X12" s="17">
        <v>25.22897635</v>
      </c>
      <c r="Y12" s="17">
        <v>29.3634582</v>
      </c>
      <c r="Z12" s="17">
        <v>44.699047200000003</v>
      </c>
      <c r="AA12" s="17">
        <v>30.266571549999998</v>
      </c>
    </row>
    <row r="13" spans="1:27" x14ac:dyDescent="0.2">
      <c r="A13" s="17">
        <v>9</v>
      </c>
      <c r="B13" s="17">
        <v>40.137916699999998</v>
      </c>
      <c r="C13" s="17">
        <v>18.963462</v>
      </c>
      <c r="D13" s="17">
        <v>26.614163000000001</v>
      </c>
      <c r="E13" s="17">
        <v>37.228737500000001</v>
      </c>
      <c r="F13" s="17">
        <v>22.80655805</v>
      </c>
      <c r="G13" s="17">
        <v>57.986805349999997</v>
      </c>
      <c r="H13" s="17">
        <v>17.122548800000001</v>
      </c>
      <c r="I13" s="17">
        <v>14.06338025</v>
      </c>
      <c r="J13" s="17">
        <v>15.344251999999999</v>
      </c>
      <c r="K13" s="17">
        <v>19.8933255</v>
      </c>
      <c r="L13" s="17">
        <v>56.526033249999998</v>
      </c>
      <c r="M13" s="17">
        <v>30.310497600000001</v>
      </c>
      <c r="N13" s="17">
        <v>12.791577999999999</v>
      </c>
      <c r="O13" s="17">
        <v>48.223553150000001</v>
      </c>
      <c r="P13" s="17">
        <v>33.54062235</v>
      </c>
      <c r="Q13" s="17">
        <v>40.353225100000003</v>
      </c>
      <c r="R13" s="17">
        <v>24.927113349999999</v>
      </c>
      <c r="S13" s="17">
        <v>20.171763800000001</v>
      </c>
      <c r="T13" s="17">
        <v>15.794483899999999</v>
      </c>
      <c r="U13" s="17">
        <v>21.294874799999999</v>
      </c>
      <c r="V13" s="17">
        <v>22.50051895</v>
      </c>
      <c r="W13" s="17">
        <v>34.776356</v>
      </c>
      <c r="X13" s="17">
        <v>37.817127599999999</v>
      </c>
      <c r="Y13" s="17">
        <v>56.211730199999998</v>
      </c>
      <c r="Z13" s="17">
        <v>17.354180299999999</v>
      </c>
      <c r="AA13" s="17">
        <v>51.091985000000001</v>
      </c>
    </row>
    <row r="14" spans="1:27" x14ac:dyDescent="0.2">
      <c r="A14" s="17">
        <v>10</v>
      </c>
      <c r="B14" s="17" t="s">
        <v>44</v>
      </c>
      <c r="C14" s="17">
        <v>25.6313301</v>
      </c>
      <c r="D14" s="17">
        <v>17.64578315</v>
      </c>
      <c r="E14" s="17">
        <v>29.242267250000001</v>
      </c>
      <c r="F14" s="17">
        <v>14.94954055</v>
      </c>
      <c r="G14" s="17">
        <v>29.251890199999998</v>
      </c>
      <c r="H14" s="17">
        <v>12.504565899999999</v>
      </c>
      <c r="I14" s="17">
        <v>26.2329647</v>
      </c>
      <c r="J14" s="17">
        <v>24.504892049999999</v>
      </c>
      <c r="K14" s="17">
        <v>14.6136973</v>
      </c>
      <c r="L14" s="17">
        <v>28.726361350000001</v>
      </c>
      <c r="M14" s="17">
        <v>21.675900599999999</v>
      </c>
      <c r="N14" s="17">
        <v>14.262343250000001</v>
      </c>
      <c r="O14" s="17">
        <v>13.585334850000001</v>
      </c>
      <c r="P14" s="17">
        <v>21.614098800000001</v>
      </c>
      <c r="Q14" s="17">
        <v>15.947933949999999</v>
      </c>
      <c r="R14" s="17">
        <v>14.12924645</v>
      </c>
      <c r="S14" s="17">
        <v>19.643166799999999</v>
      </c>
      <c r="T14" s="17">
        <v>22.359299750000002</v>
      </c>
      <c r="U14" s="17">
        <v>21.840086549999999</v>
      </c>
      <c r="V14" s="17">
        <v>16.359792949999999</v>
      </c>
      <c r="W14" s="17">
        <v>12.9415069</v>
      </c>
      <c r="X14" s="17">
        <v>16.135551849999999</v>
      </c>
      <c r="Y14" s="17">
        <v>21.288119399999999</v>
      </c>
      <c r="Z14" s="17">
        <v>20.529618200000002</v>
      </c>
      <c r="AA14" s="17">
        <v>20.7515973</v>
      </c>
    </row>
    <row r="15" spans="1:27" x14ac:dyDescent="0.2">
      <c r="A15" s="17">
        <v>11</v>
      </c>
      <c r="B15" s="17">
        <v>49.932662450000002</v>
      </c>
      <c r="C15" s="17">
        <v>51.496376349999998</v>
      </c>
      <c r="D15" s="17">
        <v>29.375801200000002</v>
      </c>
      <c r="E15" s="17">
        <v>41.195066349999998</v>
      </c>
      <c r="F15" s="17">
        <v>23.132834150000001</v>
      </c>
      <c r="G15" s="17">
        <v>57.886941849999999</v>
      </c>
      <c r="H15" s="17">
        <v>29.07875275</v>
      </c>
      <c r="I15" s="17">
        <v>22.296850549999998</v>
      </c>
      <c r="J15" s="17">
        <v>49.057569100000002</v>
      </c>
      <c r="K15" s="17">
        <v>16.218084449999999</v>
      </c>
      <c r="L15" s="17">
        <v>22.429888649999999</v>
      </c>
      <c r="M15" s="17">
        <v>49.370554400000003</v>
      </c>
      <c r="N15" s="17">
        <v>16.36969865</v>
      </c>
      <c r="O15" s="17">
        <v>32.753238899999999</v>
      </c>
      <c r="P15" s="17">
        <v>34.315173299999998</v>
      </c>
      <c r="Q15" s="17">
        <v>53.126535750000002</v>
      </c>
      <c r="R15" s="17">
        <v>33.869823150000002</v>
      </c>
      <c r="S15" s="17">
        <v>35.438265999999999</v>
      </c>
      <c r="T15" s="17">
        <v>14.65509615</v>
      </c>
      <c r="U15" s="17">
        <v>23.859647299999999</v>
      </c>
      <c r="V15" s="17">
        <v>17.024264500000001</v>
      </c>
      <c r="W15" s="17">
        <v>11.644000699999999</v>
      </c>
      <c r="X15" s="17">
        <v>17.0215833</v>
      </c>
      <c r="Y15" s="17">
        <v>28.802918699999999</v>
      </c>
      <c r="Z15" s="17">
        <v>34.836592699999997</v>
      </c>
      <c r="AA15" s="17">
        <v>23.359768150000001</v>
      </c>
    </row>
    <row r="16" spans="1:27" x14ac:dyDescent="0.2">
      <c r="A16" s="17">
        <v>12</v>
      </c>
      <c r="B16" s="17">
        <v>20.3499804</v>
      </c>
      <c r="C16" s="17">
        <v>9.6625522499999992</v>
      </c>
      <c r="D16" s="17">
        <v>32.150998100000002</v>
      </c>
      <c r="E16" s="17">
        <v>27.7473089</v>
      </c>
      <c r="F16" s="17">
        <v>20.526944050000001</v>
      </c>
      <c r="G16" s="17">
        <v>34.046160350000001</v>
      </c>
      <c r="H16" s="17">
        <v>16.475542149999999</v>
      </c>
      <c r="I16" s="17">
        <v>23.565775949999999</v>
      </c>
      <c r="J16" s="17">
        <v>25.298186399999999</v>
      </c>
      <c r="K16" s="17">
        <v>28.63995495</v>
      </c>
      <c r="L16" s="17">
        <v>27.479092399999999</v>
      </c>
      <c r="M16" s="17">
        <v>20.826325600000001</v>
      </c>
      <c r="N16" s="17">
        <v>33.367489200000001</v>
      </c>
      <c r="O16" s="17">
        <v>21.924907600000001</v>
      </c>
      <c r="P16" s="17">
        <v>15.065532449999999</v>
      </c>
      <c r="Q16" s="17">
        <v>41.593958899999997</v>
      </c>
      <c r="R16" s="17">
        <v>24.664690050000001</v>
      </c>
      <c r="S16" s="17">
        <v>17.331234299999998</v>
      </c>
      <c r="T16" s="17">
        <v>18.832010749999998</v>
      </c>
      <c r="U16" s="17">
        <v>22.8187459</v>
      </c>
      <c r="V16" s="17">
        <v>19.794368550000002</v>
      </c>
      <c r="W16" s="17">
        <v>23.482418500000001</v>
      </c>
      <c r="X16" s="17">
        <v>16.529336749999999</v>
      </c>
      <c r="Y16" s="17">
        <v>20.539849050000001</v>
      </c>
      <c r="Z16" s="17">
        <v>21.428462150000001</v>
      </c>
      <c r="AA16" s="17">
        <v>29.6585547</v>
      </c>
    </row>
    <row r="17" spans="1:27" x14ac:dyDescent="0.2">
      <c r="A17" s="17">
        <v>13</v>
      </c>
      <c r="B17" s="17">
        <v>41.4064847</v>
      </c>
      <c r="C17" s="17">
        <v>28.308363400000001</v>
      </c>
      <c r="D17" s="17">
        <v>23.42278915</v>
      </c>
      <c r="E17" s="17">
        <v>79.938282150000006</v>
      </c>
      <c r="F17" s="17">
        <v>21.978647250000002</v>
      </c>
      <c r="G17" s="17">
        <v>34.699571149999997</v>
      </c>
      <c r="H17" s="17">
        <v>48.337316250000001</v>
      </c>
      <c r="I17" s="17">
        <v>30.024165400000001</v>
      </c>
      <c r="J17" s="17">
        <v>30.547091649999999</v>
      </c>
      <c r="K17" s="17">
        <v>26.49844045</v>
      </c>
      <c r="L17" s="17">
        <v>54.043954249999999</v>
      </c>
      <c r="M17" s="17">
        <v>31.652148749999999</v>
      </c>
      <c r="N17" s="17">
        <v>36.866933549999999</v>
      </c>
      <c r="O17" s="17">
        <v>44.986932899999999</v>
      </c>
      <c r="P17" s="17">
        <v>38.091253700000003</v>
      </c>
      <c r="Q17" s="17">
        <v>26.257764250000001</v>
      </c>
      <c r="R17" s="17">
        <v>22.9997325</v>
      </c>
      <c r="S17" s="17">
        <v>50.13828985</v>
      </c>
      <c r="T17" s="17">
        <v>35.6304187</v>
      </c>
      <c r="U17" s="17">
        <v>29.36925145</v>
      </c>
      <c r="V17" s="17">
        <v>25.414003449999999</v>
      </c>
      <c r="W17" s="17">
        <v>42.60296855</v>
      </c>
      <c r="X17" s="17">
        <v>28.64112635</v>
      </c>
      <c r="Y17" s="17">
        <v>50.290786449999999</v>
      </c>
      <c r="Z17" s="17">
        <v>28.061696600000001</v>
      </c>
      <c r="AA17" s="17">
        <v>43.434186150000002</v>
      </c>
    </row>
    <row r="18" spans="1:27" x14ac:dyDescent="0.2">
      <c r="A18" s="17">
        <v>14</v>
      </c>
      <c r="B18" s="17">
        <v>46.199606950000003</v>
      </c>
      <c r="C18" s="17" t="s">
        <v>44</v>
      </c>
      <c r="D18" s="17">
        <v>47.155086949999998</v>
      </c>
      <c r="E18" s="17">
        <v>23.161069000000001</v>
      </c>
      <c r="F18" s="17">
        <v>28.250255299999999</v>
      </c>
      <c r="G18" s="17">
        <v>72.054795499999997</v>
      </c>
      <c r="H18" s="17" t="s">
        <v>44</v>
      </c>
      <c r="I18" s="17">
        <v>41.78544445</v>
      </c>
      <c r="J18" s="17">
        <v>31.560596950000001</v>
      </c>
      <c r="K18" s="17">
        <v>64.098001150000002</v>
      </c>
      <c r="L18" s="17">
        <v>62.192680600000003</v>
      </c>
      <c r="M18" s="17">
        <v>25.779044649999999</v>
      </c>
      <c r="N18" s="17">
        <v>19.655536349999998</v>
      </c>
      <c r="O18" s="17">
        <v>68.122649850000002</v>
      </c>
      <c r="P18" s="17">
        <v>70.353383949999994</v>
      </c>
      <c r="Q18" s="17">
        <v>29.42509695</v>
      </c>
      <c r="R18" s="17">
        <v>29.8393883</v>
      </c>
      <c r="S18" s="17">
        <v>49.220476750000003</v>
      </c>
      <c r="T18" s="17">
        <v>46.800779499999997</v>
      </c>
      <c r="U18" s="17">
        <v>62.495452399999998</v>
      </c>
      <c r="V18" s="17">
        <v>30.784617999999998</v>
      </c>
      <c r="W18" s="17">
        <v>36.097701999999998</v>
      </c>
      <c r="X18" s="17">
        <v>30.619272850000002</v>
      </c>
      <c r="Y18" s="17">
        <v>40.633454049999997</v>
      </c>
      <c r="Z18" s="17">
        <v>120.16837719999999</v>
      </c>
      <c r="AA18" s="17">
        <v>21.721462200000001</v>
      </c>
    </row>
    <row r="19" spans="1:27" x14ac:dyDescent="0.2">
      <c r="A19" s="17">
        <v>15</v>
      </c>
      <c r="B19" s="17">
        <v>45.3498935</v>
      </c>
      <c r="C19" s="17">
        <v>46.173668550000002</v>
      </c>
      <c r="D19" s="17">
        <v>31.245381049999999</v>
      </c>
      <c r="E19" s="17">
        <v>39.156500999999999</v>
      </c>
      <c r="F19" s="17">
        <v>30.039249049999999</v>
      </c>
      <c r="G19" s="17">
        <v>58.744767099999997</v>
      </c>
      <c r="H19" s="17">
        <v>32.771720299999998</v>
      </c>
      <c r="I19" s="17">
        <v>30.417784350000002</v>
      </c>
      <c r="J19" s="17">
        <v>45.003804850000002</v>
      </c>
      <c r="K19" s="17">
        <v>34.676770050000002</v>
      </c>
      <c r="L19" s="17">
        <v>23.062476700000001</v>
      </c>
      <c r="M19" s="17">
        <v>47.4060706</v>
      </c>
      <c r="N19" s="17">
        <v>48.914603550000002</v>
      </c>
      <c r="O19" s="17">
        <v>22.5934141</v>
      </c>
      <c r="P19" s="17">
        <v>34.6085049</v>
      </c>
      <c r="Q19" s="17">
        <v>39.590367649999997</v>
      </c>
      <c r="R19" s="17">
        <v>27.2015919</v>
      </c>
      <c r="S19" s="17">
        <v>42.402947949999998</v>
      </c>
      <c r="T19" s="17">
        <v>32.701287899999997</v>
      </c>
      <c r="U19" s="17">
        <v>45.34229895</v>
      </c>
      <c r="V19" s="17">
        <v>24.718519050000001</v>
      </c>
      <c r="W19" s="17">
        <v>18.963539399999998</v>
      </c>
      <c r="X19" s="17">
        <v>48.3728081</v>
      </c>
      <c r="Y19" s="17">
        <v>29.639127800000001</v>
      </c>
      <c r="Z19" s="17">
        <v>23.960440949999999</v>
      </c>
      <c r="AA19" s="17">
        <v>20.8889253</v>
      </c>
    </row>
    <row r="20" spans="1:27" x14ac:dyDescent="0.2">
      <c r="A20" s="17">
        <v>16</v>
      </c>
      <c r="B20" s="17">
        <v>36.373987700000001</v>
      </c>
      <c r="C20" s="17">
        <v>40.913227249999998</v>
      </c>
      <c r="D20" s="17">
        <v>41.305308099999998</v>
      </c>
      <c r="E20" s="17">
        <v>21.959508899999999</v>
      </c>
      <c r="F20" s="17">
        <v>23.251047750000001</v>
      </c>
      <c r="G20" s="17">
        <v>53.734052749999996</v>
      </c>
      <c r="H20" s="17">
        <v>29.700197299999999</v>
      </c>
      <c r="I20" s="17">
        <v>20.311346799999999</v>
      </c>
      <c r="J20" s="17">
        <v>29.040184549999999</v>
      </c>
      <c r="K20" s="17">
        <v>26.282329099999998</v>
      </c>
      <c r="L20" s="17">
        <v>72.332722000000004</v>
      </c>
      <c r="M20" s="17">
        <v>27.7479166</v>
      </c>
      <c r="N20" s="17">
        <v>23.5613022</v>
      </c>
      <c r="O20" s="17">
        <v>33.309604849999999</v>
      </c>
      <c r="P20" s="17">
        <v>27.6793309</v>
      </c>
      <c r="Q20" s="17">
        <v>33.770596900000001</v>
      </c>
      <c r="R20" s="17">
        <v>25.346990049999999</v>
      </c>
      <c r="S20" s="17">
        <v>34.462690500000001</v>
      </c>
      <c r="T20" s="17">
        <v>36.958057250000003</v>
      </c>
      <c r="U20" s="17">
        <v>21.559760699999998</v>
      </c>
      <c r="V20" s="17">
        <v>34.911699949999999</v>
      </c>
      <c r="W20" s="17">
        <v>29.7990475</v>
      </c>
      <c r="X20" s="17">
        <v>26.304861599999999</v>
      </c>
      <c r="Y20" s="17">
        <v>30.464861200000001</v>
      </c>
      <c r="Z20" s="17">
        <v>35.492795399999999</v>
      </c>
      <c r="AA20" s="17">
        <v>28.81570915</v>
      </c>
    </row>
    <row r="21" spans="1:27" x14ac:dyDescent="0.2">
      <c r="A21" s="17">
        <v>17</v>
      </c>
      <c r="B21" s="17">
        <v>29.48020035</v>
      </c>
      <c r="C21" s="17">
        <v>17.4420495</v>
      </c>
      <c r="D21" s="17">
        <v>49.785428750000001</v>
      </c>
      <c r="E21" s="17">
        <v>20.452374750000001</v>
      </c>
      <c r="F21" s="17">
        <v>18.206387150000001</v>
      </c>
      <c r="G21" s="17">
        <v>70.544725650000004</v>
      </c>
      <c r="H21" s="17">
        <v>32.740763950000002</v>
      </c>
      <c r="I21" s="17">
        <v>18.479144999999999</v>
      </c>
      <c r="J21" s="17">
        <v>23.780302800000001</v>
      </c>
      <c r="K21" s="17">
        <v>27.038606999999999</v>
      </c>
      <c r="L21" s="17">
        <v>58.27674055</v>
      </c>
      <c r="M21" s="17">
        <v>21.95059505</v>
      </c>
      <c r="N21" s="17">
        <v>20.431159149999999</v>
      </c>
      <c r="O21" s="17">
        <v>8.8400044500000003</v>
      </c>
      <c r="P21" s="17">
        <v>32.614762149999997</v>
      </c>
      <c r="Q21" s="17">
        <v>45.285650500000003</v>
      </c>
      <c r="R21" s="17">
        <v>20.84470365</v>
      </c>
      <c r="S21" s="17">
        <v>13.007223400000001</v>
      </c>
      <c r="T21" s="17">
        <v>34.044748499999997</v>
      </c>
      <c r="U21" s="17">
        <v>16.483687450000001</v>
      </c>
      <c r="V21" s="17">
        <v>73.0033514</v>
      </c>
      <c r="W21" s="17">
        <v>22.223971850000002</v>
      </c>
      <c r="X21" s="17">
        <v>31.430986300000001</v>
      </c>
      <c r="Y21" s="17">
        <v>43.789625399999998</v>
      </c>
      <c r="Z21" s="17">
        <v>58.069920250000003</v>
      </c>
      <c r="AA21" s="17">
        <v>35.747762999999999</v>
      </c>
    </row>
    <row r="22" spans="1:27" x14ac:dyDescent="0.2">
      <c r="A22" s="17">
        <v>18</v>
      </c>
      <c r="B22" s="17">
        <v>19.455843000000002</v>
      </c>
      <c r="C22" s="17">
        <v>25.402320100000001</v>
      </c>
      <c r="D22" s="17">
        <v>17.2231779</v>
      </c>
      <c r="E22" s="17">
        <v>23.379008899999999</v>
      </c>
      <c r="F22" s="17">
        <v>26.214971949999999</v>
      </c>
      <c r="G22" s="17" t="s">
        <v>44</v>
      </c>
      <c r="H22" s="17">
        <v>22.1005289</v>
      </c>
      <c r="I22" s="17">
        <v>21.134672550000001</v>
      </c>
      <c r="J22" s="17">
        <v>23.73577435</v>
      </c>
      <c r="K22" s="17">
        <v>16.745262799999999</v>
      </c>
      <c r="L22" s="17">
        <v>29.339913299999999</v>
      </c>
      <c r="M22" s="17">
        <v>28.643370050000001</v>
      </c>
      <c r="N22" s="17">
        <v>25.080549699999999</v>
      </c>
      <c r="O22" s="17">
        <v>18.637860450000002</v>
      </c>
      <c r="P22" s="17">
        <v>20.111364349999999</v>
      </c>
      <c r="Q22" s="17">
        <v>22.996320950000001</v>
      </c>
      <c r="R22" s="17">
        <v>21.419414</v>
      </c>
      <c r="S22" s="17">
        <v>27.398809400000001</v>
      </c>
      <c r="T22" s="17">
        <v>24.111988650000001</v>
      </c>
      <c r="U22" s="17">
        <v>26.9873543</v>
      </c>
      <c r="V22" s="17">
        <v>18.96288315</v>
      </c>
      <c r="W22" s="17">
        <v>22.777325749999999</v>
      </c>
      <c r="X22" s="17">
        <v>22.038721299999999</v>
      </c>
      <c r="Y22" s="17">
        <v>25.56652995</v>
      </c>
      <c r="Z22" s="17">
        <v>24.7647163</v>
      </c>
      <c r="AA22" s="17" t="s">
        <v>44</v>
      </c>
    </row>
    <row r="23" spans="1:27" x14ac:dyDescent="0.2">
      <c r="A23" s="17">
        <v>19</v>
      </c>
      <c r="B23" s="17" t="s">
        <v>44</v>
      </c>
      <c r="C23" s="17">
        <v>24.092299000000001</v>
      </c>
      <c r="D23" s="17">
        <v>53.297022699999999</v>
      </c>
      <c r="E23" s="17">
        <v>19.533999399999999</v>
      </c>
      <c r="F23" s="17">
        <v>24.078256849999999</v>
      </c>
      <c r="G23" s="17">
        <v>30.271875000000001</v>
      </c>
      <c r="H23" s="17">
        <v>17.521496500000001</v>
      </c>
      <c r="I23" s="17">
        <v>17.5094034</v>
      </c>
      <c r="J23" s="17">
        <v>34.0075906</v>
      </c>
      <c r="K23" s="17">
        <v>75.864692700000006</v>
      </c>
      <c r="L23" s="17">
        <v>57.009369849999999</v>
      </c>
      <c r="M23" s="17">
        <v>27.13880485</v>
      </c>
      <c r="N23" s="17">
        <v>42.531522699999996</v>
      </c>
      <c r="O23" s="17">
        <v>49.564191600000001</v>
      </c>
      <c r="P23" s="17">
        <v>53.654066100000001</v>
      </c>
      <c r="Q23" s="17">
        <v>30.405459449999999</v>
      </c>
      <c r="R23" s="17">
        <v>20.808380249999999</v>
      </c>
      <c r="S23" s="17">
        <v>40.701344050000003</v>
      </c>
      <c r="T23" s="17">
        <v>18.900456800000001</v>
      </c>
      <c r="U23" s="17">
        <v>21.562747900000002</v>
      </c>
      <c r="V23" s="17" t="s">
        <v>44</v>
      </c>
      <c r="W23" s="17" t="s">
        <v>44</v>
      </c>
      <c r="X23" s="17">
        <v>35.049367199999999</v>
      </c>
      <c r="Y23" s="17">
        <v>35.4120305</v>
      </c>
      <c r="Z23" s="17" t="s">
        <v>44</v>
      </c>
      <c r="AA23" s="17" t="s">
        <v>44</v>
      </c>
    </row>
    <row r="24" spans="1:27" x14ac:dyDescent="0.2">
      <c r="A24" s="17">
        <v>20</v>
      </c>
      <c r="B24" s="17">
        <v>18.091024000000001</v>
      </c>
      <c r="C24" s="17">
        <v>31.036768250000002</v>
      </c>
      <c r="D24" s="17">
        <v>32.516344949999997</v>
      </c>
      <c r="E24" s="17">
        <v>28.516338449999999</v>
      </c>
      <c r="F24" s="17">
        <v>33.234456199999997</v>
      </c>
      <c r="G24" s="17">
        <v>32.6793792</v>
      </c>
      <c r="H24" s="17">
        <v>29.768253900000001</v>
      </c>
      <c r="I24" s="17">
        <v>26.947281950000001</v>
      </c>
      <c r="J24" s="17">
        <v>21.971971700000001</v>
      </c>
      <c r="K24" s="17">
        <v>24.854949449999999</v>
      </c>
      <c r="L24" s="17">
        <v>74.246988999999999</v>
      </c>
      <c r="M24" s="17">
        <v>36.028510900000001</v>
      </c>
      <c r="N24" s="17">
        <v>19.249765</v>
      </c>
      <c r="O24" s="17">
        <v>24.819942449999999</v>
      </c>
      <c r="P24" s="17">
        <v>37.234259600000001</v>
      </c>
      <c r="Q24" s="17">
        <v>24.756127549999999</v>
      </c>
      <c r="R24" s="17">
        <v>21.506422700000002</v>
      </c>
      <c r="S24" s="17">
        <v>27.173813549999998</v>
      </c>
      <c r="T24" s="17">
        <v>14.08324575</v>
      </c>
      <c r="U24" s="17">
        <v>29.13058015</v>
      </c>
      <c r="V24" s="17">
        <v>22.181987549999999</v>
      </c>
      <c r="W24" s="17">
        <v>36.9094354</v>
      </c>
      <c r="X24" s="17">
        <v>25.387225699999998</v>
      </c>
      <c r="Y24" s="17">
        <v>27.1933969</v>
      </c>
      <c r="Z24" s="17">
        <v>25.494187</v>
      </c>
      <c r="AA24" s="17">
        <v>72.014159399999997</v>
      </c>
    </row>
    <row r="25" spans="1:27" x14ac:dyDescent="0.2">
      <c r="A25" s="17">
        <v>21</v>
      </c>
      <c r="B25" s="17">
        <v>14.885735800000001</v>
      </c>
      <c r="C25" s="17">
        <v>28.47380725</v>
      </c>
      <c r="D25" s="17">
        <v>14.223304799999999</v>
      </c>
      <c r="E25" s="17">
        <v>19.867437899999999</v>
      </c>
      <c r="F25" s="17">
        <v>14.195217400000001</v>
      </c>
      <c r="G25" s="17" t="s">
        <v>44</v>
      </c>
      <c r="H25" s="17">
        <v>14.2040103</v>
      </c>
      <c r="I25" s="17">
        <v>17.912186999999999</v>
      </c>
      <c r="J25" s="17">
        <v>12.4112086</v>
      </c>
      <c r="K25" s="17">
        <v>22.9208198</v>
      </c>
      <c r="L25" s="17">
        <v>19.411526299999998</v>
      </c>
      <c r="M25" s="17">
        <v>16.021959899999999</v>
      </c>
      <c r="N25" s="17">
        <v>13.604124000000001</v>
      </c>
      <c r="O25" s="17">
        <v>15.065348999999999</v>
      </c>
      <c r="P25" s="17">
        <v>17.040218500000002</v>
      </c>
      <c r="Q25" s="17">
        <v>30.715419300000001</v>
      </c>
      <c r="R25" s="17">
        <v>14.105506849999999</v>
      </c>
      <c r="S25" s="17">
        <v>19.085223200000001</v>
      </c>
      <c r="T25" s="17">
        <v>19.694255949999999</v>
      </c>
      <c r="U25" s="17">
        <v>19.59702145</v>
      </c>
      <c r="V25" s="17" t="s">
        <v>44</v>
      </c>
      <c r="W25" s="17" t="s">
        <v>44</v>
      </c>
      <c r="X25" s="17">
        <v>8.6120721000000007</v>
      </c>
      <c r="Y25" s="17">
        <v>12.2227649</v>
      </c>
      <c r="Z25" s="17" t="s">
        <v>44</v>
      </c>
      <c r="AA25" s="17">
        <v>17.4919467</v>
      </c>
    </row>
    <row r="26" spans="1:27" x14ac:dyDescent="0.2">
      <c r="A26" s="17">
        <v>22</v>
      </c>
      <c r="B26" s="17">
        <v>16.076044750000001</v>
      </c>
      <c r="C26" s="17">
        <v>34.375445900000003</v>
      </c>
      <c r="D26" s="17">
        <v>40.044556249999999</v>
      </c>
      <c r="E26" s="17">
        <v>24.240516549999999</v>
      </c>
      <c r="F26" s="17">
        <v>49.962978700000001</v>
      </c>
      <c r="G26" s="17">
        <v>36.252628899999998</v>
      </c>
      <c r="H26" s="17">
        <v>17.398574750000002</v>
      </c>
      <c r="I26" s="17">
        <v>26.8724825</v>
      </c>
      <c r="J26" s="17">
        <v>49.236197699999998</v>
      </c>
      <c r="K26" s="17">
        <v>25.948759599999999</v>
      </c>
      <c r="L26" s="17">
        <v>34.057619449999997</v>
      </c>
      <c r="M26" s="17">
        <v>25.885078650000001</v>
      </c>
      <c r="N26" s="17">
        <v>26.30799</v>
      </c>
      <c r="O26" s="17">
        <v>8.7228063000000002</v>
      </c>
      <c r="P26" s="17">
        <v>33.66724585</v>
      </c>
      <c r="Q26" s="17">
        <v>37.950743750000001</v>
      </c>
      <c r="R26" s="17">
        <v>23.08244835</v>
      </c>
      <c r="S26" s="17">
        <v>33.013622550000001</v>
      </c>
      <c r="T26" s="17">
        <v>32.340302749999999</v>
      </c>
      <c r="U26" s="17">
        <v>34.878458549999998</v>
      </c>
      <c r="V26" s="17">
        <v>46.218525749999998</v>
      </c>
      <c r="W26" s="17">
        <v>35.034902250000002</v>
      </c>
      <c r="X26" s="17">
        <v>19.922735500000002</v>
      </c>
      <c r="Y26" s="17">
        <v>14.850825349999999</v>
      </c>
      <c r="Z26" s="17">
        <v>60.180354450000003</v>
      </c>
      <c r="AA26" s="17">
        <v>19.796263549999999</v>
      </c>
    </row>
    <row r="27" spans="1:27" x14ac:dyDescent="0.2">
      <c r="A27" s="17">
        <v>23</v>
      </c>
      <c r="B27" s="17">
        <v>30.96945135</v>
      </c>
      <c r="C27" s="17">
        <v>27.053595399999999</v>
      </c>
      <c r="D27" s="17">
        <v>23.1432024</v>
      </c>
      <c r="E27" s="17">
        <v>27.076331150000001</v>
      </c>
      <c r="F27" s="17">
        <v>27.479621949999999</v>
      </c>
      <c r="G27" s="17">
        <v>32.291792299999997</v>
      </c>
      <c r="H27" s="17">
        <v>36.335004599999998</v>
      </c>
      <c r="I27" s="17">
        <v>20.611447999999999</v>
      </c>
      <c r="J27" s="17">
        <v>63.083540599999999</v>
      </c>
      <c r="K27" s="17">
        <v>54.314257150000003</v>
      </c>
      <c r="L27" s="17">
        <v>29.732824149999999</v>
      </c>
      <c r="M27" s="17">
        <v>15.089504850000001</v>
      </c>
      <c r="N27" s="17">
        <v>25.98318355</v>
      </c>
      <c r="O27" s="17">
        <v>34.912626850000002</v>
      </c>
      <c r="P27" s="17">
        <v>17.489039500000001</v>
      </c>
      <c r="Q27" s="17">
        <v>55.434984649999997</v>
      </c>
      <c r="R27" s="17">
        <v>16.087996749999999</v>
      </c>
      <c r="S27" s="17">
        <v>31.225921100000001</v>
      </c>
      <c r="T27" s="17">
        <v>44.472606999999996</v>
      </c>
      <c r="U27" s="17">
        <v>16.236901150000001</v>
      </c>
      <c r="V27" s="17">
        <v>17.198191399999999</v>
      </c>
      <c r="W27" s="17">
        <v>20.560985850000002</v>
      </c>
      <c r="X27" s="17">
        <v>34.739744199999997</v>
      </c>
      <c r="Y27" s="17">
        <v>40.852171749999997</v>
      </c>
      <c r="Z27" s="17">
        <v>35.195350599999998</v>
      </c>
      <c r="AA27" s="17">
        <v>20.5667346</v>
      </c>
    </row>
    <row r="28" spans="1:27" x14ac:dyDescent="0.2">
      <c r="A28" s="17">
        <v>24</v>
      </c>
      <c r="B28" s="17">
        <v>27.514738300000001</v>
      </c>
      <c r="C28" s="17">
        <v>21.46098945</v>
      </c>
      <c r="D28" s="17">
        <v>31.258617149999999</v>
      </c>
      <c r="E28" s="17">
        <v>14.781335650000001</v>
      </c>
      <c r="F28" s="17">
        <v>22.470606700000001</v>
      </c>
      <c r="G28" s="17">
        <v>27.442089599999999</v>
      </c>
      <c r="H28" s="17">
        <v>25.841003000000001</v>
      </c>
      <c r="I28" s="17">
        <v>17.591468899999999</v>
      </c>
      <c r="J28" s="17">
        <v>17.045013600000001</v>
      </c>
      <c r="K28" s="17">
        <v>18.425485250000001</v>
      </c>
      <c r="L28" s="17">
        <v>29.092450849999999</v>
      </c>
      <c r="M28" s="17">
        <v>22.29659625</v>
      </c>
      <c r="N28" s="17">
        <v>17.411035600000002</v>
      </c>
      <c r="O28" s="17">
        <v>20.066350199999999</v>
      </c>
      <c r="P28" s="17">
        <v>16.756934650000002</v>
      </c>
      <c r="Q28" s="17">
        <v>29.560956000000001</v>
      </c>
      <c r="R28" s="17">
        <v>14.487693500000001</v>
      </c>
      <c r="S28" s="17">
        <v>23.932647500000002</v>
      </c>
      <c r="T28" s="17">
        <v>13.2823879</v>
      </c>
      <c r="U28" s="17">
        <v>16.463119849999998</v>
      </c>
      <c r="V28" s="17" t="s">
        <v>44</v>
      </c>
      <c r="W28" s="17" t="s">
        <v>44</v>
      </c>
      <c r="X28" s="17">
        <v>36.367599300000002</v>
      </c>
      <c r="Y28" s="17" t="s">
        <v>44</v>
      </c>
      <c r="Z28" s="17">
        <v>23.984610700000001</v>
      </c>
      <c r="AA28" s="17">
        <v>34.700219500000003</v>
      </c>
    </row>
    <row r="29" spans="1:27" x14ac:dyDescent="0.2">
      <c r="A29" s="17">
        <v>25</v>
      </c>
      <c r="B29" s="17">
        <v>61.190579999999997</v>
      </c>
      <c r="C29" s="17">
        <v>38.145280900000003</v>
      </c>
      <c r="D29" s="17">
        <v>49.451216100000003</v>
      </c>
      <c r="E29" s="17">
        <v>28.679043</v>
      </c>
      <c r="F29" s="17">
        <v>21.6591226</v>
      </c>
      <c r="G29" s="17">
        <v>51.454290749999998</v>
      </c>
      <c r="H29" s="17">
        <v>23.604207250000002</v>
      </c>
      <c r="I29" s="17">
        <v>26.681808050000001</v>
      </c>
      <c r="J29" s="17">
        <v>38.297248250000003</v>
      </c>
      <c r="K29" s="17">
        <v>60.573772300000002</v>
      </c>
      <c r="L29" s="17">
        <v>45.398040700000003</v>
      </c>
      <c r="M29" s="17">
        <v>20.538690899999999</v>
      </c>
      <c r="N29" s="17">
        <v>40.034356899999999</v>
      </c>
      <c r="O29" s="17">
        <v>39.022841</v>
      </c>
      <c r="P29" s="17">
        <v>19.636173700000001</v>
      </c>
      <c r="Q29" s="17">
        <v>30.79616845</v>
      </c>
      <c r="R29" s="17">
        <v>20.9261734</v>
      </c>
      <c r="S29" s="17">
        <v>39.781595699999997</v>
      </c>
      <c r="T29" s="17">
        <v>35.191091</v>
      </c>
      <c r="U29" s="17">
        <v>27.811758900000001</v>
      </c>
      <c r="V29" s="17" t="s">
        <v>44</v>
      </c>
      <c r="W29" s="17" t="s">
        <v>44</v>
      </c>
      <c r="X29" s="17">
        <v>21.74759285</v>
      </c>
      <c r="Y29" s="17" t="s">
        <v>44</v>
      </c>
      <c r="Z29" s="17" t="s">
        <v>44</v>
      </c>
      <c r="AA29" s="17" t="s">
        <v>44</v>
      </c>
    </row>
    <row r="30" spans="1:27" x14ac:dyDescent="0.2">
      <c r="A30" s="17">
        <v>26</v>
      </c>
      <c r="B30" s="17">
        <v>68.913150049999999</v>
      </c>
      <c r="C30" s="17">
        <v>70.308493799999994</v>
      </c>
      <c r="D30" s="17">
        <v>128.86006929999999</v>
      </c>
      <c r="E30" s="17">
        <v>82.894577549999994</v>
      </c>
      <c r="F30" s="17">
        <v>31.7007455</v>
      </c>
      <c r="G30" s="17">
        <v>125.7889943</v>
      </c>
      <c r="H30" s="17">
        <v>67.252083799999994</v>
      </c>
      <c r="I30" s="17">
        <v>58.84794205</v>
      </c>
      <c r="J30" s="17">
        <v>80.911015000000006</v>
      </c>
      <c r="K30" s="17">
        <v>102.56443365</v>
      </c>
      <c r="L30" s="17">
        <v>74.071696799999998</v>
      </c>
      <c r="M30" s="17">
        <v>52.605681850000003</v>
      </c>
      <c r="N30" s="17">
        <v>40.287151299999998</v>
      </c>
      <c r="O30" s="17">
        <v>135.00214505</v>
      </c>
      <c r="P30" s="17">
        <v>70.300249350000001</v>
      </c>
      <c r="Q30" s="17">
        <v>122.6524297</v>
      </c>
      <c r="R30" s="17">
        <v>38.543182199999997</v>
      </c>
      <c r="S30" s="17">
        <v>43.471890600000002</v>
      </c>
      <c r="T30" s="17">
        <v>30.528182699999999</v>
      </c>
      <c r="U30" s="17" t="s">
        <v>44</v>
      </c>
      <c r="V30" s="17">
        <v>33.843518150000001</v>
      </c>
      <c r="W30" s="17">
        <v>50.883507250000001</v>
      </c>
      <c r="X30" s="17">
        <v>43.019079650000002</v>
      </c>
      <c r="Y30" s="17">
        <v>72.206733200000002</v>
      </c>
      <c r="Z30" s="17">
        <v>53.88139675</v>
      </c>
      <c r="AA30" s="17">
        <v>40.636429149999998</v>
      </c>
    </row>
    <row r="31" spans="1:27" x14ac:dyDescent="0.2">
      <c r="A31" s="17">
        <v>27</v>
      </c>
      <c r="B31" s="17">
        <v>62.478002500000002</v>
      </c>
      <c r="C31" s="17">
        <v>43.814249699999998</v>
      </c>
      <c r="D31" s="17">
        <v>41.049258299999998</v>
      </c>
      <c r="E31" s="17">
        <v>22.32039885</v>
      </c>
      <c r="F31" s="17">
        <v>31.65027195</v>
      </c>
      <c r="G31" s="17">
        <v>36.599328249999999</v>
      </c>
      <c r="H31" s="17">
        <v>25.4811236</v>
      </c>
      <c r="I31" s="17">
        <v>27.902445</v>
      </c>
      <c r="J31" s="17">
        <v>33.347942850000003</v>
      </c>
      <c r="K31" s="17">
        <v>25.7153046</v>
      </c>
      <c r="L31" s="17">
        <v>41.035777950000004</v>
      </c>
      <c r="M31" s="17">
        <v>36.651126849999997</v>
      </c>
      <c r="N31" s="17">
        <v>22.904265500000001</v>
      </c>
      <c r="O31" s="17">
        <v>30.581217949999999</v>
      </c>
      <c r="P31" s="17">
        <v>25.025650800000001</v>
      </c>
      <c r="Q31" s="17">
        <v>57.631300449999998</v>
      </c>
      <c r="R31" s="17">
        <v>33.752761900000003</v>
      </c>
      <c r="S31" s="17">
        <v>39.698918900000002</v>
      </c>
      <c r="T31" s="17">
        <v>36.234932950000001</v>
      </c>
      <c r="U31" s="17">
        <v>26.204535450000002</v>
      </c>
      <c r="V31" s="17">
        <v>52.692255549999999</v>
      </c>
      <c r="W31" s="17">
        <v>49.154559599999999</v>
      </c>
      <c r="X31" s="17">
        <v>36.487583299999997</v>
      </c>
      <c r="Y31" s="17">
        <v>43.177945350000002</v>
      </c>
      <c r="Z31" s="17">
        <v>66.454894850000002</v>
      </c>
      <c r="AA31" s="17">
        <v>44.724083499999999</v>
      </c>
    </row>
    <row r="32" spans="1:27" x14ac:dyDescent="0.2">
      <c r="A32" s="17">
        <v>28</v>
      </c>
      <c r="B32" s="17">
        <v>10.0553951</v>
      </c>
      <c r="C32" s="17">
        <v>18.442158599999999</v>
      </c>
      <c r="D32" s="17">
        <v>10.6601494</v>
      </c>
      <c r="E32" s="17">
        <v>12.94548915</v>
      </c>
      <c r="F32" s="17">
        <v>12.1686911</v>
      </c>
      <c r="G32" s="17">
        <v>28.749246750000001</v>
      </c>
      <c r="H32" s="17">
        <v>45.982185999999999</v>
      </c>
      <c r="I32" s="17">
        <v>26.041494700000001</v>
      </c>
      <c r="J32" s="17">
        <v>22.947131949999999</v>
      </c>
      <c r="K32" s="17">
        <v>15.553719600000001</v>
      </c>
      <c r="L32" s="17">
        <v>23.215352800000002</v>
      </c>
      <c r="M32" s="17">
        <v>17.96067815</v>
      </c>
      <c r="N32" s="17">
        <v>13.655513450000001</v>
      </c>
      <c r="O32" s="17">
        <v>30.220610700000002</v>
      </c>
      <c r="P32" s="17">
        <v>30.7753364</v>
      </c>
      <c r="Q32" s="17">
        <v>14.4099123</v>
      </c>
      <c r="R32" s="17">
        <v>29.806526049999999</v>
      </c>
      <c r="S32" s="17">
        <v>17.2782731</v>
      </c>
      <c r="T32" s="17">
        <v>15.48299175</v>
      </c>
      <c r="U32" s="17">
        <v>19.3422032</v>
      </c>
      <c r="V32" s="17">
        <v>16.726179399999999</v>
      </c>
      <c r="W32" s="17" t="s">
        <v>44</v>
      </c>
      <c r="X32" s="17">
        <v>26.038222399999999</v>
      </c>
      <c r="Y32" s="17">
        <v>21.89059735</v>
      </c>
      <c r="Z32" s="17" t="s">
        <v>44</v>
      </c>
      <c r="AA32" s="17">
        <v>12.0727581</v>
      </c>
    </row>
    <row r="33" spans="1:27" x14ac:dyDescent="0.2">
      <c r="A33" s="17">
        <v>29</v>
      </c>
      <c r="B33" s="17" t="s">
        <v>44</v>
      </c>
      <c r="C33" s="17">
        <v>31.677557350000001</v>
      </c>
      <c r="D33" s="17">
        <v>15.13614885</v>
      </c>
      <c r="E33" s="17">
        <v>18.80476415</v>
      </c>
      <c r="F33" s="17">
        <v>18.237458700000001</v>
      </c>
      <c r="G33" s="17">
        <v>18.57961955</v>
      </c>
      <c r="H33" s="17">
        <v>15.712930849999999</v>
      </c>
      <c r="I33" s="17">
        <v>28.776339449999998</v>
      </c>
      <c r="J33" s="17">
        <v>19.600175849999999</v>
      </c>
      <c r="K33" s="17">
        <v>30.153760900000002</v>
      </c>
      <c r="L33" s="17">
        <v>28.3826471</v>
      </c>
      <c r="M33" s="17">
        <v>27.701588600000001</v>
      </c>
      <c r="N33" s="17">
        <v>17.690226849999998</v>
      </c>
      <c r="O33" s="17">
        <v>28.642645300000002</v>
      </c>
      <c r="P33" s="17">
        <v>21.499119700000001</v>
      </c>
      <c r="Q33" s="17">
        <v>29.803719449999999</v>
      </c>
      <c r="R33" s="17">
        <v>20.947268399999999</v>
      </c>
      <c r="S33" s="17">
        <v>17.443677149999999</v>
      </c>
      <c r="T33" s="17">
        <v>18.399810250000002</v>
      </c>
      <c r="U33" s="17">
        <v>14.0877312</v>
      </c>
      <c r="V33" s="17">
        <v>17.134153300000001</v>
      </c>
      <c r="W33" s="17">
        <v>15.56916605</v>
      </c>
      <c r="X33" s="17">
        <v>20.812036150000001</v>
      </c>
      <c r="Y33" s="17">
        <v>31.960581749999999</v>
      </c>
      <c r="Z33" s="17">
        <v>15.29801295</v>
      </c>
      <c r="AA33" s="17">
        <v>22.067130150000001</v>
      </c>
    </row>
    <row r="34" spans="1:27" x14ac:dyDescent="0.2">
      <c r="A34" s="17">
        <v>30</v>
      </c>
      <c r="B34" s="17">
        <v>56.396772800000001</v>
      </c>
      <c r="C34" s="17">
        <v>42.002408500000001</v>
      </c>
      <c r="D34" s="17">
        <v>59.6762102</v>
      </c>
      <c r="E34" s="17">
        <v>26.373498900000001</v>
      </c>
      <c r="F34" s="17">
        <v>55.672162399999998</v>
      </c>
      <c r="G34" s="17">
        <v>62.605237600000002</v>
      </c>
      <c r="H34" s="17">
        <v>23.985507349999999</v>
      </c>
      <c r="I34" s="17">
        <v>35.850581949999999</v>
      </c>
      <c r="J34" s="17">
        <v>53.582939400000001</v>
      </c>
      <c r="K34" s="17">
        <v>18.8032185</v>
      </c>
      <c r="L34" s="17">
        <v>38.292722300000001</v>
      </c>
      <c r="M34" s="17">
        <v>45.773042949999997</v>
      </c>
      <c r="N34" s="17">
        <v>24.691829349999999</v>
      </c>
      <c r="O34" s="17">
        <v>89.0877555</v>
      </c>
      <c r="P34" s="17">
        <v>23.50773525</v>
      </c>
      <c r="Q34" s="17">
        <v>37.803060899999998</v>
      </c>
      <c r="R34" s="17">
        <v>26.055727900000001</v>
      </c>
      <c r="S34" s="17">
        <v>46.937035899999998</v>
      </c>
      <c r="T34" s="17">
        <v>25.112956749999999</v>
      </c>
      <c r="U34" s="17">
        <v>18.5324472</v>
      </c>
      <c r="V34" s="17">
        <v>26.326865300000001</v>
      </c>
      <c r="W34" s="17">
        <v>26.401169249999999</v>
      </c>
      <c r="X34" s="17">
        <v>35.9480754</v>
      </c>
      <c r="Y34" s="17">
        <v>52.237014199999997</v>
      </c>
      <c r="Z34" s="17">
        <v>73.594185100000004</v>
      </c>
      <c r="AA34" s="17">
        <v>92.030317049999994</v>
      </c>
    </row>
    <row r="35" spans="1:27" x14ac:dyDescent="0.2">
      <c r="A35" s="17">
        <v>31</v>
      </c>
      <c r="B35" s="17">
        <v>29.880174149999998</v>
      </c>
      <c r="C35" s="17">
        <v>51.901147700000003</v>
      </c>
      <c r="D35" s="17">
        <v>20.648513049999998</v>
      </c>
      <c r="E35" s="17">
        <v>22.446402549999998</v>
      </c>
      <c r="F35" s="17">
        <v>20.558423350000002</v>
      </c>
      <c r="G35" s="17">
        <v>36.7488253</v>
      </c>
      <c r="H35" s="17">
        <v>25.132753449999999</v>
      </c>
      <c r="I35" s="17">
        <v>26.485132350000001</v>
      </c>
      <c r="J35" s="17">
        <v>45.3846536</v>
      </c>
      <c r="K35" s="17">
        <v>33.128622800000002</v>
      </c>
      <c r="L35" s="17">
        <v>34.573734100000003</v>
      </c>
      <c r="M35" s="17">
        <v>18.8517683</v>
      </c>
      <c r="N35" s="17">
        <v>38.323964400000001</v>
      </c>
      <c r="O35" s="17">
        <v>43.573986849999997</v>
      </c>
      <c r="P35" s="17">
        <v>23.237937850000002</v>
      </c>
      <c r="Q35" s="17">
        <v>53.489144250000003</v>
      </c>
      <c r="R35" s="17">
        <v>15.68675275</v>
      </c>
      <c r="S35" s="17">
        <v>16.906496050000001</v>
      </c>
      <c r="T35" s="17">
        <v>15.3560956</v>
      </c>
      <c r="U35" s="17">
        <v>20.363051200000001</v>
      </c>
      <c r="V35" s="17">
        <v>50.502659100000002</v>
      </c>
      <c r="W35" s="17">
        <v>44.369779200000004</v>
      </c>
      <c r="X35" s="17">
        <v>13.65655705</v>
      </c>
      <c r="Y35" s="17">
        <v>27.1063872</v>
      </c>
      <c r="Z35" s="17">
        <v>26.61843095</v>
      </c>
      <c r="AA35" s="17">
        <v>105.30385149999999</v>
      </c>
    </row>
    <row r="36" spans="1:27" x14ac:dyDescent="0.2">
      <c r="A36" s="17">
        <v>32</v>
      </c>
      <c r="B36" s="17">
        <v>24.544366799999999</v>
      </c>
      <c r="C36" s="17" t="s">
        <v>44</v>
      </c>
      <c r="D36" s="17">
        <v>31.567997250000001</v>
      </c>
      <c r="E36" s="17">
        <v>17.377165000000002</v>
      </c>
      <c r="F36" s="17">
        <v>19.627013850000001</v>
      </c>
      <c r="G36" s="17" t="s">
        <v>44</v>
      </c>
      <c r="H36" s="17">
        <v>15.869253049999999</v>
      </c>
      <c r="I36" s="17">
        <v>20.139524000000002</v>
      </c>
      <c r="J36" s="17">
        <v>32.50326965</v>
      </c>
      <c r="K36" s="17">
        <v>28.932265699999999</v>
      </c>
      <c r="L36" s="17">
        <v>23.880679449999999</v>
      </c>
      <c r="M36" s="17">
        <v>19.366457650000001</v>
      </c>
      <c r="N36" s="17">
        <v>13.6313499</v>
      </c>
      <c r="O36" s="17">
        <v>11.280737999999999</v>
      </c>
      <c r="P36" s="17">
        <v>32.217393700000002</v>
      </c>
      <c r="Q36" s="17">
        <v>20.028037749999999</v>
      </c>
      <c r="R36" s="17">
        <v>13.577265150000001</v>
      </c>
      <c r="S36" s="17">
        <v>36.276336200000003</v>
      </c>
      <c r="T36" s="17">
        <v>21.059695300000001</v>
      </c>
      <c r="U36" s="17">
        <v>32.18465175</v>
      </c>
      <c r="V36" s="17">
        <v>15.607211700000001</v>
      </c>
      <c r="W36" s="17">
        <v>14.53173385</v>
      </c>
      <c r="X36" s="17">
        <v>17.2457551</v>
      </c>
      <c r="Y36" s="17">
        <v>43.673390599999998</v>
      </c>
      <c r="Z36" s="17">
        <v>9.1000902999999997</v>
      </c>
      <c r="AA36" s="17">
        <v>9.4713046999999992</v>
      </c>
    </row>
    <row r="37" spans="1:27" x14ac:dyDescent="0.2">
      <c r="A37" s="17">
        <v>33</v>
      </c>
      <c r="B37" s="17">
        <v>67.424884149999997</v>
      </c>
      <c r="C37" s="17">
        <v>49.444711400000003</v>
      </c>
      <c r="D37" s="17">
        <v>32.588604500000002</v>
      </c>
      <c r="E37" s="17">
        <v>37.384721399999997</v>
      </c>
      <c r="F37" s="17">
        <v>61.199772850000002</v>
      </c>
      <c r="G37" s="17">
        <v>104.82488145000001</v>
      </c>
      <c r="H37" s="17">
        <v>28.750598499999999</v>
      </c>
      <c r="I37" s="17">
        <v>23.708128599999998</v>
      </c>
      <c r="J37" s="17" t="s">
        <v>44</v>
      </c>
      <c r="K37" s="17">
        <v>50.441995849999998</v>
      </c>
      <c r="L37" s="17">
        <v>113.6986699</v>
      </c>
      <c r="M37" s="17">
        <v>40.029392450000003</v>
      </c>
      <c r="N37" s="17">
        <v>61.097872700000003</v>
      </c>
      <c r="O37" s="17">
        <v>48.515995099999998</v>
      </c>
      <c r="P37" s="17">
        <v>41.128612050000001</v>
      </c>
      <c r="Q37" s="17">
        <v>51.740214850000001</v>
      </c>
      <c r="R37" s="17">
        <v>28.936814250000001</v>
      </c>
      <c r="S37" s="17">
        <v>52.764714400000003</v>
      </c>
      <c r="T37" s="17">
        <v>27.024781350000001</v>
      </c>
      <c r="U37" s="17">
        <v>37.100472349999997</v>
      </c>
      <c r="V37" s="17">
        <v>28.922110799999999</v>
      </c>
      <c r="W37" s="17">
        <v>54.409279300000001</v>
      </c>
      <c r="X37" s="17">
        <v>47.85670855</v>
      </c>
      <c r="Y37" s="17">
        <v>45.959697249999998</v>
      </c>
      <c r="Z37" s="17">
        <v>71.9073791</v>
      </c>
      <c r="AA37" s="17">
        <v>56.877110350000002</v>
      </c>
    </row>
    <row r="38" spans="1:27" x14ac:dyDescent="0.2">
      <c r="A38" s="17">
        <v>34</v>
      </c>
      <c r="B38" s="17">
        <v>16.4313149</v>
      </c>
      <c r="C38" s="17">
        <v>25.125171850000001</v>
      </c>
      <c r="D38" s="17">
        <v>15.466708349999999</v>
      </c>
      <c r="E38" s="17">
        <v>22.151245549999999</v>
      </c>
      <c r="F38" s="17">
        <v>32.464275149999999</v>
      </c>
      <c r="G38" s="17">
        <v>31.8737365</v>
      </c>
      <c r="H38" s="17">
        <v>29.24117635</v>
      </c>
      <c r="I38" s="17">
        <v>17.924010599999999</v>
      </c>
      <c r="J38" s="17">
        <v>20.07143885</v>
      </c>
      <c r="K38" s="17">
        <v>27.3697436</v>
      </c>
      <c r="L38" s="17">
        <v>22.876674749999999</v>
      </c>
      <c r="M38" s="17">
        <v>26.441461700000001</v>
      </c>
      <c r="N38" s="17">
        <v>26.667079699999999</v>
      </c>
      <c r="O38" s="17">
        <v>16.885101150000001</v>
      </c>
      <c r="P38" s="17">
        <v>22.524788000000001</v>
      </c>
      <c r="Q38" s="17">
        <v>12.349977750000001</v>
      </c>
      <c r="R38" s="17">
        <v>28.23301485</v>
      </c>
      <c r="S38" s="17">
        <v>14.3436763</v>
      </c>
      <c r="T38" s="17">
        <v>18.5167319</v>
      </c>
      <c r="U38" s="17">
        <v>17.59402455</v>
      </c>
      <c r="V38" s="17">
        <v>18.0086209</v>
      </c>
      <c r="W38" s="17">
        <v>19.972513750000001</v>
      </c>
      <c r="X38" s="17">
        <v>20.04795305</v>
      </c>
      <c r="Y38" s="17">
        <v>18.009582049999999</v>
      </c>
      <c r="Z38" s="17">
        <v>38.49217925</v>
      </c>
      <c r="AA38" s="17">
        <v>19.17193705</v>
      </c>
    </row>
    <row r="39" spans="1:27" x14ac:dyDescent="0.2">
      <c r="A39" s="17">
        <v>35</v>
      </c>
      <c r="B39" s="17">
        <v>18.8545303</v>
      </c>
      <c r="C39" s="17">
        <v>18.531557599999999</v>
      </c>
      <c r="D39" s="17">
        <v>18.165543849999999</v>
      </c>
      <c r="E39" s="17">
        <v>26.146653449999999</v>
      </c>
      <c r="F39" s="17">
        <v>18.215436950000001</v>
      </c>
      <c r="G39" s="17" t="s">
        <v>44</v>
      </c>
      <c r="H39" s="17">
        <v>35.945527599999998</v>
      </c>
      <c r="I39" s="17">
        <v>21.1783085</v>
      </c>
      <c r="J39" s="17">
        <v>27.742421199999999</v>
      </c>
      <c r="K39" s="17">
        <v>20.960916950000001</v>
      </c>
      <c r="L39" s="17">
        <v>24.08757945</v>
      </c>
      <c r="M39" s="17">
        <v>28.543277700000001</v>
      </c>
      <c r="N39" s="17">
        <v>17.731808099999999</v>
      </c>
      <c r="O39" s="17">
        <v>20.177776049999999</v>
      </c>
      <c r="P39" s="17">
        <v>23.17360145</v>
      </c>
      <c r="Q39" s="17" t="s">
        <v>44</v>
      </c>
      <c r="R39" s="17">
        <v>23.094208299999998</v>
      </c>
      <c r="S39" s="17">
        <v>31.62632915</v>
      </c>
      <c r="T39" s="17">
        <v>13.702908750000001</v>
      </c>
      <c r="U39" s="17">
        <v>12.375299399999999</v>
      </c>
      <c r="V39" s="17">
        <v>18.623015049999999</v>
      </c>
      <c r="W39" s="17">
        <v>21.34052775</v>
      </c>
      <c r="X39" s="17">
        <v>23.849954449999998</v>
      </c>
      <c r="Y39" s="17">
        <v>16.409463299999999</v>
      </c>
      <c r="Z39" s="17">
        <v>5.8203699499999999</v>
      </c>
      <c r="AA39" s="17">
        <v>12.31230285</v>
      </c>
    </row>
    <row r="40" spans="1:27" x14ac:dyDescent="0.2">
      <c r="A40" s="17">
        <v>36</v>
      </c>
      <c r="B40" s="17">
        <v>43.672728499999998</v>
      </c>
      <c r="C40" s="17">
        <v>63.95092305</v>
      </c>
      <c r="D40" s="17">
        <v>48.601126600000001</v>
      </c>
      <c r="E40" s="17">
        <v>27.488577150000001</v>
      </c>
      <c r="F40" s="17">
        <v>23.1231109</v>
      </c>
      <c r="G40" s="17">
        <v>41.483991449999998</v>
      </c>
      <c r="H40" s="17">
        <v>38.8781757</v>
      </c>
      <c r="I40" s="17">
        <v>30.751467399999999</v>
      </c>
      <c r="J40" s="17">
        <v>51.867096949999997</v>
      </c>
      <c r="K40" s="17">
        <v>74.564576000000002</v>
      </c>
      <c r="L40" s="17">
        <v>42.177639499999998</v>
      </c>
      <c r="M40" s="17">
        <v>31.055299900000001</v>
      </c>
      <c r="N40" s="17">
        <v>41.085422100000002</v>
      </c>
      <c r="O40" s="17">
        <v>52.297929600000003</v>
      </c>
      <c r="P40" s="17">
        <v>35.059841499999997</v>
      </c>
      <c r="Q40" s="17">
        <v>49.984748099999997</v>
      </c>
      <c r="R40" s="17">
        <v>30.86260455</v>
      </c>
      <c r="S40" s="17">
        <v>41.880881299999999</v>
      </c>
      <c r="T40" s="17">
        <v>102.70982574999999</v>
      </c>
      <c r="U40" s="17">
        <v>65.020607650000002</v>
      </c>
      <c r="V40" s="17">
        <v>69.069103699999999</v>
      </c>
      <c r="W40" s="17">
        <v>39.758013750000003</v>
      </c>
      <c r="X40" s="17">
        <v>61.348691649999999</v>
      </c>
      <c r="Y40" s="17">
        <v>66.717505700000004</v>
      </c>
      <c r="Z40" s="17">
        <v>94.900417649999994</v>
      </c>
      <c r="AA40" s="17">
        <v>48.995902800000003</v>
      </c>
    </row>
    <row r="41" spans="1:27" x14ac:dyDescent="0.2">
      <c r="A41" s="17">
        <v>37</v>
      </c>
      <c r="B41" s="17" t="s">
        <v>44</v>
      </c>
      <c r="C41" s="17">
        <v>31.57698005</v>
      </c>
      <c r="D41" s="17">
        <v>18.290828149999999</v>
      </c>
      <c r="E41" s="17">
        <v>15.023176400000001</v>
      </c>
      <c r="F41" s="17">
        <v>32.533250549999998</v>
      </c>
      <c r="G41" s="17">
        <v>39.258132000000003</v>
      </c>
      <c r="H41" s="17">
        <v>20.167116650000001</v>
      </c>
      <c r="I41" s="17">
        <v>12.76686885</v>
      </c>
      <c r="J41" s="17" t="s">
        <v>44</v>
      </c>
      <c r="K41" s="17">
        <v>30.372395000000001</v>
      </c>
      <c r="L41" s="17">
        <v>46.622879500000003</v>
      </c>
      <c r="M41" s="17">
        <v>27.464266800000001</v>
      </c>
      <c r="N41" s="17">
        <v>57.293015650000001</v>
      </c>
      <c r="O41" s="17">
        <v>21.498662499999998</v>
      </c>
      <c r="P41" s="17">
        <v>23.78497535</v>
      </c>
      <c r="Q41" s="17">
        <v>39.370021199999996</v>
      </c>
      <c r="R41" s="17">
        <v>18.282533699999998</v>
      </c>
      <c r="S41" s="17">
        <v>27.76665775</v>
      </c>
      <c r="T41" s="17">
        <v>23.125483299999999</v>
      </c>
      <c r="U41" s="17">
        <v>22.69550495</v>
      </c>
      <c r="V41" s="17">
        <v>25.991327999999999</v>
      </c>
      <c r="W41" s="17" t="s">
        <v>44</v>
      </c>
      <c r="X41" s="17" t="s">
        <v>44</v>
      </c>
      <c r="Y41" s="17" t="s">
        <v>44</v>
      </c>
      <c r="Z41" s="17" t="s">
        <v>44</v>
      </c>
      <c r="AA41" s="17" t="s">
        <v>44</v>
      </c>
    </row>
    <row r="42" spans="1:27" x14ac:dyDescent="0.2">
      <c r="A42" s="17">
        <v>38</v>
      </c>
      <c r="B42" s="17">
        <v>19.67246085</v>
      </c>
      <c r="C42" s="17">
        <v>37.361170799999996</v>
      </c>
      <c r="D42" s="17">
        <v>21.15507625</v>
      </c>
      <c r="E42" s="17">
        <v>24.974994349999999</v>
      </c>
      <c r="F42" s="17">
        <v>27.522223449999998</v>
      </c>
      <c r="G42" s="17">
        <v>20.056524700000001</v>
      </c>
      <c r="H42" s="17">
        <v>15.7082683</v>
      </c>
      <c r="I42" s="17">
        <v>18.527425950000001</v>
      </c>
      <c r="J42" s="17">
        <v>19.40231065</v>
      </c>
      <c r="K42" s="17">
        <v>20.745633099999999</v>
      </c>
      <c r="L42" s="17">
        <v>43.733729599999997</v>
      </c>
      <c r="M42" s="17">
        <v>20.581086599999999</v>
      </c>
      <c r="N42" s="17">
        <v>23.695845250000001</v>
      </c>
      <c r="O42" s="17">
        <v>9.9742219500000004</v>
      </c>
      <c r="P42" s="17">
        <v>20.0362227</v>
      </c>
      <c r="Q42" s="17">
        <v>19.84377885</v>
      </c>
      <c r="R42" s="17">
        <v>17.2432014</v>
      </c>
      <c r="S42" s="17">
        <v>30.49721645</v>
      </c>
      <c r="T42" s="17">
        <v>57.856536949999999</v>
      </c>
      <c r="U42" s="17">
        <v>21.96624705</v>
      </c>
      <c r="V42" s="17">
        <v>26.42696175</v>
      </c>
      <c r="W42" s="17">
        <v>23.368765700000001</v>
      </c>
      <c r="X42" s="17">
        <v>23.564615450000002</v>
      </c>
      <c r="Y42" s="17">
        <v>26.8350723</v>
      </c>
      <c r="Z42" s="17">
        <v>35.146412900000001</v>
      </c>
      <c r="AA42" s="17">
        <v>45.511431399999999</v>
      </c>
    </row>
    <row r="43" spans="1:27" x14ac:dyDescent="0.2">
      <c r="A43" s="17">
        <v>39</v>
      </c>
      <c r="B43" s="17">
        <v>58.327374650000003</v>
      </c>
      <c r="C43" s="17">
        <v>61.193491350000002</v>
      </c>
      <c r="D43" s="17">
        <v>58.164037399999998</v>
      </c>
      <c r="E43" s="17">
        <v>39.143527900000002</v>
      </c>
      <c r="F43" s="17">
        <v>57.804066300000002</v>
      </c>
      <c r="G43" s="17">
        <v>61.467816800000001</v>
      </c>
      <c r="H43" s="17">
        <v>59.994386249999998</v>
      </c>
      <c r="I43" s="17">
        <v>36.001041999999998</v>
      </c>
      <c r="J43" s="17">
        <v>53.10015465</v>
      </c>
      <c r="K43" s="17">
        <v>48.141628449999999</v>
      </c>
      <c r="L43" s="17">
        <v>72.509185250000002</v>
      </c>
      <c r="M43" s="17">
        <v>55.884764050000001</v>
      </c>
      <c r="N43" s="17">
        <v>63.673670399999999</v>
      </c>
      <c r="O43" s="17">
        <v>116.56515589999999</v>
      </c>
      <c r="P43" s="17">
        <v>36.152009550000002</v>
      </c>
      <c r="Q43" s="17">
        <v>36.910452999999997</v>
      </c>
      <c r="R43" s="17">
        <v>53.124396150000003</v>
      </c>
      <c r="S43" s="17">
        <v>39.044776499999998</v>
      </c>
      <c r="T43" s="17">
        <v>58.9993537</v>
      </c>
      <c r="U43" s="17">
        <v>72.597205450000004</v>
      </c>
      <c r="V43" s="17">
        <v>68.223252099999996</v>
      </c>
      <c r="W43" s="17">
        <v>38.856232900000002</v>
      </c>
      <c r="X43" s="17">
        <v>47.865867199999997</v>
      </c>
      <c r="Y43" s="17">
        <v>63.404144899999999</v>
      </c>
      <c r="Z43" s="17" t="s">
        <v>44</v>
      </c>
      <c r="AA43" s="17" t="s">
        <v>44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7F31-4A37-4FF9-8FD0-68C136ED611A}">
  <dimension ref="A1:AB43"/>
  <sheetViews>
    <sheetView zoomScaleNormal="100" workbookViewId="0">
      <selection activeCell="B5" sqref="B5:U43"/>
    </sheetView>
  </sheetViews>
  <sheetFormatPr defaultColWidth="8.625" defaultRowHeight="11.25" x14ac:dyDescent="0.2"/>
  <cols>
    <col min="1" max="1" width="8.625" style="17"/>
    <col min="2" max="2" width="8.625" style="17" customWidth="1"/>
    <col min="3" max="16384" width="8.625" style="17"/>
  </cols>
  <sheetData>
    <row r="1" spans="1:28" s="9" customFormat="1" x14ac:dyDescent="0.2">
      <c r="A1" s="9" t="s">
        <v>46</v>
      </c>
      <c r="B1" s="10">
        <v>2</v>
      </c>
      <c r="C1" s="10">
        <v>11</v>
      </c>
      <c r="D1" s="10">
        <v>12</v>
      </c>
      <c r="E1" s="10">
        <v>18</v>
      </c>
      <c r="F1" s="10">
        <v>15</v>
      </c>
      <c r="G1" s="10">
        <v>3</v>
      </c>
      <c r="H1" s="10">
        <v>20</v>
      </c>
      <c r="I1" s="10">
        <v>19</v>
      </c>
      <c r="J1" s="10">
        <v>7</v>
      </c>
      <c r="K1" s="10">
        <v>8</v>
      </c>
      <c r="L1" s="10">
        <v>1</v>
      </c>
      <c r="M1" s="10">
        <v>16</v>
      </c>
      <c r="N1" s="10">
        <v>9</v>
      </c>
      <c r="O1" s="10">
        <v>4</v>
      </c>
      <c r="P1" s="10">
        <v>5</v>
      </c>
      <c r="Q1" s="10">
        <v>13</v>
      </c>
      <c r="R1" s="10">
        <v>17</v>
      </c>
      <c r="S1" s="10">
        <v>14</v>
      </c>
      <c r="T1" s="10">
        <v>10</v>
      </c>
      <c r="U1" s="10">
        <v>6</v>
      </c>
      <c r="V1" s="10"/>
      <c r="W1" s="10"/>
      <c r="X1" s="10"/>
      <c r="Y1" s="10"/>
      <c r="Z1" s="10"/>
      <c r="AA1" s="10"/>
      <c r="AB1" s="10"/>
    </row>
    <row r="2" spans="1:28" s="9" customFormat="1" x14ac:dyDescent="0.2">
      <c r="A2" s="9" t="s">
        <v>47</v>
      </c>
      <c r="B2" s="10">
        <v>1</v>
      </c>
      <c r="C2" s="11">
        <v>2</v>
      </c>
      <c r="D2" s="11">
        <v>3</v>
      </c>
      <c r="E2" s="12">
        <v>4</v>
      </c>
      <c r="F2" s="13">
        <v>5</v>
      </c>
      <c r="G2" s="14">
        <v>6</v>
      </c>
      <c r="H2" s="10">
        <v>7</v>
      </c>
      <c r="I2" s="12">
        <v>8</v>
      </c>
      <c r="J2" s="15">
        <v>9</v>
      </c>
      <c r="K2" s="15">
        <v>10</v>
      </c>
      <c r="L2" s="16">
        <v>11</v>
      </c>
      <c r="M2" s="13">
        <v>12</v>
      </c>
      <c r="N2" s="15">
        <v>13</v>
      </c>
      <c r="O2" s="14">
        <v>14</v>
      </c>
      <c r="P2" s="14">
        <v>15</v>
      </c>
      <c r="Q2" s="11">
        <v>16</v>
      </c>
      <c r="R2" s="13">
        <v>17</v>
      </c>
      <c r="S2" s="11">
        <v>18</v>
      </c>
      <c r="T2" s="15">
        <v>19</v>
      </c>
      <c r="U2" s="14">
        <v>20</v>
      </c>
      <c r="V2" s="10">
        <v>21</v>
      </c>
      <c r="W2" s="10">
        <v>22</v>
      </c>
      <c r="X2" s="10">
        <v>23</v>
      </c>
      <c r="Y2" s="10">
        <v>24</v>
      </c>
      <c r="Z2" s="10">
        <v>25</v>
      </c>
      <c r="AA2" s="10">
        <v>26</v>
      </c>
      <c r="AB2" s="10">
        <v>27</v>
      </c>
    </row>
    <row r="3" spans="1:28" s="9" customFormat="1" x14ac:dyDescent="0.2">
      <c r="B3" s="10" t="s">
        <v>0</v>
      </c>
      <c r="C3" s="11" t="s">
        <v>2</v>
      </c>
      <c r="D3" s="11" t="s">
        <v>4</v>
      </c>
      <c r="E3" s="12" t="s">
        <v>6</v>
      </c>
      <c r="F3" s="13" t="s">
        <v>8</v>
      </c>
      <c r="G3" s="14" t="s">
        <v>10</v>
      </c>
      <c r="H3" s="10" t="s">
        <v>12</v>
      </c>
      <c r="I3" s="12" t="s">
        <v>14</v>
      </c>
      <c r="J3" s="15" t="s">
        <v>16</v>
      </c>
      <c r="K3" s="15" t="s">
        <v>18</v>
      </c>
      <c r="L3" s="16" t="s">
        <v>20</v>
      </c>
      <c r="M3" s="13" t="s">
        <v>22</v>
      </c>
      <c r="N3" s="15" t="s">
        <v>24</v>
      </c>
      <c r="O3" s="14" t="s">
        <v>26</v>
      </c>
      <c r="P3" s="14" t="s">
        <v>28</v>
      </c>
      <c r="Q3" s="11" t="s">
        <v>30</v>
      </c>
      <c r="R3" s="13" t="s">
        <v>32</v>
      </c>
      <c r="S3" s="11" t="s">
        <v>34</v>
      </c>
      <c r="T3" s="15" t="s">
        <v>36</v>
      </c>
      <c r="U3" s="14" t="s">
        <v>38</v>
      </c>
      <c r="V3" s="10"/>
      <c r="W3" s="10"/>
      <c r="X3" s="10"/>
      <c r="Y3" s="10"/>
      <c r="Z3" s="10"/>
      <c r="AA3" s="10"/>
      <c r="AB3" s="10"/>
    </row>
    <row r="4" spans="1:28" s="9" customFormat="1" ht="22.5" x14ac:dyDescent="0.2">
      <c r="A4" s="17" t="s">
        <v>45</v>
      </c>
      <c r="B4" s="10" t="s">
        <v>1</v>
      </c>
      <c r="C4" s="11" t="s">
        <v>3</v>
      </c>
      <c r="D4" s="11" t="s">
        <v>5</v>
      </c>
      <c r="E4" s="12" t="s">
        <v>7</v>
      </c>
      <c r="F4" s="13" t="s">
        <v>9</v>
      </c>
      <c r="G4" s="14" t="s">
        <v>11</v>
      </c>
      <c r="H4" s="10" t="s">
        <v>13</v>
      </c>
      <c r="I4" s="12" t="s">
        <v>15</v>
      </c>
      <c r="J4" s="15" t="s">
        <v>17</v>
      </c>
      <c r="K4" s="15" t="s">
        <v>19</v>
      </c>
      <c r="L4" s="16" t="s">
        <v>21</v>
      </c>
      <c r="M4" s="13" t="s">
        <v>23</v>
      </c>
      <c r="N4" s="15" t="s">
        <v>25</v>
      </c>
      <c r="O4" s="14" t="s">
        <v>27</v>
      </c>
      <c r="P4" s="14" t="s">
        <v>29</v>
      </c>
      <c r="Q4" s="11" t="s">
        <v>31</v>
      </c>
      <c r="R4" s="13" t="s">
        <v>33</v>
      </c>
      <c r="S4" s="11" t="s">
        <v>35</v>
      </c>
      <c r="T4" s="15" t="s">
        <v>37</v>
      </c>
      <c r="U4" s="14" t="s">
        <v>39</v>
      </c>
      <c r="V4" s="10" t="s">
        <v>42</v>
      </c>
      <c r="W4" s="10" t="s">
        <v>42</v>
      </c>
      <c r="X4" s="10" t="s">
        <v>42</v>
      </c>
      <c r="Y4" s="10" t="s">
        <v>48</v>
      </c>
      <c r="Z4" s="10" t="s">
        <v>49</v>
      </c>
      <c r="AA4" s="10" t="s">
        <v>50</v>
      </c>
      <c r="AB4" s="10" t="s">
        <v>51</v>
      </c>
    </row>
    <row r="5" spans="1:28" x14ac:dyDescent="0.2">
      <c r="A5" s="17">
        <v>1</v>
      </c>
      <c r="B5" s="17" t="s">
        <v>44</v>
      </c>
      <c r="C5" s="17">
        <v>18.120440250000001</v>
      </c>
      <c r="D5" s="17">
        <v>31.234242299999998</v>
      </c>
      <c r="E5" s="17">
        <v>25.174262250000002</v>
      </c>
      <c r="F5" s="17">
        <v>26.0746015</v>
      </c>
      <c r="G5" s="17">
        <v>28.230330899999998</v>
      </c>
      <c r="H5" s="17">
        <v>31.827631749999998</v>
      </c>
      <c r="I5" s="17">
        <v>27.9034543</v>
      </c>
      <c r="J5" s="17">
        <v>33.030212200000001</v>
      </c>
      <c r="K5" s="17">
        <v>32.417084799999998</v>
      </c>
      <c r="L5" s="17">
        <v>52.025578950000003</v>
      </c>
      <c r="M5" s="17">
        <v>33.510985099999999</v>
      </c>
      <c r="N5" s="17">
        <v>24.5024324</v>
      </c>
      <c r="O5" s="17">
        <v>26.774653600000001</v>
      </c>
      <c r="P5" s="17">
        <v>30.108595000000001</v>
      </c>
      <c r="Q5" s="17">
        <v>40.567766650000003</v>
      </c>
      <c r="R5" s="17">
        <v>27.09494595</v>
      </c>
      <c r="S5" s="17">
        <v>20.113329950000001</v>
      </c>
      <c r="T5" s="17">
        <v>35.982132300000004</v>
      </c>
      <c r="U5" s="17">
        <v>32.406397599999998</v>
      </c>
      <c r="V5" s="17">
        <v>29.932679950000001</v>
      </c>
      <c r="W5" s="17">
        <v>17.8686075</v>
      </c>
      <c r="X5" s="17">
        <v>35.065660299999998</v>
      </c>
      <c r="Y5" s="17">
        <v>18.338123150000001</v>
      </c>
      <c r="Z5" s="17">
        <v>16.511720700000001</v>
      </c>
      <c r="AA5" s="17">
        <v>13.591539300000001</v>
      </c>
      <c r="AB5" s="17">
        <v>27.516737549999998</v>
      </c>
    </row>
    <row r="6" spans="1:28" x14ac:dyDescent="0.2">
      <c r="A6" s="17">
        <v>2</v>
      </c>
      <c r="B6" s="17">
        <v>11.364167050000001</v>
      </c>
      <c r="C6" s="17">
        <v>11.84164455</v>
      </c>
      <c r="D6" s="17">
        <v>9.3655071999999997</v>
      </c>
      <c r="E6" s="17">
        <v>14.39191405</v>
      </c>
      <c r="F6" s="17">
        <v>18.658857950000002</v>
      </c>
      <c r="G6" s="17">
        <v>31.2398746</v>
      </c>
      <c r="H6" s="17">
        <v>14.7800946</v>
      </c>
      <c r="I6" s="17">
        <v>10.23118195</v>
      </c>
      <c r="J6" s="17">
        <v>20.354031200000001</v>
      </c>
      <c r="K6" s="17">
        <v>19.823120800000002</v>
      </c>
      <c r="L6" s="17">
        <v>23.108261949999999</v>
      </c>
      <c r="M6" s="17">
        <v>8.0313607000000005</v>
      </c>
      <c r="N6" s="17">
        <v>12.836202200000001</v>
      </c>
      <c r="O6" s="17">
        <v>14.3781929</v>
      </c>
      <c r="P6" s="17">
        <v>11.836540100000001</v>
      </c>
      <c r="Q6" s="17">
        <v>7.7019314000000003</v>
      </c>
      <c r="R6" s="17">
        <v>17.321045250000001</v>
      </c>
      <c r="S6" s="17">
        <v>8.3244139500000003</v>
      </c>
      <c r="T6" s="17">
        <v>22.707728150000001</v>
      </c>
      <c r="U6" s="17">
        <v>9.0104959999999998</v>
      </c>
      <c r="V6" s="17">
        <v>9.3417738999999997</v>
      </c>
      <c r="W6" s="17" t="s">
        <v>44</v>
      </c>
      <c r="X6" s="17" t="s">
        <v>44</v>
      </c>
      <c r="Y6" s="17">
        <v>13.13183115</v>
      </c>
      <c r="Z6" s="17">
        <v>8.9743492000000007</v>
      </c>
      <c r="AA6" s="17">
        <v>16.91385665</v>
      </c>
      <c r="AB6" s="17">
        <v>139.49242344999999</v>
      </c>
    </row>
    <row r="7" spans="1:28" x14ac:dyDescent="0.2">
      <c r="A7" s="17">
        <v>3</v>
      </c>
      <c r="B7" s="17">
        <v>40.630359800000001</v>
      </c>
      <c r="C7" s="17">
        <v>23.9937091</v>
      </c>
      <c r="D7" s="17">
        <v>36.018781349999998</v>
      </c>
      <c r="E7" s="17">
        <v>48.21173735</v>
      </c>
      <c r="F7" s="17">
        <v>29.05925895</v>
      </c>
      <c r="G7" s="17">
        <v>20.434839050000001</v>
      </c>
      <c r="H7" s="17">
        <v>36.00709535</v>
      </c>
      <c r="I7" s="17">
        <v>24.9179508</v>
      </c>
      <c r="J7" s="17">
        <v>14.346376449999999</v>
      </c>
      <c r="K7" s="17">
        <v>42.535645449999997</v>
      </c>
      <c r="L7" s="17">
        <v>29.883123399999999</v>
      </c>
      <c r="M7" s="17">
        <v>32.177265249999998</v>
      </c>
      <c r="N7" s="17">
        <v>18.704239050000002</v>
      </c>
      <c r="O7" s="17">
        <v>39.171535550000002</v>
      </c>
      <c r="P7" s="17">
        <v>13.32331475</v>
      </c>
      <c r="Q7" s="17">
        <v>32.492274199999997</v>
      </c>
      <c r="R7" s="17">
        <v>24.64331825</v>
      </c>
      <c r="S7" s="17">
        <v>41.250394550000003</v>
      </c>
      <c r="T7" s="17">
        <v>16.060982299999999</v>
      </c>
      <c r="U7" s="17">
        <v>22.33680725</v>
      </c>
      <c r="V7" s="17">
        <v>15.2664264</v>
      </c>
      <c r="W7" s="17">
        <v>18.147815349999998</v>
      </c>
      <c r="X7" s="17">
        <v>67.855308500000007</v>
      </c>
      <c r="Y7" s="17">
        <v>33.189006749999997</v>
      </c>
      <c r="Z7" s="17">
        <v>19.470518800000001</v>
      </c>
      <c r="AA7" s="17">
        <v>22.868164449999998</v>
      </c>
      <c r="AB7" s="17">
        <v>28.31387325</v>
      </c>
    </row>
    <row r="8" spans="1:28" x14ac:dyDescent="0.2">
      <c r="A8" s="17">
        <v>4</v>
      </c>
      <c r="B8" s="17" t="s">
        <v>44</v>
      </c>
      <c r="C8" s="17">
        <v>23.714530750000002</v>
      </c>
      <c r="D8" s="17">
        <v>36.473018250000003</v>
      </c>
      <c r="E8" s="17">
        <v>18.520515249999999</v>
      </c>
      <c r="F8" s="17">
        <v>22.374044300000001</v>
      </c>
      <c r="G8" s="17">
        <v>19.504730349999999</v>
      </c>
      <c r="H8" s="17">
        <v>14.793857450000001</v>
      </c>
      <c r="I8" s="17">
        <v>15.937324800000001</v>
      </c>
      <c r="J8" s="17">
        <v>25.171766099999999</v>
      </c>
      <c r="K8" s="17">
        <v>28.5002064</v>
      </c>
      <c r="L8" s="17">
        <v>48.221566750000001</v>
      </c>
      <c r="M8" s="17">
        <v>32.490769049999997</v>
      </c>
      <c r="N8" s="17">
        <v>30.90416445</v>
      </c>
      <c r="O8" s="17">
        <v>24.02191835</v>
      </c>
      <c r="P8" s="17">
        <v>22.061925649999999</v>
      </c>
      <c r="Q8" s="17">
        <v>23.72692095</v>
      </c>
      <c r="R8" s="17">
        <v>30.14447345</v>
      </c>
      <c r="S8" s="17">
        <v>15.383332449999999</v>
      </c>
      <c r="T8" s="17">
        <v>22.946430700000001</v>
      </c>
      <c r="U8" s="17">
        <v>25.782114050000001</v>
      </c>
      <c r="V8" s="17" t="s">
        <v>44</v>
      </c>
      <c r="W8" s="17">
        <v>23.591797799999998</v>
      </c>
      <c r="X8" s="17">
        <v>34.650326149999998</v>
      </c>
      <c r="Y8" s="17">
        <v>36.689615199999999</v>
      </c>
      <c r="Z8" s="17">
        <v>30.859691649999998</v>
      </c>
      <c r="AA8" s="17">
        <v>9.7125051500000001</v>
      </c>
      <c r="AB8" s="17">
        <v>28.6860097</v>
      </c>
    </row>
    <row r="9" spans="1:28" x14ac:dyDescent="0.2">
      <c r="A9" s="17">
        <v>5</v>
      </c>
      <c r="B9" s="17">
        <v>14.12441465</v>
      </c>
      <c r="C9" s="17">
        <v>11.973568</v>
      </c>
      <c r="D9" s="17">
        <v>12.37261855</v>
      </c>
      <c r="E9" s="17">
        <v>16.145864199999998</v>
      </c>
      <c r="F9" s="17">
        <v>19.247881750000001</v>
      </c>
      <c r="G9" s="17">
        <v>13.0931826</v>
      </c>
      <c r="H9" s="17">
        <v>21.0675071</v>
      </c>
      <c r="I9" s="17">
        <v>18.140175849999999</v>
      </c>
      <c r="J9" s="17">
        <v>16.16415435</v>
      </c>
      <c r="K9" s="17">
        <v>21.3852364</v>
      </c>
      <c r="L9" s="17">
        <v>18.138801300000001</v>
      </c>
      <c r="M9" s="17">
        <v>13.190674</v>
      </c>
      <c r="N9" s="17">
        <v>12.7030738</v>
      </c>
      <c r="O9" s="17">
        <v>19.987188849999999</v>
      </c>
      <c r="P9" s="17">
        <v>14.981197849999999</v>
      </c>
      <c r="Q9" s="17">
        <v>15.6640503</v>
      </c>
      <c r="R9" s="17">
        <v>27.813457700000001</v>
      </c>
      <c r="S9" s="17">
        <v>14.58722345</v>
      </c>
      <c r="T9" s="17">
        <v>9.9529220499999997</v>
      </c>
      <c r="U9" s="17">
        <v>12.7118713</v>
      </c>
      <c r="V9" s="17">
        <v>29.55637655</v>
      </c>
      <c r="W9" s="17">
        <v>25.276422499999999</v>
      </c>
      <c r="X9" s="17">
        <v>17.14551595</v>
      </c>
      <c r="Y9" s="17">
        <v>18.470702849999999</v>
      </c>
      <c r="Z9" s="17">
        <v>23.987893700000001</v>
      </c>
      <c r="AA9" s="17">
        <v>10.05701125</v>
      </c>
      <c r="AB9" s="17">
        <v>29.604146350000001</v>
      </c>
    </row>
    <row r="10" spans="1:28" x14ac:dyDescent="0.2">
      <c r="A10" s="17">
        <v>6</v>
      </c>
      <c r="B10" s="17">
        <v>41.784810899999997</v>
      </c>
      <c r="C10" s="17">
        <v>43.491151500000001</v>
      </c>
      <c r="D10" s="17">
        <v>35.968153700000002</v>
      </c>
      <c r="E10" s="17">
        <v>42.387215400000002</v>
      </c>
      <c r="F10" s="17">
        <v>44.866125949999997</v>
      </c>
      <c r="G10" s="17">
        <v>44.70387015</v>
      </c>
      <c r="H10" s="17">
        <v>48.641495949999999</v>
      </c>
      <c r="I10" s="17">
        <v>29.721453400000001</v>
      </c>
      <c r="J10" s="17">
        <v>51.399486400000001</v>
      </c>
      <c r="K10" s="17">
        <v>46.891382299999997</v>
      </c>
      <c r="L10" s="17">
        <v>43.447951349999997</v>
      </c>
      <c r="M10" s="17">
        <v>30.067343149999999</v>
      </c>
      <c r="N10" s="17">
        <v>44.298484449999997</v>
      </c>
      <c r="O10" s="17">
        <v>66.310770000000005</v>
      </c>
      <c r="P10" s="17">
        <v>51.705756899999997</v>
      </c>
      <c r="Q10" s="17">
        <v>35.977562599999999</v>
      </c>
      <c r="R10" s="17">
        <v>40.988008100000002</v>
      </c>
      <c r="S10" s="17">
        <v>43.558657400000001</v>
      </c>
      <c r="T10" s="17">
        <v>30.4007243</v>
      </c>
      <c r="U10" s="17">
        <v>23.692875050000001</v>
      </c>
      <c r="V10" s="17">
        <v>46.990571699999997</v>
      </c>
      <c r="W10" s="17">
        <v>22.7284258</v>
      </c>
      <c r="X10" s="17">
        <v>47.338881649999998</v>
      </c>
      <c r="Y10" s="17">
        <v>45.848575250000003</v>
      </c>
      <c r="Z10" s="17">
        <v>41.848009449999999</v>
      </c>
      <c r="AA10" s="17">
        <v>30.405033450000001</v>
      </c>
      <c r="AB10" s="17">
        <v>32.093897200000001</v>
      </c>
    </row>
    <row r="11" spans="1:28" x14ac:dyDescent="0.2">
      <c r="A11" s="17">
        <v>7</v>
      </c>
      <c r="B11" s="17">
        <v>11.6347889</v>
      </c>
      <c r="C11" s="17">
        <v>9.1380754</v>
      </c>
      <c r="D11" s="17">
        <v>14.215331000000001</v>
      </c>
      <c r="E11" s="17">
        <v>13.355223049999999</v>
      </c>
      <c r="F11" s="17">
        <v>14.6868844</v>
      </c>
      <c r="G11" s="17">
        <v>9.4753541499999994</v>
      </c>
      <c r="H11" s="17">
        <v>9.2179736499999994</v>
      </c>
      <c r="I11" s="17">
        <v>11.273263650000001</v>
      </c>
      <c r="J11" s="17">
        <v>23.659814699999998</v>
      </c>
      <c r="K11" s="17" t="s">
        <v>44</v>
      </c>
      <c r="L11" s="17">
        <v>30.345528850000001</v>
      </c>
      <c r="M11" s="17">
        <v>27.6794102</v>
      </c>
      <c r="N11" s="17">
        <v>14.350437400000001</v>
      </c>
      <c r="O11" s="17">
        <v>9.20774705</v>
      </c>
      <c r="P11" s="17">
        <v>5.8936935500000001</v>
      </c>
      <c r="Q11" s="17">
        <v>9.0944020499999993</v>
      </c>
      <c r="R11" s="17">
        <v>24.771694449999998</v>
      </c>
      <c r="S11" s="17">
        <v>21.027291300000002</v>
      </c>
      <c r="T11" s="17">
        <v>11.5950893</v>
      </c>
      <c r="U11" s="17">
        <v>8.280538</v>
      </c>
      <c r="V11" s="17">
        <v>12.1081752</v>
      </c>
      <c r="W11" s="17">
        <v>16.2819559</v>
      </c>
      <c r="X11" s="17">
        <v>6.0236172000000003</v>
      </c>
      <c r="Y11" s="17">
        <v>12.50797285</v>
      </c>
      <c r="Z11" s="17">
        <v>12.45769265</v>
      </c>
      <c r="AA11" s="17">
        <v>6.6790866500000003</v>
      </c>
      <c r="AB11" s="17">
        <v>34.280677099999998</v>
      </c>
    </row>
    <row r="12" spans="1:28" x14ac:dyDescent="0.2">
      <c r="A12" s="17">
        <v>8</v>
      </c>
      <c r="B12" s="17">
        <v>17.0108888</v>
      </c>
      <c r="C12" s="17">
        <v>13.21491565</v>
      </c>
      <c r="D12" s="17">
        <v>19.744522249999999</v>
      </c>
      <c r="E12" s="17">
        <v>10.25608525</v>
      </c>
      <c r="F12" s="17">
        <v>24.2755601</v>
      </c>
      <c r="G12" s="17">
        <v>11.138265799999999</v>
      </c>
      <c r="H12" s="17">
        <v>17.804369449999999</v>
      </c>
      <c r="I12" s="17">
        <v>12.458394849999999</v>
      </c>
      <c r="J12" s="17">
        <v>17.337229900000001</v>
      </c>
      <c r="K12" s="17">
        <v>14.229839999999999</v>
      </c>
      <c r="L12" s="17">
        <v>19.713788300000001</v>
      </c>
      <c r="M12" s="17">
        <v>28.853453049999999</v>
      </c>
      <c r="N12" s="17">
        <v>14.03853565</v>
      </c>
      <c r="O12" s="17">
        <v>14.1492881</v>
      </c>
      <c r="P12" s="17">
        <v>12.270877799999999</v>
      </c>
      <c r="Q12" s="17">
        <v>25.8983284</v>
      </c>
      <c r="R12" s="17">
        <v>24.461120449999999</v>
      </c>
      <c r="S12" s="17">
        <v>16.541994150000001</v>
      </c>
      <c r="T12" s="17">
        <v>25.7245439</v>
      </c>
      <c r="U12" s="17">
        <v>10.797850049999999</v>
      </c>
      <c r="V12" s="17">
        <v>20.365518600000001</v>
      </c>
      <c r="W12" s="17">
        <v>15.273263699999999</v>
      </c>
      <c r="X12" s="17">
        <v>25.48760995</v>
      </c>
      <c r="Y12" s="17">
        <v>35.881455600000002</v>
      </c>
      <c r="Z12" s="17">
        <v>17.373967499999999</v>
      </c>
      <c r="AA12" s="17">
        <v>21.661940049999998</v>
      </c>
      <c r="AB12" s="17">
        <v>13.309339899999999</v>
      </c>
    </row>
    <row r="13" spans="1:28" x14ac:dyDescent="0.2">
      <c r="A13" s="17">
        <v>9</v>
      </c>
      <c r="B13" s="17">
        <v>41.261378399999998</v>
      </c>
      <c r="C13" s="17">
        <v>19.233195200000001</v>
      </c>
      <c r="D13" s="17">
        <v>35.518219999999999</v>
      </c>
      <c r="E13" s="17">
        <v>18.351361749999999</v>
      </c>
      <c r="F13" s="17">
        <v>17.68886135</v>
      </c>
      <c r="G13" s="17" t="s">
        <v>44</v>
      </c>
      <c r="H13" s="17">
        <v>22.9909873</v>
      </c>
      <c r="I13" s="17">
        <v>16.130907000000001</v>
      </c>
      <c r="J13" s="17">
        <v>25.5002557</v>
      </c>
      <c r="K13" s="17">
        <v>24.419953150000001</v>
      </c>
      <c r="L13" s="17">
        <v>30.69744605</v>
      </c>
      <c r="M13" s="17">
        <v>26.633789849999999</v>
      </c>
      <c r="N13" s="17">
        <v>8.0128389000000002</v>
      </c>
      <c r="O13" s="17">
        <v>14.5304257</v>
      </c>
      <c r="P13" s="17">
        <v>13.699880650000001</v>
      </c>
      <c r="Q13" s="17">
        <v>18.824732050000001</v>
      </c>
      <c r="R13" s="17">
        <v>25.99185825</v>
      </c>
      <c r="S13" s="17">
        <v>13.3385634</v>
      </c>
      <c r="T13" s="17">
        <v>18.708131600000002</v>
      </c>
      <c r="U13" s="17">
        <v>17.353903949999999</v>
      </c>
      <c r="V13" s="17">
        <v>40.316262500000001</v>
      </c>
      <c r="W13" s="17">
        <v>17.685544849999999</v>
      </c>
      <c r="X13" s="17">
        <v>34.885728899999997</v>
      </c>
      <c r="Y13" s="17">
        <v>15.015084399999999</v>
      </c>
      <c r="Z13" s="17">
        <v>16.292773100000002</v>
      </c>
      <c r="AA13" s="17">
        <v>26.347875899999998</v>
      </c>
      <c r="AB13" s="17">
        <v>28.2506235</v>
      </c>
    </row>
    <row r="14" spans="1:28" x14ac:dyDescent="0.2">
      <c r="A14" s="17">
        <v>10</v>
      </c>
      <c r="B14" s="17">
        <v>40.034632299999998</v>
      </c>
      <c r="C14" s="17">
        <v>16.63226015</v>
      </c>
      <c r="D14" s="17">
        <v>29.897370250000002</v>
      </c>
      <c r="E14" s="17">
        <v>15.783396400000001</v>
      </c>
      <c r="F14" s="17">
        <v>21.476401549999999</v>
      </c>
      <c r="G14" s="17">
        <v>18.570151750000001</v>
      </c>
      <c r="H14" s="17">
        <v>9.8400198499999991</v>
      </c>
      <c r="I14" s="17">
        <v>15.21155495</v>
      </c>
      <c r="J14" s="17">
        <v>12.927629749999999</v>
      </c>
      <c r="K14" s="17">
        <v>15.16915</v>
      </c>
      <c r="L14" s="17">
        <v>20.283538750000002</v>
      </c>
      <c r="M14" s="17">
        <v>16.202935100000001</v>
      </c>
      <c r="N14" s="17">
        <v>10.69483005</v>
      </c>
      <c r="O14" s="17">
        <v>13.54142455</v>
      </c>
      <c r="P14" s="17">
        <v>16.2039063</v>
      </c>
      <c r="Q14" s="17">
        <v>16.1862335</v>
      </c>
      <c r="R14" s="17">
        <v>14.088429550000001</v>
      </c>
      <c r="S14" s="17">
        <v>12.8910844</v>
      </c>
      <c r="T14" s="17">
        <v>10.75140635</v>
      </c>
      <c r="U14" s="17">
        <v>32.212979599999997</v>
      </c>
      <c r="V14" s="17">
        <v>14.43677445</v>
      </c>
      <c r="W14" s="17">
        <v>18.994438150000001</v>
      </c>
      <c r="X14" s="17">
        <v>36.631416350000002</v>
      </c>
      <c r="Y14" s="17">
        <v>17.286867999999998</v>
      </c>
      <c r="Z14" s="17">
        <v>19.2779582</v>
      </c>
      <c r="AA14" s="17">
        <v>7.4135426999999998</v>
      </c>
      <c r="AB14" s="17">
        <v>10.72834245</v>
      </c>
    </row>
    <row r="15" spans="1:28" x14ac:dyDescent="0.2">
      <c r="A15" s="17">
        <v>11</v>
      </c>
      <c r="B15" s="17">
        <v>46.124209299999997</v>
      </c>
      <c r="C15" s="17">
        <v>27.25274615</v>
      </c>
      <c r="D15" s="17">
        <v>33.891170700000004</v>
      </c>
      <c r="E15" s="17">
        <v>24.254606549999998</v>
      </c>
      <c r="F15" s="17">
        <v>27.900533150000001</v>
      </c>
      <c r="G15" s="17">
        <v>40.605607550000002</v>
      </c>
      <c r="H15" s="17">
        <v>25.807336450000001</v>
      </c>
      <c r="I15" s="17">
        <v>24.13166915</v>
      </c>
      <c r="J15" s="17">
        <v>23.653935650000001</v>
      </c>
      <c r="K15" s="17">
        <v>18.922454850000001</v>
      </c>
      <c r="L15" s="17">
        <v>23.393101600000001</v>
      </c>
      <c r="M15" s="17">
        <v>31.476429</v>
      </c>
      <c r="N15" s="17">
        <v>22.478246899999998</v>
      </c>
      <c r="O15" s="17">
        <v>69.846295949999998</v>
      </c>
      <c r="P15" s="17">
        <v>31.7423644</v>
      </c>
      <c r="Q15" s="17">
        <v>22.276013150000001</v>
      </c>
      <c r="R15" s="17">
        <v>29.60881985</v>
      </c>
      <c r="S15" s="17">
        <v>26.420777650000002</v>
      </c>
      <c r="T15" s="17">
        <v>18.2927398</v>
      </c>
      <c r="U15" s="17">
        <v>26.993642149999999</v>
      </c>
      <c r="V15" s="17">
        <v>16.02428965</v>
      </c>
      <c r="W15" s="17">
        <v>19.787320600000001</v>
      </c>
      <c r="X15" s="17">
        <v>43.669018049999998</v>
      </c>
      <c r="Y15" s="17">
        <v>45.313352100000003</v>
      </c>
      <c r="Z15" s="17">
        <v>56.510403549999999</v>
      </c>
      <c r="AA15" s="17">
        <v>35.875532249999999</v>
      </c>
      <c r="AB15" s="17">
        <v>34.390693249999998</v>
      </c>
    </row>
    <row r="16" spans="1:28" x14ac:dyDescent="0.2">
      <c r="A16" s="17">
        <v>12</v>
      </c>
      <c r="B16" s="17">
        <v>20.442446799999999</v>
      </c>
      <c r="C16" s="17">
        <v>10.655870549999999</v>
      </c>
      <c r="D16" s="17">
        <v>28.190224749999999</v>
      </c>
      <c r="E16" s="17">
        <v>13.6963434</v>
      </c>
      <c r="F16" s="17">
        <v>21.8800794</v>
      </c>
      <c r="G16" s="17">
        <v>24.703546200000002</v>
      </c>
      <c r="H16" s="17">
        <v>20.163801500000002</v>
      </c>
      <c r="I16" s="17">
        <v>16.151736150000001</v>
      </c>
      <c r="J16" s="17">
        <v>23.154637449999999</v>
      </c>
      <c r="K16" s="17">
        <v>24.845836200000001</v>
      </c>
      <c r="L16" s="17">
        <v>18.863577450000001</v>
      </c>
      <c r="M16" s="17">
        <v>11.769411099999999</v>
      </c>
      <c r="N16" s="17">
        <v>22.463923600000001</v>
      </c>
      <c r="O16" s="17">
        <v>14.51949215</v>
      </c>
      <c r="P16" s="17">
        <v>24.731215800000001</v>
      </c>
      <c r="Q16" s="17">
        <v>23.2288873</v>
      </c>
      <c r="R16" s="17">
        <v>18.775531399999998</v>
      </c>
      <c r="S16" s="17">
        <v>23.497669349999999</v>
      </c>
      <c r="T16" s="17">
        <v>24.896939199999998</v>
      </c>
      <c r="U16" s="17">
        <v>34.3130776</v>
      </c>
      <c r="V16" s="17">
        <v>22.301929049999998</v>
      </c>
      <c r="W16" s="17">
        <v>15.63752255</v>
      </c>
      <c r="X16" s="17">
        <v>18.928516599999998</v>
      </c>
      <c r="Y16" s="17">
        <v>32.343131200000002</v>
      </c>
      <c r="Z16" s="17">
        <v>33.450348200000001</v>
      </c>
      <c r="AA16" s="17">
        <v>17.828480949999999</v>
      </c>
      <c r="AB16" s="17">
        <v>16.3333288</v>
      </c>
    </row>
    <row r="17" spans="1:28" x14ac:dyDescent="0.2">
      <c r="A17" s="17">
        <v>13</v>
      </c>
      <c r="B17" s="17">
        <v>43.361433400000003</v>
      </c>
      <c r="C17" s="17">
        <v>12.6499851</v>
      </c>
      <c r="D17" s="17">
        <v>22.740502800000002</v>
      </c>
      <c r="E17" s="17">
        <v>25.868383099999999</v>
      </c>
      <c r="F17" s="17">
        <v>24.00743005</v>
      </c>
      <c r="G17" s="17">
        <v>23.2016232</v>
      </c>
      <c r="H17" s="17">
        <v>40.242457999999999</v>
      </c>
      <c r="I17" s="17">
        <v>24.77165265</v>
      </c>
      <c r="J17" s="17">
        <v>12.4752989</v>
      </c>
      <c r="K17" s="17">
        <v>8.9623948999999996</v>
      </c>
      <c r="L17" s="17">
        <v>30.782830149999999</v>
      </c>
      <c r="M17" s="17">
        <v>21.848752449999999</v>
      </c>
      <c r="N17" s="17">
        <v>8.2138391500000001</v>
      </c>
      <c r="O17" s="17">
        <v>16.3235615</v>
      </c>
      <c r="P17" s="17">
        <v>33.4060439</v>
      </c>
      <c r="Q17" s="17">
        <v>23.403621000000001</v>
      </c>
      <c r="R17" s="17">
        <v>59.211037050000002</v>
      </c>
      <c r="S17" s="17">
        <v>51.471689400000002</v>
      </c>
      <c r="T17" s="17">
        <v>21.026323399999999</v>
      </c>
      <c r="U17" s="17">
        <v>30.672695650000001</v>
      </c>
      <c r="V17" s="17">
        <v>42.263312550000002</v>
      </c>
      <c r="W17" s="17">
        <v>18.71178415</v>
      </c>
      <c r="X17" s="17">
        <v>15.637621899999999</v>
      </c>
      <c r="Y17" s="17">
        <v>18.88707625</v>
      </c>
      <c r="Z17" s="17">
        <v>60.266727500000002</v>
      </c>
      <c r="AA17" s="17">
        <v>26.784974949999999</v>
      </c>
      <c r="AB17" s="17">
        <v>33.909313650000001</v>
      </c>
    </row>
    <row r="18" spans="1:28" x14ac:dyDescent="0.2">
      <c r="A18" s="17">
        <v>14</v>
      </c>
      <c r="B18" s="17">
        <v>47.768301999999998</v>
      </c>
      <c r="C18" s="17">
        <v>28.585445350000001</v>
      </c>
      <c r="D18" s="17">
        <v>35.210913050000002</v>
      </c>
      <c r="E18" s="17">
        <v>16.576696599999998</v>
      </c>
      <c r="F18" s="17">
        <v>17.696898749999999</v>
      </c>
      <c r="G18" s="17">
        <v>24.855042950000001</v>
      </c>
      <c r="H18" s="17" t="s">
        <v>44</v>
      </c>
      <c r="I18" s="17">
        <v>21.235428550000002</v>
      </c>
      <c r="J18" s="17">
        <v>8.1752612500000001</v>
      </c>
      <c r="K18" s="17">
        <v>14.34639675</v>
      </c>
      <c r="L18" s="17">
        <v>64.72370875</v>
      </c>
      <c r="M18" s="17">
        <v>44.180663350000003</v>
      </c>
      <c r="N18" s="17">
        <v>10.8834082</v>
      </c>
      <c r="O18" s="17">
        <v>40.887088200000001</v>
      </c>
      <c r="P18" s="17">
        <v>29.462285049999998</v>
      </c>
      <c r="Q18" s="17">
        <v>14.0988104</v>
      </c>
      <c r="R18" s="17">
        <v>7.9424307000000001</v>
      </c>
      <c r="S18" s="17">
        <v>24.9629929</v>
      </c>
      <c r="T18" s="17">
        <v>7.6775925000000003</v>
      </c>
      <c r="U18" s="17">
        <v>12.571550950000001</v>
      </c>
      <c r="V18" s="17">
        <v>24.706783600000001</v>
      </c>
      <c r="W18" s="17">
        <v>25.8411735</v>
      </c>
      <c r="X18" s="17">
        <v>10.8941248</v>
      </c>
      <c r="Y18" s="17">
        <v>8.5316845499999996</v>
      </c>
      <c r="Z18" s="17">
        <v>49.904483399999997</v>
      </c>
      <c r="AA18" s="17">
        <v>10.9869146</v>
      </c>
      <c r="AB18" s="17">
        <v>21.716813399999999</v>
      </c>
    </row>
    <row r="19" spans="1:28" x14ac:dyDescent="0.2">
      <c r="A19" s="17">
        <v>15</v>
      </c>
      <c r="B19" s="17">
        <v>20.860360150000002</v>
      </c>
      <c r="C19" s="17">
        <v>30.336527400000001</v>
      </c>
      <c r="D19" s="17">
        <v>22.905729050000001</v>
      </c>
      <c r="E19" s="17">
        <v>27.8359828</v>
      </c>
      <c r="F19" s="17">
        <v>32.138648199999999</v>
      </c>
      <c r="G19" s="17">
        <v>36.486830750000003</v>
      </c>
      <c r="H19" s="17">
        <v>18.449692150000001</v>
      </c>
      <c r="I19" s="17">
        <v>20.1327304</v>
      </c>
      <c r="J19" s="17">
        <v>28.055024549999999</v>
      </c>
      <c r="K19" s="17">
        <v>26.112973749999998</v>
      </c>
      <c r="L19" s="17">
        <v>33.989324349999997</v>
      </c>
      <c r="M19" s="17">
        <v>31.297978499999999</v>
      </c>
      <c r="N19" s="17">
        <v>18.077023000000001</v>
      </c>
      <c r="O19" s="17">
        <v>22.19972915</v>
      </c>
      <c r="P19" s="17">
        <v>18.169652800000001</v>
      </c>
      <c r="Q19" s="17">
        <v>19.00611915</v>
      </c>
      <c r="R19" s="17">
        <v>42.153371149999998</v>
      </c>
      <c r="S19" s="17">
        <v>29.3438126</v>
      </c>
      <c r="T19" s="17">
        <v>20.142848799999999</v>
      </c>
      <c r="U19" s="17">
        <v>27.386849250000001</v>
      </c>
      <c r="V19" s="17">
        <v>11.9374447</v>
      </c>
      <c r="W19" s="17">
        <v>16.752863049999998</v>
      </c>
      <c r="X19" s="17">
        <v>13.534383999999999</v>
      </c>
      <c r="Y19" s="17">
        <v>35.678087150000003</v>
      </c>
      <c r="Z19" s="17">
        <v>19.083412450000001</v>
      </c>
      <c r="AA19" s="17">
        <v>15.74740005</v>
      </c>
      <c r="AB19" s="17">
        <v>34.443881599999997</v>
      </c>
    </row>
    <row r="20" spans="1:28" x14ac:dyDescent="0.2">
      <c r="A20" s="17">
        <v>16</v>
      </c>
      <c r="B20" s="17">
        <v>22.68510045</v>
      </c>
      <c r="C20" s="17">
        <v>22.438427300000001</v>
      </c>
      <c r="D20" s="17">
        <v>29.677016099999999</v>
      </c>
      <c r="E20" s="17">
        <v>14.67147655</v>
      </c>
      <c r="F20" s="17">
        <v>37.5958744</v>
      </c>
      <c r="G20" s="17">
        <v>16.5776617</v>
      </c>
      <c r="H20" s="17">
        <v>21.237956100000002</v>
      </c>
      <c r="I20" s="17">
        <v>15.99500235</v>
      </c>
      <c r="J20" s="17">
        <v>17.759287050000001</v>
      </c>
      <c r="K20" s="17">
        <v>13.76307735</v>
      </c>
      <c r="L20" s="17">
        <v>18.420824450000001</v>
      </c>
      <c r="M20" s="17">
        <v>27.719093000000001</v>
      </c>
      <c r="N20" s="17">
        <v>19.37924795</v>
      </c>
      <c r="O20" s="17">
        <v>21.351682799999999</v>
      </c>
      <c r="P20" s="17">
        <v>15.415056849999999</v>
      </c>
      <c r="Q20" s="17">
        <v>22.805570150000001</v>
      </c>
      <c r="R20" s="17">
        <v>15.0768077</v>
      </c>
      <c r="S20" s="17">
        <v>18.844533850000001</v>
      </c>
      <c r="T20" s="17">
        <v>19.782693250000001</v>
      </c>
      <c r="U20" s="17">
        <v>15.3098236</v>
      </c>
      <c r="V20" s="17">
        <v>24.265480199999999</v>
      </c>
      <c r="W20" s="17">
        <v>22.939024799999999</v>
      </c>
      <c r="X20" s="17">
        <v>27.835038350000001</v>
      </c>
      <c r="Y20" s="17">
        <v>23.123327249999999</v>
      </c>
      <c r="Z20" s="17">
        <v>21.869712400000001</v>
      </c>
      <c r="AA20" s="17">
        <v>18.660440900000001</v>
      </c>
      <c r="AB20" s="17">
        <v>28.117678049999999</v>
      </c>
    </row>
    <row r="21" spans="1:28" x14ac:dyDescent="0.2">
      <c r="A21" s="17">
        <v>17</v>
      </c>
      <c r="B21" s="17">
        <v>12.807385549999999</v>
      </c>
      <c r="C21" s="17">
        <v>14.7843844</v>
      </c>
      <c r="D21" s="17">
        <v>27.809545199999999</v>
      </c>
      <c r="E21" s="17">
        <v>18.058527399999999</v>
      </c>
      <c r="F21" s="17">
        <v>20.105620800000001</v>
      </c>
      <c r="G21" s="17">
        <v>32.438652500000003</v>
      </c>
      <c r="H21" s="17">
        <v>17.0523037</v>
      </c>
      <c r="I21" s="17">
        <v>18.900242349999999</v>
      </c>
      <c r="J21" s="17">
        <v>16.946875899999998</v>
      </c>
      <c r="K21" s="17">
        <v>10.559506499999999</v>
      </c>
      <c r="L21" s="17">
        <v>27.721236000000001</v>
      </c>
      <c r="M21" s="17">
        <v>12.5172191</v>
      </c>
      <c r="N21" s="17">
        <v>25.30759115</v>
      </c>
      <c r="O21" s="17">
        <v>28.1481192</v>
      </c>
      <c r="P21" s="17">
        <v>12.5581516</v>
      </c>
      <c r="Q21" s="17">
        <v>16.65625855</v>
      </c>
      <c r="R21" s="17">
        <v>21.117557000000001</v>
      </c>
      <c r="S21" s="17">
        <v>19.60340785</v>
      </c>
      <c r="T21" s="17">
        <v>15.738687499999999</v>
      </c>
      <c r="U21" s="17">
        <v>14.657822250000001</v>
      </c>
      <c r="V21" s="17">
        <v>34.419752850000002</v>
      </c>
      <c r="W21" s="17">
        <v>15.553118599999999</v>
      </c>
      <c r="X21" s="17">
        <v>54.399841500000001</v>
      </c>
      <c r="Y21" s="17">
        <v>25.036979250000002</v>
      </c>
      <c r="Z21" s="17">
        <v>12.212886749999999</v>
      </c>
      <c r="AA21" s="17">
        <v>29.134056300000001</v>
      </c>
      <c r="AB21" s="17">
        <v>42.234709500000001</v>
      </c>
    </row>
    <row r="22" spans="1:28" x14ac:dyDescent="0.2">
      <c r="A22" s="17">
        <v>18</v>
      </c>
      <c r="B22" s="17" t="s">
        <v>44</v>
      </c>
      <c r="C22" s="17">
        <v>23.287916599999999</v>
      </c>
      <c r="D22" s="17" t="s">
        <v>44</v>
      </c>
      <c r="E22" s="17">
        <v>13.116577749999999</v>
      </c>
      <c r="F22" s="17">
        <v>20.842128500000001</v>
      </c>
      <c r="G22" s="17">
        <v>20.213116400000001</v>
      </c>
      <c r="H22" s="17">
        <v>13.073782899999999</v>
      </c>
      <c r="I22" s="17">
        <v>19.708201750000001</v>
      </c>
      <c r="J22" s="17">
        <v>13.844201</v>
      </c>
      <c r="K22" s="17">
        <v>24.792367899999999</v>
      </c>
      <c r="L22" s="17">
        <v>22.835004000000001</v>
      </c>
      <c r="M22" s="17">
        <v>17.833299700000001</v>
      </c>
      <c r="N22" s="17">
        <v>15.866205150000001</v>
      </c>
      <c r="O22" s="17">
        <v>25.909593000000001</v>
      </c>
      <c r="P22" s="17">
        <v>19.275763649999998</v>
      </c>
      <c r="Q22" s="17">
        <v>22.919215000000001</v>
      </c>
      <c r="R22" s="17">
        <v>16.377180750000001</v>
      </c>
      <c r="S22" s="17">
        <v>17.080485150000001</v>
      </c>
      <c r="T22" s="17">
        <v>23.421174300000001</v>
      </c>
      <c r="U22" s="17">
        <v>21.8537848</v>
      </c>
      <c r="V22" s="17">
        <v>13.341848799999999</v>
      </c>
      <c r="W22" s="17">
        <v>17.769356599999998</v>
      </c>
      <c r="X22" s="17">
        <v>13.388717099999999</v>
      </c>
      <c r="Y22" s="17">
        <v>28.341216150000001</v>
      </c>
      <c r="Z22" s="17">
        <v>15.049695850000001</v>
      </c>
      <c r="AA22" s="17">
        <v>19.223287800000001</v>
      </c>
      <c r="AB22" s="17">
        <v>15.974152</v>
      </c>
    </row>
    <row r="23" spans="1:28" x14ac:dyDescent="0.2">
      <c r="A23" s="17">
        <v>19</v>
      </c>
      <c r="B23" s="17" t="s">
        <v>44</v>
      </c>
      <c r="C23" s="17">
        <v>27.177813050000001</v>
      </c>
      <c r="D23" s="17">
        <v>36.367776249999999</v>
      </c>
      <c r="E23" s="17">
        <v>15.696921700000001</v>
      </c>
      <c r="F23" s="17">
        <v>20.532971700000001</v>
      </c>
      <c r="G23" s="17">
        <v>27.224197199999999</v>
      </c>
      <c r="H23" s="17" t="s">
        <v>44</v>
      </c>
      <c r="I23" s="17">
        <v>16.260664349999999</v>
      </c>
      <c r="J23" s="17" t="s">
        <v>44</v>
      </c>
      <c r="K23" s="17" t="s">
        <v>44</v>
      </c>
      <c r="L23" s="17">
        <v>29.728299150000002</v>
      </c>
      <c r="M23" s="17">
        <v>23.68302035</v>
      </c>
      <c r="N23" s="17">
        <v>20.323208600000001</v>
      </c>
      <c r="O23" s="17" t="s">
        <v>44</v>
      </c>
      <c r="P23" s="17">
        <v>24.844926300000001</v>
      </c>
      <c r="Q23" s="17">
        <v>24.167186000000001</v>
      </c>
      <c r="R23" s="17">
        <v>19.94717795</v>
      </c>
      <c r="S23" s="17">
        <v>34.69018355</v>
      </c>
      <c r="T23" s="17" t="s">
        <v>44</v>
      </c>
      <c r="U23" s="17">
        <v>18.183770299999999</v>
      </c>
      <c r="V23" s="17" t="s">
        <v>44</v>
      </c>
      <c r="W23" s="17" t="s">
        <v>44</v>
      </c>
      <c r="X23" s="17" t="s">
        <v>44</v>
      </c>
      <c r="Y23" s="17">
        <v>37.1085128</v>
      </c>
      <c r="Z23" s="17">
        <v>24.62038145</v>
      </c>
      <c r="AA23" s="17">
        <v>17.232259849999998</v>
      </c>
      <c r="AB23" s="17">
        <v>15.57803255</v>
      </c>
    </row>
    <row r="24" spans="1:28" x14ac:dyDescent="0.2">
      <c r="A24" s="17">
        <v>20</v>
      </c>
      <c r="B24" s="17">
        <v>9.4409576000000008</v>
      </c>
      <c r="C24" s="17">
        <v>31.95925145</v>
      </c>
      <c r="D24" s="17">
        <v>16.743896500000002</v>
      </c>
      <c r="E24" s="17">
        <v>25.268857100000002</v>
      </c>
      <c r="F24" s="17">
        <v>14.627668</v>
      </c>
      <c r="G24" s="17">
        <v>14.3608245</v>
      </c>
      <c r="H24" s="17">
        <v>20.720222849999999</v>
      </c>
      <c r="I24" s="17">
        <v>10.7447409</v>
      </c>
      <c r="J24" s="17">
        <v>23.125049099999998</v>
      </c>
      <c r="K24" s="17">
        <v>13.30648225</v>
      </c>
      <c r="L24" s="17">
        <v>19.9786319</v>
      </c>
      <c r="M24" s="17">
        <v>19.924488799999999</v>
      </c>
      <c r="N24" s="17">
        <v>14.178982400000001</v>
      </c>
      <c r="O24" s="17">
        <v>20.270149150000002</v>
      </c>
      <c r="P24" s="17">
        <v>19.849960849999999</v>
      </c>
      <c r="Q24" s="17">
        <v>22.313559600000001</v>
      </c>
      <c r="R24" s="17">
        <v>16.3325298</v>
      </c>
      <c r="S24" s="17">
        <v>21.383949600000001</v>
      </c>
      <c r="T24" s="17">
        <v>16.188595249999999</v>
      </c>
      <c r="U24" s="17">
        <v>18.1586207</v>
      </c>
      <c r="V24" s="17">
        <v>25.995791100000002</v>
      </c>
      <c r="W24" s="17">
        <v>14.7626627</v>
      </c>
      <c r="X24" s="17">
        <v>24.315140400000001</v>
      </c>
      <c r="Y24" s="17">
        <v>9.1497358500000008</v>
      </c>
      <c r="Z24" s="17">
        <v>9.3937039999999996</v>
      </c>
      <c r="AA24" s="17">
        <v>8.4347966999999997</v>
      </c>
      <c r="AB24" s="17">
        <v>12.3913718</v>
      </c>
    </row>
    <row r="25" spans="1:28" x14ac:dyDescent="0.2">
      <c r="A25" s="17">
        <v>21</v>
      </c>
      <c r="B25" s="17">
        <v>16.2061961</v>
      </c>
      <c r="C25" s="17">
        <v>11.2812667</v>
      </c>
      <c r="D25" s="17">
        <v>17.9038073</v>
      </c>
      <c r="E25" s="17">
        <v>16.037429400000001</v>
      </c>
      <c r="F25" s="17">
        <v>31.7392243</v>
      </c>
      <c r="G25" s="17" t="s">
        <v>44</v>
      </c>
      <c r="H25" s="17">
        <v>9.6456853000000002</v>
      </c>
      <c r="I25" s="17">
        <v>13.086410949999999</v>
      </c>
      <c r="J25" s="17">
        <v>16.06813305</v>
      </c>
      <c r="K25" s="17">
        <v>11.4024658</v>
      </c>
      <c r="L25" s="17">
        <v>12.84706415</v>
      </c>
      <c r="M25" s="17">
        <v>8.5531184000000007</v>
      </c>
      <c r="N25" s="17">
        <v>17.253615400000001</v>
      </c>
      <c r="O25" s="17">
        <v>11.878712800000001</v>
      </c>
      <c r="P25" s="17">
        <v>7.94076</v>
      </c>
      <c r="Q25" s="17" t="s">
        <v>44</v>
      </c>
      <c r="R25" s="17">
        <v>9.8802865000000004</v>
      </c>
      <c r="S25" s="17">
        <v>14.34005835</v>
      </c>
      <c r="T25" s="17">
        <v>13.020369949999999</v>
      </c>
      <c r="U25" s="17">
        <v>12.030537300000001</v>
      </c>
      <c r="V25" s="17">
        <v>10.3965218</v>
      </c>
      <c r="W25" s="17">
        <v>11.96207815</v>
      </c>
      <c r="X25" s="17">
        <v>16.803089100000001</v>
      </c>
      <c r="Y25" s="17">
        <v>11.259945399999999</v>
      </c>
      <c r="Z25" s="17">
        <v>16.02181165</v>
      </c>
      <c r="AA25" s="17">
        <v>12.12471775</v>
      </c>
      <c r="AB25" s="17">
        <v>18.603286950000001</v>
      </c>
    </row>
    <row r="26" spans="1:28" x14ac:dyDescent="0.2">
      <c r="A26" s="17">
        <v>22</v>
      </c>
      <c r="B26" s="17">
        <v>21.3854525</v>
      </c>
      <c r="C26" s="17">
        <v>18.779929750000001</v>
      </c>
      <c r="D26" s="17">
        <v>18.737419549999998</v>
      </c>
      <c r="E26" s="17">
        <v>19.882554349999999</v>
      </c>
      <c r="F26" s="17">
        <v>27.27624715</v>
      </c>
      <c r="G26" s="17">
        <v>14.7702057</v>
      </c>
      <c r="H26" s="17">
        <v>13.88243065</v>
      </c>
      <c r="I26" s="17">
        <v>10.800724049999999</v>
      </c>
      <c r="J26" s="17">
        <v>30.245091800000001</v>
      </c>
      <c r="K26" s="17">
        <v>15.965317750000001</v>
      </c>
      <c r="L26" s="17">
        <v>13.0648692</v>
      </c>
      <c r="M26" s="17">
        <v>18.132530800000001</v>
      </c>
      <c r="N26" s="17">
        <v>27.523860750000001</v>
      </c>
      <c r="O26" s="17">
        <v>23.478500449999999</v>
      </c>
      <c r="P26" s="17">
        <v>22.189060349999998</v>
      </c>
      <c r="Q26" s="17">
        <v>17.894755249999999</v>
      </c>
      <c r="R26" s="17">
        <v>15.68964375</v>
      </c>
      <c r="S26" s="17">
        <v>27.1698865</v>
      </c>
      <c r="T26" s="17">
        <v>11.577814399999999</v>
      </c>
      <c r="U26" s="17">
        <v>16.566927150000001</v>
      </c>
      <c r="V26" s="17">
        <v>18.1461787</v>
      </c>
      <c r="W26" s="17">
        <v>16.9453633</v>
      </c>
      <c r="X26" s="17">
        <v>13.614800499999999</v>
      </c>
      <c r="Y26" s="17">
        <v>55.678904199999998</v>
      </c>
      <c r="Z26" s="17">
        <v>26.035408199999999</v>
      </c>
      <c r="AA26" s="17">
        <v>21.785952949999999</v>
      </c>
      <c r="AB26" s="17">
        <v>15.0512494</v>
      </c>
    </row>
    <row r="27" spans="1:28" x14ac:dyDescent="0.2">
      <c r="A27" s="17">
        <v>23</v>
      </c>
      <c r="B27" s="17">
        <v>36.541051549999999</v>
      </c>
      <c r="C27" s="17">
        <v>13.969723050000001</v>
      </c>
      <c r="D27" s="17">
        <v>25.870252749999999</v>
      </c>
      <c r="E27" s="17">
        <v>10.238685650000001</v>
      </c>
      <c r="F27" s="17">
        <v>15.656758549999999</v>
      </c>
      <c r="G27" s="17">
        <v>23.548294250000001</v>
      </c>
      <c r="H27" s="17">
        <v>30.110488499999999</v>
      </c>
      <c r="I27" s="17">
        <v>17.7254051</v>
      </c>
      <c r="J27" s="17">
        <v>20.925015200000001</v>
      </c>
      <c r="K27" s="17">
        <v>18.333251499999999</v>
      </c>
      <c r="L27" s="17">
        <v>18.089533450000001</v>
      </c>
      <c r="M27" s="17">
        <v>12.08215025</v>
      </c>
      <c r="N27" s="17">
        <v>19.567344500000001</v>
      </c>
      <c r="O27" s="17">
        <v>14.94889435</v>
      </c>
      <c r="P27" s="17">
        <v>11.973018</v>
      </c>
      <c r="Q27" s="17">
        <v>14.282192950000001</v>
      </c>
      <c r="R27" s="17">
        <v>12.8715273</v>
      </c>
      <c r="S27" s="17">
        <v>16.265181900000002</v>
      </c>
      <c r="T27" s="17">
        <v>10.0242475</v>
      </c>
      <c r="U27" s="17">
        <v>10.348973000000001</v>
      </c>
      <c r="V27" s="17">
        <v>24.506359400000001</v>
      </c>
      <c r="W27" s="17">
        <v>10.7956822</v>
      </c>
      <c r="X27" s="17">
        <v>16.80043105</v>
      </c>
      <c r="Y27" s="17">
        <v>15.940047699999999</v>
      </c>
      <c r="Z27" s="17">
        <v>28.275093900000002</v>
      </c>
      <c r="AA27" s="17">
        <v>12.07004345</v>
      </c>
      <c r="AB27" s="17">
        <v>15.423231149999999</v>
      </c>
    </row>
    <row r="28" spans="1:28" x14ac:dyDescent="0.2">
      <c r="A28" s="17">
        <v>24</v>
      </c>
      <c r="B28" s="17" t="s">
        <v>44</v>
      </c>
      <c r="C28" s="17">
        <v>32.912287249999999</v>
      </c>
      <c r="D28" s="17">
        <v>25.5256282</v>
      </c>
      <c r="E28" s="17">
        <v>21.094740699999999</v>
      </c>
      <c r="F28" s="17">
        <v>13.8679328</v>
      </c>
      <c r="G28" s="17">
        <v>28.6179992</v>
      </c>
      <c r="H28" s="17">
        <v>21.864748649999999</v>
      </c>
      <c r="I28" s="17">
        <v>15.45864375</v>
      </c>
      <c r="J28" s="17">
        <v>14.80247475</v>
      </c>
      <c r="K28" s="17">
        <v>25.239304350000001</v>
      </c>
      <c r="L28" s="17">
        <v>27.357765199999999</v>
      </c>
      <c r="M28" s="17">
        <v>14.66344745</v>
      </c>
      <c r="N28" s="17">
        <v>14.212035500000001</v>
      </c>
      <c r="O28" s="17">
        <v>14.121551999999999</v>
      </c>
      <c r="P28" s="17">
        <v>13.851924500000001</v>
      </c>
      <c r="Q28" s="17">
        <v>28.772700149999999</v>
      </c>
      <c r="R28" s="17">
        <v>13.4437961</v>
      </c>
      <c r="S28" s="17">
        <v>19.553604499999999</v>
      </c>
      <c r="T28" s="17">
        <v>18.7492856</v>
      </c>
      <c r="U28" s="17">
        <v>20.919820000000001</v>
      </c>
      <c r="V28" s="17">
        <v>10.861216150000001</v>
      </c>
      <c r="W28" s="17">
        <v>17.697225799999998</v>
      </c>
      <c r="X28" s="17">
        <v>30.8277508</v>
      </c>
      <c r="Y28" s="17">
        <v>20.960494499999999</v>
      </c>
      <c r="Z28" s="17">
        <v>13.827685600000001</v>
      </c>
      <c r="AA28" s="17">
        <v>18.287716849999999</v>
      </c>
      <c r="AB28" s="17">
        <v>36.039961900000002</v>
      </c>
    </row>
    <row r="29" spans="1:28" x14ac:dyDescent="0.2">
      <c r="A29" s="17">
        <v>25</v>
      </c>
      <c r="B29" s="17">
        <v>25.483632400000001</v>
      </c>
      <c r="C29" s="17">
        <v>25.326154150000001</v>
      </c>
      <c r="D29" s="17">
        <v>20.03033065</v>
      </c>
      <c r="E29" s="17">
        <v>37.81015945</v>
      </c>
      <c r="F29" s="17">
        <v>19.652828599999999</v>
      </c>
      <c r="G29" s="17">
        <v>31.56602445</v>
      </c>
      <c r="H29" s="17">
        <v>20.079886250000001</v>
      </c>
      <c r="I29" s="17">
        <v>20.7392705</v>
      </c>
      <c r="J29" s="17">
        <v>20.725835249999999</v>
      </c>
      <c r="K29" s="17">
        <v>32.564071400000003</v>
      </c>
      <c r="L29" s="17">
        <v>37.178935199999998</v>
      </c>
      <c r="M29" s="17">
        <v>34.44036535</v>
      </c>
      <c r="N29" s="17">
        <v>20.702973149999998</v>
      </c>
      <c r="O29" s="17" t="s">
        <v>44</v>
      </c>
      <c r="P29" s="17">
        <v>10.827432050000001</v>
      </c>
      <c r="Q29" s="17">
        <v>34.457598949999998</v>
      </c>
      <c r="R29" s="17">
        <v>23.442198049999998</v>
      </c>
      <c r="S29" s="17">
        <v>21.665970550000001</v>
      </c>
      <c r="T29" s="17">
        <v>38.832549700000001</v>
      </c>
      <c r="U29" s="17">
        <v>29.330472499999999</v>
      </c>
      <c r="V29" s="17">
        <v>34.757401649999998</v>
      </c>
      <c r="W29" s="17">
        <v>25.955999299999998</v>
      </c>
      <c r="X29" s="17">
        <v>31.80372285</v>
      </c>
      <c r="Y29" s="17">
        <v>47.819153100000001</v>
      </c>
      <c r="Z29" s="17">
        <v>16.084254099999999</v>
      </c>
      <c r="AA29" s="17">
        <v>14.725121250000001</v>
      </c>
      <c r="AB29" s="17">
        <v>17.570445249999999</v>
      </c>
    </row>
    <row r="30" spans="1:28" x14ac:dyDescent="0.2">
      <c r="A30" s="17">
        <v>26</v>
      </c>
      <c r="B30" s="17">
        <v>18.554687250000001</v>
      </c>
      <c r="C30" s="17">
        <v>33.131394550000003</v>
      </c>
      <c r="D30" s="17">
        <v>59.400211200000001</v>
      </c>
      <c r="E30" s="17">
        <v>28.12567735</v>
      </c>
      <c r="F30" s="17">
        <v>25.303291600000001</v>
      </c>
      <c r="G30" s="17">
        <v>24.361765500000001</v>
      </c>
      <c r="H30" s="17">
        <v>58.051802049999999</v>
      </c>
      <c r="I30" s="17">
        <v>17.4922167</v>
      </c>
      <c r="J30" s="17">
        <v>27.771442749999999</v>
      </c>
      <c r="K30" s="17">
        <v>20.66137715</v>
      </c>
      <c r="L30" s="17">
        <v>20.523422400000001</v>
      </c>
      <c r="M30" s="17">
        <v>22.935706450000001</v>
      </c>
      <c r="N30" s="17">
        <v>14.4992763</v>
      </c>
      <c r="O30" s="17">
        <v>23.552489699999999</v>
      </c>
      <c r="P30" s="17">
        <v>19.54638525</v>
      </c>
      <c r="Q30" s="17">
        <v>42.211631799999999</v>
      </c>
      <c r="R30" s="17">
        <v>24.900356049999999</v>
      </c>
      <c r="S30" s="17">
        <v>39.957459550000003</v>
      </c>
      <c r="T30" s="17">
        <v>38.524169100000002</v>
      </c>
      <c r="U30" s="17">
        <v>22.416300249999999</v>
      </c>
      <c r="V30" s="17">
        <v>22.561170600000001</v>
      </c>
      <c r="W30" s="17">
        <v>25.443489</v>
      </c>
      <c r="X30" s="17">
        <v>21.852309949999999</v>
      </c>
      <c r="Y30" s="17">
        <v>15.624294900000001</v>
      </c>
      <c r="Z30" s="17">
        <v>19.1526143</v>
      </c>
      <c r="AA30" s="17">
        <v>20.06758615</v>
      </c>
      <c r="AB30" s="17">
        <v>23.4077278</v>
      </c>
    </row>
    <row r="31" spans="1:28" x14ac:dyDescent="0.2">
      <c r="A31" s="17">
        <v>27</v>
      </c>
      <c r="B31" s="17">
        <v>21.450639450000001</v>
      </c>
      <c r="C31" s="17">
        <v>13.515535849999999</v>
      </c>
      <c r="D31" s="17">
        <v>20.413848550000001</v>
      </c>
      <c r="E31" s="17">
        <v>12.70465995</v>
      </c>
      <c r="F31" s="17">
        <v>23.701808</v>
      </c>
      <c r="G31" s="17">
        <v>15.6936909</v>
      </c>
      <c r="H31" s="17">
        <v>17.349281650000002</v>
      </c>
      <c r="I31" s="17">
        <v>10.55064675</v>
      </c>
      <c r="J31" s="17">
        <v>16.874970600000001</v>
      </c>
      <c r="K31" s="17">
        <v>17.23052655</v>
      </c>
      <c r="L31" s="17">
        <v>16.388498299999998</v>
      </c>
      <c r="M31" s="17">
        <v>37.457164249999998</v>
      </c>
      <c r="N31" s="17">
        <v>12.27274105</v>
      </c>
      <c r="O31" s="17">
        <v>22.250818450000001</v>
      </c>
      <c r="P31" s="17">
        <v>8.4456026000000008</v>
      </c>
      <c r="Q31" s="17">
        <v>23.44916735</v>
      </c>
      <c r="R31" s="17">
        <v>16.87788785</v>
      </c>
      <c r="S31" s="17">
        <v>21.79873825</v>
      </c>
      <c r="T31" s="17">
        <v>19.392170950000001</v>
      </c>
      <c r="U31" s="17">
        <v>10.77843545</v>
      </c>
      <c r="V31" s="17">
        <v>10.1333292</v>
      </c>
      <c r="W31" s="17">
        <v>21.350579100000001</v>
      </c>
      <c r="X31" s="17">
        <v>16.577668500000001</v>
      </c>
      <c r="Y31" s="17">
        <v>13.11736295</v>
      </c>
      <c r="Z31" s="17">
        <v>19.014492400000002</v>
      </c>
      <c r="AA31" s="17">
        <v>17.027047499999998</v>
      </c>
      <c r="AB31" s="17">
        <v>12.7694396</v>
      </c>
    </row>
    <row r="32" spans="1:28" x14ac:dyDescent="0.2">
      <c r="A32" s="17">
        <v>28</v>
      </c>
      <c r="B32" s="17" t="s">
        <v>44</v>
      </c>
      <c r="C32" s="17">
        <v>12.885119100000001</v>
      </c>
      <c r="D32" s="17">
        <v>11.513537599999999</v>
      </c>
      <c r="E32" s="17">
        <v>16.913414549999999</v>
      </c>
      <c r="F32" s="17">
        <v>21.773819</v>
      </c>
      <c r="G32" s="17">
        <v>10.6754701</v>
      </c>
      <c r="H32" s="17">
        <v>17.1679855</v>
      </c>
      <c r="I32" s="17">
        <v>18.3195114</v>
      </c>
      <c r="J32" s="17">
        <v>14.0382353</v>
      </c>
      <c r="K32" s="17">
        <v>13.3760174</v>
      </c>
      <c r="L32" s="17">
        <v>18.639561799999999</v>
      </c>
      <c r="M32" s="17">
        <v>16.407974299999999</v>
      </c>
      <c r="N32" s="17">
        <v>10.79664365</v>
      </c>
      <c r="O32" s="17">
        <v>24.890802350000001</v>
      </c>
      <c r="P32" s="17">
        <v>14.29659075</v>
      </c>
      <c r="Q32" s="17">
        <v>12.05518625</v>
      </c>
      <c r="R32" s="17">
        <v>31.904602400000002</v>
      </c>
      <c r="S32" s="17">
        <v>12.293605749999999</v>
      </c>
      <c r="T32" s="17">
        <v>13.02017075</v>
      </c>
      <c r="U32" s="17">
        <v>15.757454900000001</v>
      </c>
      <c r="V32" s="17">
        <v>14.0663997</v>
      </c>
      <c r="W32" s="17">
        <v>10.115092000000001</v>
      </c>
      <c r="X32" s="17">
        <v>18.370457200000001</v>
      </c>
      <c r="Y32" s="17">
        <v>12.7999185</v>
      </c>
      <c r="Z32" s="17">
        <v>14.35608715</v>
      </c>
      <c r="AA32" s="17">
        <v>13.454882400000001</v>
      </c>
      <c r="AB32" s="17">
        <v>17.485558399999999</v>
      </c>
    </row>
    <row r="33" spans="1:28" x14ac:dyDescent="0.2">
      <c r="A33" s="17">
        <v>29</v>
      </c>
      <c r="B33" s="17">
        <v>18.582331799999999</v>
      </c>
      <c r="C33" s="17">
        <v>16.667456999999999</v>
      </c>
      <c r="D33" s="17">
        <v>21.218994949999999</v>
      </c>
      <c r="E33" s="17">
        <v>27.439079400000001</v>
      </c>
      <c r="F33" s="17">
        <v>20.578238500000001</v>
      </c>
      <c r="G33" s="17">
        <v>23.179602299999999</v>
      </c>
      <c r="H33" s="17">
        <v>16.321441449999998</v>
      </c>
      <c r="I33" s="17">
        <v>16.856735950000001</v>
      </c>
      <c r="J33" s="17">
        <v>16.248931899999999</v>
      </c>
      <c r="K33" s="17">
        <v>22.571358</v>
      </c>
      <c r="L33" s="17">
        <v>17.448978149999999</v>
      </c>
      <c r="M33" s="17">
        <v>14.099714150000001</v>
      </c>
      <c r="N33" s="17">
        <v>15.86052465</v>
      </c>
      <c r="O33" s="17">
        <v>18.017506399999998</v>
      </c>
      <c r="P33" s="17">
        <v>18.013946449999999</v>
      </c>
      <c r="Q33" s="17">
        <v>17.561924950000002</v>
      </c>
      <c r="R33" s="17">
        <v>22.8905271</v>
      </c>
      <c r="S33" s="17">
        <v>22.6308115</v>
      </c>
      <c r="T33" s="17">
        <v>22.8200368</v>
      </c>
      <c r="U33" s="17">
        <v>23.343008050000002</v>
      </c>
      <c r="V33" s="17">
        <v>16.128664499999999</v>
      </c>
      <c r="W33" s="17">
        <v>13.8171436</v>
      </c>
      <c r="X33" s="17">
        <v>16.765578049999998</v>
      </c>
      <c r="Y33" s="17">
        <v>29.116815450000001</v>
      </c>
      <c r="Z33" s="17">
        <v>20.007712349999998</v>
      </c>
      <c r="AA33" s="17">
        <v>10.013796149999999</v>
      </c>
      <c r="AB33" s="17">
        <v>19.2809496</v>
      </c>
    </row>
    <row r="34" spans="1:28" x14ac:dyDescent="0.2">
      <c r="A34" s="17">
        <v>30</v>
      </c>
      <c r="B34" s="17">
        <v>18.099885499999999</v>
      </c>
      <c r="C34" s="17">
        <v>27.326600500000001</v>
      </c>
      <c r="D34" s="17">
        <v>32.481589849999999</v>
      </c>
      <c r="E34" s="17">
        <v>27.346251500000001</v>
      </c>
      <c r="F34" s="17">
        <v>18.9914798</v>
      </c>
      <c r="G34" s="17">
        <v>16.037788299999999</v>
      </c>
      <c r="H34" s="17">
        <v>21.892067099999998</v>
      </c>
      <c r="I34" s="17">
        <v>11.5216022</v>
      </c>
      <c r="J34" s="17">
        <v>17.675658500000001</v>
      </c>
      <c r="K34" s="17">
        <v>13.82664535</v>
      </c>
      <c r="L34" s="17">
        <v>13.316452249999999</v>
      </c>
      <c r="M34" s="17">
        <v>29.3247936</v>
      </c>
      <c r="N34" s="17">
        <v>13.3307895</v>
      </c>
      <c r="O34" s="17">
        <v>36.487194299999999</v>
      </c>
      <c r="P34" s="17">
        <v>18.2866708</v>
      </c>
      <c r="Q34" s="17">
        <v>29.102131050000001</v>
      </c>
      <c r="R34" s="17">
        <v>8.5621240000000007</v>
      </c>
      <c r="S34" s="17">
        <v>11.634988399999999</v>
      </c>
      <c r="T34" s="17">
        <v>32.124815249999997</v>
      </c>
      <c r="U34" s="17">
        <v>13.289258800000001</v>
      </c>
      <c r="V34" s="17">
        <v>27.837458000000002</v>
      </c>
      <c r="W34" s="17">
        <v>17.02831625</v>
      </c>
      <c r="X34" s="17">
        <v>17.424528550000002</v>
      </c>
      <c r="Y34" s="17">
        <v>19.18339825</v>
      </c>
      <c r="Z34" s="17">
        <v>16.45848355</v>
      </c>
      <c r="AA34" s="17">
        <v>5.8967942000000004</v>
      </c>
      <c r="AB34" s="17">
        <v>18.109621199999999</v>
      </c>
    </row>
    <row r="35" spans="1:28" x14ac:dyDescent="0.2">
      <c r="A35" s="17">
        <v>31</v>
      </c>
      <c r="B35" s="17" t="s">
        <v>44</v>
      </c>
      <c r="C35" s="17">
        <v>34.407944700000002</v>
      </c>
      <c r="D35" s="17">
        <v>25.71435915</v>
      </c>
      <c r="E35" s="17">
        <v>15.581455549999999</v>
      </c>
      <c r="F35" s="17">
        <v>18.301281800000002</v>
      </c>
      <c r="G35" s="17">
        <v>24.4043314</v>
      </c>
      <c r="H35" s="17">
        <v>17.884445450000001</v>
      </c>
      <c r="I35" s="17">
        <v>21.31167765</v>
      </c>
      <c r="J35" s="17">
        <v>15.845826600000001</v>
      </c>
      <c r="K35" s="17">
        <v>24.236195500000001</v>
      </c>
      <c r="L35" s="17">
        <v>37.886534400000002</v>
      </c>
      <c r="M35" s="17">
        <v>23.597618000000001</v>
      </c>
      <c r="N35" s="17">
        <v>15.635702200000001</v>
      </c>
      <c r="O35" s="17">
        <v>18.447269800000001</v>
      </c>
      <c r="P35" s="17">
        <v>11.7984726</v>
      </c>
      <c r="Q35" s="17">
        <v>14.02586485</v>
      </c>
      <c r="R35" s="17">
        <v>21.43169945</v>
      </c>
      <c r="S35" s="17">
        <v>17.334005999999999</v>
      </c>
      <c r="T35" s="17">
        <v>25.670362399999998</v>
      </c>
      <c r="U35" s="17">
        <v>15.22809475</v>
      </c>
      <c r="V35" s="17">
        <v>18.055234550000002</v>
      </c>
      <c r="W35" s="17">
        <v>29.00684455</v>
      </c>
      <c r="X35" s="17" t="s">
        <v>44</v>
      </c>
      <c r="Y35" s="17">
        <v>15.0530949</v>
      </c>
      <c r="Z35" s="17">
        <v>15.39861045</v>
      </c>
      <c r="AA35" s="17">
        <v>18.404934300000001</v>
      </c>
      <c r="AB35" s="17">
        <v>17.504856400000001</v>
      </c>
    </row>
    <row r="36" spans="1:28" x14ac:dyDescent="0.2">
      <c r="A36" s="17">
        <v>32</v>
      </c>
      <c r="B36" s="17">
        <v>22.111441800000001</v>
      </c>
      <c r="C36" s="17">
        <v>16.878691400000001</v>
      </c>
      <c r="D36" s="17">
        <v>19.420895300000002</v>
      </c>
      <c r="E36" s="17">
        <v>15.50243135</v>
      </c>
      <c r="F36" s="17">
        <v>8.5129368499999991</v>
      </c>
      <c r="G36" s="17">
        <v>25.527155100000002</v>
      </c>
      <c r="H36" s="17">
        <v>20.797870150000001</v>
      </c>
      <c r="I36" s="17">
        <v>19.2983601</v>
      </c>
      <c r="J36" s="17">
        <v>12.9442965</v>
      </c>
      <c r="K36" s="17">
        <v>19.4698457</v>
      </c>
      <c r="L36" s="17">
        <v>17.527944049999999</v>
      </c>
      <c r="M36" s="17">
        <v>12.537315250000001</v>
      </c>
      <c r="N36" s="17">
        <v>17.690764699999999</v>
      </c>
      <c r="O36" s="17">
        <v>5.7044137499999996</v>
      </c>
      <c r="P36" s="17">
        <v>18.299846800000001</v>
      </c>
      <c r="Q36" s="17">
        <v>15.36786665</v>
      </c>
      <c r="R36" s="17">
        <v>14.13374275</v>
      </c>
      <c r="S36" s="17">
        <v>30.953663299999999</v>
      </c>
      <c r="T36" s="17">
        <v>15.493597899999999</v>
      </c>
      <c r="U36" s="17">
        <v>20.976844849999999</v>
      </c>
      <c r="V36" s="17">
        <v>12.68962275</v>
      </c>
      <c r="W36" s="17">
        <v>10.50174195</v>
      </c>
      <c r="X36" s="17">
        <v>11.906929249999999</v>
      </c>
      <c r="Y36" s="17">
        <v>14.9799937</v>
      </c>
      <c r="Z36" s="17">
        <v>15.982523349999999</v>
      </c>
      <c r="AA36" s="17">
        <v>25.84851935</v>
      </c>
      <c r="AB36" s="17">
        <v>20.693954949999998</v>
      </c>
    </row>
    <row r="37" spans="1:28" x14ac:dyDescent="0.2">
      <c r="A37" s="17">
        <v>33</v>
      </c>
      <c r="B37" s="17">
        <v>36.813493399999999</v>
      </c>
      <c r="C37" s="17">
        <v>43.014361600000001</v>
      </c>
      <c r="D37" s="17">
        <v>14.823253299999999</v>
      </c>
      <c r="E37" s="17">
        <v>13.696205450000001</v>
      </c>
      <c r="F37" s="17">
        <v>30.560029950000001</v>
      </c>
      <c r="G37" s="17">
        <v>26.142906400000001</v>
      </c>
      <c r="H37" s="17">
        <v>24.478598999999999</v>
      </c>
      <c r="I37" s="17">
        <v>17.398544099999999</v>
      </c>
      <c r="J37" s="17" t="s">
        <v>44</v>
      </c>
      <c r="K37" s="17">
        <v>18.462353950000001</v>
      </c>
      <c r="L37" s="17">
        <v>27.917965899999999</v>
      </c>
      <c r="M37" s="17">
        <v>53.758036250000004</v>
      </c>
      <c r="N37" s="17">
        <v>13.747200100000001</v>
      </c>
      <c r="O37" s="17">
        <v>14.78435795</v>
      </c>
      <c r="P37" s="17">
        <v>16.081538049999999</v>
      </c>
      <c r="Q37" s="17">
        <v>22.818151350000001</v>
      </c>
      <c r="R37" s="17">
        <v>23.2854095</v>
      </c>
      <c r="S37" s="17">
        <v>22.689061450000001</v>
      </c>
      <c r="T37" s="17">
        <v>39.387888199999999</v>
      </c>
      <c r="U37" s="17">
        <v>11.3656568</v>
      </c>
      <c r="V37" s="17">
        <v>15.85573555</v>
      </c>
      <c r="W37" s="17">
        <v>13.866891900000001</v>
      </c>
      <c r="X37" s="17">
        <v>10.83239575</v>
      </c>
      <c r="Y37" s="17">
        <v>16.731587449999999</v>
      </c>
      <c r="Z37" s="17">
        <v>11.483593150000001</v>
      </c>
      <c r="AA37" s="17">
        <v>5.19514795</v>
      </c>
      <c r="AB37" s="17">
        <v>19.180443950000001</v>
      </c>
    </row>
    <row r="38" spans="1:28" x14ac:dyDescent="0.2">
      <c r="A38" s="17">
        <v>34</v>
      </c>
      <c r="B38" s="17">
        <v>17.536399400000001</v>
      </c>
      <c r="C38" s="17">
        <v>17.419324849999999</v>
      </c>
      <c r="D38" s="17">
        <v>15.457372449999999</v>
      </c>
      <c r="E38" s="17">
        <v>19.732673200000001</v>
      </c>
      <c r="F38" s="17">
        <v>28.928453699999999</v>
      </c>
      <c r="G38" s="17">
        <v>13.384218450000001</v>
      </c>
      <c r="H38" s="17">
        <v>12.7577587</v>
      </c>
      <c r="I38" s="17">
        <v>16.74994225</v>
      </c>
      <c r="J38" s="17">
        <v>24.3890934</v>
      </c>
      <c r="K38" s="17">
        <v>13.97018325</v>
      </c>
      <c r="L38" s="17">
        <v>25.725440299999999</v>
      </c>
      <c r="M38" s="17">
        <v>47.768144249999999</v>
      </c>
      <c r="N38" s="17">
        <v>19.860388199999999</v>
      </c>
      <c r="O38" s="17">
        <v>12.171393699999999</v>
      </c>
      <c r="P38" s="17">
        <v>8.4470107500000005</v>
      </c>
      <c r="Q38" s="17">
        <v>14.84365805</v>
      </c>
      <c r="R38" s="17">
        <v>27.666274949999998</v>
      </c>
      <c r="S38" s="17">
        <v>12.94430595</v>
      </c>
      <c r="T38" s="17">
        <v>11.344432100000001</v>
      </c>
      <c r="U38" s="17">
        <v>13.7742133</v>
      </c>
      <c r="V38" s="17">
        <v>35.064409499999996</v>
      </c>
      <c r="W38" s="17">
        <v>29.326038499999999</v>
      </c>
      <c r="X38" s="17">
        <v>10.1402187</v>
      </c>
      <c r="Y38" s="17">
        <v>8.5617209499999998</v>
      </c>
      <c r="Z38" s="17" t="s">
        <v>44</v>
      </c>
      <c r="AA38" s="17">
        <v>6.9341067499999998</v>
      </c>
      <c r="AB38" s="17">
        <v>16.644931799999998</v>
      </c>
    </row>
    <row r="39" spans="1:28" x14ac:dyDescent="0.2">
      <c r="A39" s="17">
        <v>35</v>
      </c>
      <c r="B39" s="17">
        <v>12.7777531</v>
      </c>
      <c r="C39" s="17">
        <v>15.8905473</v>
      </c>
      <c r="D39" s="17">
        <v>20.464271549999999</v>
      </c>
      <c r="E39" s="17">
        <v>8.0315472000000003</v>
      </c>
      <c r="F39" s="17">
        <v>11.219894</v>
      </c>
      <c r="G39" s="17" t="s">
        <v>44</v>
      </c>
      <c r="H39" s="17">
        <v>22.66490005</v>
      </c>
      <c r="I39" s="17">
        <v>15.3305718</v>
      </c>
      <c r="J39" s="17">
        <v>14.857165999999999</v>
      </c>
      <c r="K39" s="17">
        <v>9.8116032499999992</v>
      </c>
      <c r="L39" s="17">
        <v>15.438055350000001</v>
      </c>
      <c r="M39" s="17">
        <v>14.146970899999999</v>
      </c>
      <c r="N39" s="17">
        <v>8.5798266000000005</v>
      </c>
      <c r="O39" s="17">
        <v>15.749735100000001</v>
      </c>
      <c r="P39" s="17">
        <v>14.515331249999999</v>
      </c>
      <c r="Q39" s="17">
        <v>15.80925</v>
      </c>
      <c r="R39" s="17">
        <v>16.285896050000002</v>
      </c>
      <c r="S39" s="17">
        <v>26.501508699999999</v>
      </c>
      <c r="T39" s="17">
        <v>11.6288681</v>
      </c>
      <c r="U39" s="17">
        <v>10.27679255</v>
      </c>
      <c r="V39" s="17">
        <v>15.864538550000001</v>
      </c>
      <c r="W39" s="17">
        <v>10.83315195</v>
      </c>
      <c r="X39" s="17">
        <v>6.2769101999999997</v>
      </c>
      <c r="Y39" s="17">
        <v>14.843745950000001</v>
      </c>
      <c r="Z39" s="17">
        <v>15.4330424</v>
      </c>
      <c r="AA39" s="17">
        <v>11.0325849</v>
      </c>
      <c r="AB39" s="17">
        <v>19.125446650000001</v>
      </c>
    </row>
    <row r="40" spans="1:28" x14ac:dyDescent="0.2">
      <c r="A40" s="17">
        <v>36</v>
      </c>
      <c r="B40" s="17">
        <v>21.55271235</v>
      </c>
      <c r="C40" s="17">
        <v>12.979302049999999</v>
      </c>
      <c r="D40" s="17">
        <v>21.151008600000001</v>
      </c>
      <c r="E40" s="17">
        <v>14.9695897</v>
      </c>
      <c r="F40" s="17">
        <v>11.7371607</v>
      </c>
      <c r="G40" s="17">
        <v>15.640804449999999</v>
      </c>
      <c r="H40" s="17">
        <v>17.158453300000001</v>
      </c>
      <c r="I40" s="17">
        <v>16.349753199999999</v>
      </c>
      <c r="J40" s="17">
        <v>12.474454250000001</v>
      </c>
      <c r="K40" s="17">
        <v>14.88808665</v>
      </c>
      <c r="L40" s="17">
        <v>19.370992149999999</v>
      </c>
      <c r="M40" s="17">
        <v>16.169263399999998</v>
      </c>
      <c r="N40" s="17">
        <v>9.9219901999999998</v>
      </c>
      <c r="O40" s="17">
        <v>21.633904300000001</v>
      </c>
      <c r="P40" s="17">
        <v>10.23089905</v>
      </c>
      <c r="Q40" s="17">
        <v>15.24818295</v>
      </c>
      <c r="R40" s="17">
        <v>13.05819415</v>
      </c>
      <c r="S40" s="17">
        <v>19.310826949999999</v>
      </c>
      <c r="T40" s="17">
        <v>10.91908735</v>
      </c>
      <c r="U40" s="17">
        <v>37.154568599999998</v>
      </c>
      <c r="V40" s="17">
        <v>12.39849925</v>
      </c>
      <c r="W40" s="17">
        <v>12.151252850000001</v>
      </c>
      <c r="X40" s="17">
        <v>7.7291369000000003</v>
      </c>
      <c r="Y40" s="17">
        <v>22.310181799999999</v>
      </c>
      <c r="Z40" s="17">
        <v>18.956885499999999</v>
      </c>
      <c r="AA40" s="17">
        <v>10.786596299999999</v>
      </c>
      <c r="AB40" s="17">
        <v>16.95657615</v>
      </c>
    </row>
    <row r="41" spans="1:28" x14ac:dyDescent="0.2">
      <c r="A41" s="17">
        <v>37</v>
      </c>
      <c r="B41" s="17">
        <v>11.353729899999999</v>
      </c>
      <c r="C41" s="17">
        <v>33.215083249999999</v>
      </c>
      <c r="D41" s="17">
        <v>14.16285955</v>
      </c>
      <c r="E41" s="17">
        <v>18.163503800000001</v>
      </c>
      <c r="F41" s="17">
        <v>13.42670545</v>
      </c>
      <c r="G41" s="17">
        <v>16.258828000000001</v>
      </c>
      <c r="H41" s="17">
        <v>16.581141649999999</v>
      </c>
      <c r="I41" s="17">
        <v>19.356787700000002</v>
      </c>
      <c r="J41" s="17" t="s">
        <v>44</v>
      </c>
      <c r="K41" s="17">
        <v>25.109282700000001</v>
      </c>
      <c r="L41" s="17">
        <v>17.0663497</v>
      </c>
      <c r="M41" s="17">
        <v>19.9133569</v>
      </c>
      <c r="N41" s="17">
        <v>14.5073758</v>
      </c>
      <c r="O41" s="17">
        <v>20.515597450000001</v>
      </c>
      <c r="P41" s="17">
        <v>19.941815299999998</v>
      </c>
      <c r="Q41" s="17">
        <v>23.757815099999998</v>
      </c>
      <c r="R41" s="17">
        <v>23.34650005</v>
      </c>
      <c r="S41" s="17">
        <v>15.10616965</v>
      </c>
      <c r="T41" s="17">
        <v>10.047034549999999</v>
      </c>
      <c r="U41" s="17">
        <v>11.3143189</v>
      </c>
      <c r="V41" s="17">
        <v>26.691904000000001</v>
      </c>
      <c r="W41" s="17">
        <v>3.4031159</v>
      </c>
      <c r="X41" s="17">
        <v>8.1357602</v>
      </c>
      <c r="Y41" s="17">
        <v>16.3251378</v>
      </c>
      <c r="Z41" s="17">
        <v>19.711455600000001</v>
      </c>
      <c r="AA41" s="17">
        <v>14.94352525</v>
      </c>
      <c r="AB41" s="17">
        <v>14.421397499999999</v>
      </c>
    </row>
    <row r="42" spans="1:28" x14ac:dyDescent="0.2">
      <c r="A42" s="17">
        <v>38</v>
      </c>
      <c r="B42" s="17">
        <v>16.485702199999999</v>
      </c>
      <c r="C42" s="17">
        <v>14.62899925</v>
      </c>
      <c r="D42" s="17">
        <v>28.893786850000001</v>
      </c>
      <c r="E42" s="17">
        <v>19.244581100000001</v>
      </c>
      <c r="F42" s="17">
        <v>25.824877799999999</v>
      </c>
      <c r="G42" s="17">
        <v>19.0968403</v>
      </c>
      <c r="H42" s="17">
        <v>15.50112305</v>
      </c>
      <c r="I42" s="17">
        <v>13.30691105</v>
      </c>
      <c r="J42" s="17">
        <v>21.795318300000002</v>
      </c>
      <c r="K42" s="17">
        <v>21.293517999999999</v>
      </c>
      <c r="L42" s="17">
        <v>24.433112049999998</v>
      </c>
      <c r="M42" s="17">
        <v>27.773729849999999</v>
      </c>
      <c r="N42" s="17">
        <v>16.84089715</v>
      </c>
      <c r="O42" s="17">
        <v>13.92825515</v>
      </c>
      <c r="P42" s="17">
        <v>10.26481485</v>
      </c>
      <c r="Q42" s="17">
        <v>14.51708105</v>
      </c>
      <c r="R42" s="17">
        <v>18.120773150000002</v>
      </c>
      <c r="S42" s="17">
        <v>29.033639900000001</v>
      </c>
      <c r="T42" s="17">
        <v>14.934431849999999</v>
      </c>
      <c r="U42" s="17">
        <v>25.595041999999999</v>
      </c>
      <c r="V42" s="17">
        <v>28.823904049999999</v>
      </c>
      <c r="W42" s="17">
        <v>14.34829745</v>
      </c>
      <c r="X42" s="17">
        <v>16.817581000000001</v>
      </c>
      <c r="Y42" s="17">
        <v>39.348665850000003</v>
      </c>
      <c r="Z42" s="17">
        <v>16.676924199999998</v>
      </c>
      <c r="AA42" s="17">
        <v>25.3622151</v>
      </c>
      <c r="AB42" s="17">
        <v>44.666918099999997</v>
      </c>
    </row>
    <row r="43" spans="1:28" x14ac:dyDescent="0.2">
      <c r="A43" s="17">
        <v>39</v>
      </c>
      <c r="B43" s="17">
        <v>36.394382950000001</v>
      </c>
      <c r="C43" s="17">
        <v>38.435318199999998</v>
      </c>
      <c r="D43" s="17">
        <v>30.306701</v>
      </c>
      <c r="E43" s="17">
        <v>21.949777300000001</v>
      </c>
      <c r="F43" s="17">
        <v>43.65397325</v>
      </c>
      <c r="G43" s="17">
        <v>73.673558499999999</v>
      </c>
      <c r="H43" s="17">
        <v>44.934770649999997</v>
      </c>
      <c r="I43" s="17">
        <v>30.628375500000001</v>
      </c>
      <c r="J43" s="17">
        <v>18.685030399999999</v>
      </c>
      <c r="K43" s="17">
        <v>14.027501600000001</v>
      </c>
      <c r="L43" s="17">
        <v>54.133419549999999</v>
      </c>
      <c r="M43" s="17">
        <v>36.68998955</v>
      </c>
      <c r="N43" s="17">
        <v>28.452164199999999</v>
      </c>
      <c r="O43" s="17">
        <v>27.793949049999998</v>
      </c>
      <c r="P43" s="17">
        <v>22.429117850000001</v>
      </c>
      <c r="Q43" s="17">
        <v>36.252104199999998</v>
      </c>
      <c r="R43" s="17">
        <v>20.8795374</v>
      </c>
      <c r="S43" s="17">
        <v>41.72252065</v>
      </c>
      <c r="T43" s="17">
        <v>65.524185299999999</v>
      </c>
      <c r="U43" s="17">
        <v>24.741401249999999</v>
      </c>
      <c r="V43" s="17">
        <v>45.2320992</v>
      </c>
      <c r="W43" s="17">
        <v>58.719118199999997</v>
      </c>
      <c r="X43" s="17" t="s">
        <v>44</v>
      </c>
      <c r="Y43" s="17">
        <v>46.491113749999997</v>
      </c>
      <c r="Z43" s="17">
        <v>31.830253549999998</v>
      </c>
      <c r="AA43" s="17">
        <v>22.944698500000001</v>
      </c>
      <c r="AB43" s="17">
        <v>30.811988899999999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SUM</vt:lpstr>
      <vt:lpstr>Tables</vt:lpstr>
      <vt:lpstr>Means</vt:lpstr>
      <vt:lpstr>Inter</vt:lpstr>
      <vt:lpstr>Intra</vt:lpstr>
      <vt:lpstr>Score</vt:lpstr>
      <vt:lpstr>Time</vt:lpstr>
      <vt:lpstr>Image-R-5-Inter</vt:lpstr>
      <vt:lpstr>Name-R-6-Inter</vt:lpstr>
      <vt:lpstr>Image-R-5-Intra</vt:lpstr>
      <vt:lpstr>Name-R-6-Intra</vt:lpstr>
      <vt:lpstr>Image-R-5-Score</vt:lpstr>
      <vt:lpstr>Name-R-6-Score</vt:lpstr>
      <vt:lpstr>Image-R-5-Time</vt:lpstr>
      <vt:lpstr>Name-R-6-Time</vt:lpstr>
      <vt:lpstr>Image-L-7-1-Inter</vt:lpstr>
      <vt:lpstr>Name-L-7-2-Inter</vt:lpstr>
      <vt:lpstr>Image-L-7-1-Intra</vt:lpstr>
      <vt:lpstr>Name-L-7-2-Intra</vt:lpstr>
      <vt:lpstr>Image-L-7-1-Score</vt:lpstr>
      <vt:lpstr>Name-L-7-2-Score</vt:lpstr>
      <vt:lpstr>Image-L-7-1-Time</vt:lpstr>
      <vt:lpstr>Name-L-7-2-Time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陈治宇</dc:creator>
  <cp:lastModifiedBy>ChenZhiyu</cp:lastModifiedBy>
  <dcterms:created xsi:type="dcterms:W3CDTF">2015-06-05T18:19:34Z</dcterms:created>
  <dcterms:modified xsi:type="dcterms:W3CDTF">2025-03-19T12:24:00Z</dcterms:modified>
</cp:coreProperties>
</file>